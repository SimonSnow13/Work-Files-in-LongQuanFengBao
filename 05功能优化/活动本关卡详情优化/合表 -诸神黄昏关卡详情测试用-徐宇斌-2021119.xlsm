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comments19.xml" ContentType="application/vnd.openxmlformats-officedocument.spreadsheetml.comments+xml"/>
  <Override PartName="/xl/comments20.xml" ContentType="application/vnd.openxmlformats-officedocument.spreadsheetml.comments+xml"/>
  <Override PartName="/xl/comments21.xml" ContentType="application/vnd.openxmlformats-officedocument.spreadsheetml.comments+xml"/>
  <Override PartName="/xl/comments22.xml" ContentType="application/vnd.openxmlformats-officedocument.spreadsheetml.comments+xml"/>
  <Override PartName="/xl/comments23.xml" ContentType="application/vnd.openxmlformats-officedocument.spreadsheetml.comments+xml"/>
  <Override PartName="/xl/comments24.xml" ContentType="application/vnd.openxmlformats-officedocument.spreadsheetml.comments+xml"/>
  <Override PartName="/xl/comments25.xml" ContentType="application/vnd.openxmlformats-officedocument.spreadsheetml.comments+xml"/>
  <Override PartName="/xl/comments26.xml" ContentType="application/vnd.openxmlformats-officedocument.spreadsheetml.comments+xml"/>
  <Override PartName="/xl/comments27.xml" ContentType="application/vnd.openxmlformats-officedocument.spreadsheetml.comments+xml"/>
  <Override PartName="/xl/comments28.xml" ContentType="application/vnd.openxmlformats-officedocument.spreadsheetml.comments+xml"/>
  <Override PartName="/xl/comments29.xml" ContentType="application/vnd.openxmlformats-officedocument.spreadsheetml.comments+xml"/>
  <Override PartName="/xl/comments30.xml" ContentType="application/vnd.openxmlformats-officedocument.spreadsheetml.comments+xml"/>
  <Override PartName="/xl/comments31.xml" ContentType="application/vnd.openxmlformats-officedocument.spreadsheetml.comments+xml"/>
  <Override PartName="/xl/comments32.xml" ContentType="application/vnd.openxmlformats-officedocument.spreadsheetml.comments+xml"/>
  <Override PartName="/xl/comments33.xml" ContentType="application/vnd.openxmlformats-officedocument.spreadsheetml.comments+xml"/>
  <Override PartName="/xl/comments34.xml" ContentType="application/vnd.openxmlformats-officedocument.spreadsheetml.comments+xml"/>
  <Override PartName="/xl/comments35.xml" ContentType="application/vnd.openxmlformats-officedocument.spreadsheetml.comments+xml"/>
  <Override PartName="/xl/comments36.xml" ContentType="application/vnd.openxmlformats-officedocument.spreadsheetml.comments+xml"/>
  <Override PartName="/xl/comments37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D:\功能优化\活动本关卡详情优化\"/>
    </mc:Choice>
  </mc:AlternateContent>
  <xr:revisionPtr revIDLastSave="0" documentId="13_ncr:1_{97B14B93-89E2-461E-8827-B1E529FC9A77}" xr6:coauthVersionLast="47" xr6:coauthVersionMax="47" xr10:uidLastSave="{00000000-0000-0000-0000-000000000000}"/>
  <bookViews>
    <workbookView xWindow="-120" yWindow="-120" windowWidth="29040" windowHeight="17640" tabRatio="895" activeTab="1" xr2:uid="{00000000-000D-0000-FFFF-FFFF00000000}"/>
  </bookViews>
  <sheets>
    <sheet name="$备注" sheetId="1" r:id="rId1"/>
    <sheet name="活动" sheetId="66" r:id="rId2"/>
    <sheet name="Translate_1" sheetId="67" r:id="rId3"/>
    <sheet name="道具1" sheetId="68" r:id="rId4"/>
    <sheet name="道具图标" sheetId="69" r:id="rId5"/>
    <sheet name="ItemResource" sheetId="70" r:id="rId6"/>
    <sheet name="ActivityBanner" sheetId="71" r:id="rId7"/>
    <sheet name="邮件" sheetId="72" r:id="rId8"/>
    <sheet name="BackGroundPicture" sheetId="73" r:id="rId9"/>
    <sheet name="GalleryMemory" sheetId="74" r:id="rId10"/>
    <sheet name="GalleryMemoryStory" sheetId="75" r:id="rId11"/>
    <sheet name="$HomeBackground" sheetId="76" r:id="rId12"/>
    <sheet name="$背景图" sheetId="77" r:id="rId13"/>
    <sheet name="卡池_1" sheetId="78" r:id="rId14"/>
    <sheet name="抽卡" sheetId="79" r:id="rId15"/>
    <sheet name="Banner图" sheetId="80" r:id="rId16"/>
    <sheet name="$抽卡文本" sheetId="81" r:id="rId17"/>
    <sheet name="$Sound" sheetId="82" r:id="rId18"/>
    <sheet name="$RoleModel" sheetId="83" r:id="rId19"/>
    <sheet name="$SpecialPicture" sheetId="84" r:id="rId20"/>
    <sheet name="$兑换" sheetId="3" r:id="rId21"/>
    <sheet name="$奖励" sheetId="4" r:id="rId22"/>
    <sheet name="$任务成就" sheetId="5" r:id="rId23"/>
    <sheet name="$条件" sheetId="6" r:id="rId24"/>
    <sheet name="$Reset" sheetId="13" r:id="rId25"/>
    <sheet name="$卡池" sheetId="39" r:id="rId26"/>
    <sheet name="$ActivityBlockMap" sheetId="34" r:id="rId27"/>
    <sheet name="$ActivityBlockSort" sheetId="54" r:id="rId28"/>
    <sheet name="$ActivityBlockBattle" sheetId="29" r:id="rId29"/>
    <sheet name="$BlockBattle" sheetId="63" r:id="rId30"/>
    <sheet name="$ActivityStoryPoint" sheetId="35" r:id="rId31"/>
    <sheet name="$EnemyMaster" sheetId="23" r:id="rId32"/>
    <sheet name="$EnemyHero" sheetId="24" r:id="rId33"/>
    <sheet name="$EnemyCard" sheetId="28" r:id="rId34"/>
    <sheet name="$BlockAI" sheetId="27" r:id="rId35"/>
    <sheet name="$Skill" sheetId="64" r:id="rId36"/>
    <sheet name="$Reward" sheetId="33" r:id="rId37"/>
    <sheet name="$ConfigLevelLimit" sheetId="32" r:id="rId38"/>
    <sheet name="$SkillAttrEffect" sheetId="31" r:id="rId39"/>
    <sheet name="$活动本特殊机制" sheetId="65" r:id="rId40"/>
    <sheet name="$剧情内容" sheetId="85" r:id="rId41"/>
  </sheets>
  <functionGroups builtInGroupCount="19"/>
  <definedNames>
    <definedName name="_xlnm._FilterDatabase" localSheetId="28" hidden="1">'$ActivityBlockBattle'!$A$6:$CH$41</definedName>
    <definedName name="_xlnm._FilterDatabase" localSheetId="27" hidden="1">'$ActivityBlockSort'!$A$6:$N$25</definedName>
    <definedName name="_xlnm._FilterDatabase" localSheetId="34" hidden="1">'$BlockAI'!$A$6:$O$215</definedName>
    <definedName name="_xlnm._FilterDatabase" localSheetId="33" hidden="1">'$EnemyCard'!$A$6:$W$41</definedName>
    <definedName name="_xlnm._FilterDatabase" localSheetId="32" hidden="1">'$EnemyHero'!$A$6:$BT$408</definedName>
    <definedName name="_xlnm._FilterDatabase" localSheetId="31" hidden="1">'$EnemyMaster'!$A$6:$BQ$41</definedName>
    <definedName name="_xlnm._FilterDatabase" localSheetId="20" hidden="1">'$兑换'!$A$7:$G$19</definedName>
    <definedName name="_xlnm._FilterDatabase" localSheetId="25" hidden="1">'$卡池'!$A$6:$F$8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7" i="35" l="1"/>
  <c r="C8" i="35"/>
  <c r="C9" i="35"/>
  <c r="C10" i="35"/>
  <c r="C11" i="35"/>
  <c r="C15" i="35"/>
  <c r="C14" i="35"/>
  <c r="C13" i="35"/>
  <c r="C12" i="35"/>
  <c r="J34" i="1"/>
  <c r="C70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B2" authorId="0" shapeId="0" xr:uid="{BFFFF87F-6AF3-4403-A373-A59B69EE9801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活动唯一标识ID</t>
        </r>
      </text>
    </comment>
    <comment ref="E2" authorId="0" shapeId="0" xr:uid="{272BD048-6F43-44CC-B6D8-2FE7D9027995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前端使用什么界面</t>
        </r>
      </text>
    </comment>
    <comment ref="J2" authorId="0" shapeId="0" xr:uid="{4E89D8D4-CF02-4267-B4B7-E6C568B28433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见备注</t>
        </r>
      </text>
    </comment>
    <comment ref="K2" authorId="0" shapeId="0" xr:uid="{0F028AA6-6797-48F3-AF06-0D87297F5448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时间类型中的参数都放到该列
详见备注</t>
        </r>
      </text>
    </comment>
    <comment ref="L2" authorId="0" shapeId="0" xr:uid="{E565E972-9A85-47E9-A497-76DBF1C09539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见备注</t>
        </r>
      </text>
    </comment>
    <comment ref="M2" authorId="0" shapeId="0" xr:uid="{683D0ED5-F7DD-4BDF-AFBE-185166688DC6}">
      <text>
        <r>
          <rPr>
            <b/>
            <sz val="9"/>
            <color indexed="81"/>
            <rFont val="宋体"/>
            <family val="3"/>
            <charset val="134"/>
          </rPr>
          <t>Conan:</t>
        </r>
        <r>
          <rPr>
            <sz val="9"/>
            <color indexed="81"/>
            <rFont val="宋体"/>
            <family val="3"/>
            <charset val="134"/>
          </rPr>
          <t xml:space="preserve">
详见备注</t>
        </r>
      </text>
    </comment>
    <comment ref="N2" authorId="0" shapeId="0" xr:uid="{94D01225-E2CB-417E-82E0-0F6A871D502A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见备注</t>
        </r>
      </text>
    </comment>
    <comment ref="O2" authorId="0" shapeId="0" xr:uid="{FE9D1397-1BC7-44F3-8A83-91FC27D22509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见备注</t>
        </r>
      </text>
    </comment>
    <comment ref="Q2" authorId="0" shapeId="0" xr:uid="{05E9ACE7-F494-4A54-A37A-5F9DDC5DB30A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1:是
0：不是</t>
        </r>
      </text>
    </comment>
    <comment ref="S2" authorId="0" shapeId="0" xr:uid="{AFA82589-0EEC-47B0-B99C-0DC3221DF638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1:重置
0：不重置</t>
        </r>
      </text>
    </comment>
    <comment ref="T2" authorId="0" shapeId="0" xr:uid="{ECDD1F31-3C87-4D0E-8D34-0BCCC19E9096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1:开启
0：不开</t>
        </r>
      </text>
    </comment>
    <comment ref="U2" authorId="0" shapeId="0" xr:uid="{7B479CB7-25A5-4C44-8D31-6EB021210DB4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0：子活动
1：主活动</t>
        </r>
      </text>
    </comment>
    <comment ref="V2" authorId="0" shapeId="0" xr:uid="{B3A74830-A868-4E36-BCFB-68B06D1F0A74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0:不显示
1：活动面板
2：主界面
</t>
        </r>
        <r>
          <rPr>
            <b/>
            <sz val="9"/>
            <color indexed="81"/>
            <rFont val="宋体"/>
            <family val="3"/>
            <charset val="134"/>
          </rPr>
          <t>王东旭</t>
        </r>
        <r>
          <rPr>
            <sz val="9"/>
            <color indexed="81"/>
            <rFont val="宋体"/>
            <family val="3"/>
            <charset val="134"/>
          </rPr>
          <t>：
3：活动面板和主界面</t>
        </r>
      </text>
    </comment>
    <comment ref="W2" authorId="0" shapeId="0" xr:uid="{4B7A10D8-727F-4451-8023-64E9B4435CFC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序号越小越靠前</t>
        </r>
      </text>
    </comment>
    <comment ref="Y2" authorId="0" shapeId="0" xr:uid="{9E8CBDA7-E105-4051-8869-5A31B89D4CE1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在活动页面里，活动标题旁边的标签
WONDERFUL  精彩
MONDAY     周一
WONDERFUL2 精彩（红色）
RECOMMEND  推荐</t>
        </r>
      </text>
    </comment>
    <comment ref="Z2" authorId="0" shapeId="0" xr:uid="{C6EE274B-3B3D-47A0-86E5-955CBC76EDDB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大于等于此版本的底包才可见
iOS：苹果
android：安卓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B2" authorId="0" shapeId="0" xr:uid="{3A8C34C5-C7BB-41EF-B43F-2151EFAA2F74}">
      <text>
        <r>
          <rPr>
            <sz val="9"/>
            <rFont val="宋体"/>
            <family val="3"/>
            <charset val="134"/>
          </rPr>
          <t>作者:
多语言唯一标识ID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C2" authorId="0" shapeId="0" xr:uid="{4D263C24-E48F-4560-B395-5F4FFE43DD16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关联到Translate表读取文字
</t>
        </r>
      </text>
    </comment>
    <comment ref="D2" authorId="0" shapeId="0" xr:uid="{10DD7D7D-B109-4CD4-8907-6C919363AC83}">
      <text>
        <r>
          <rPr>
            <b/>
            <sz val="9"/>
            <rFont val="宋体"/>
            <family val="3"/>
            <charset val="134"/>
          </rPr>
          <t>作者:
方便策划，后端程序读取
GM录入</t>
        </r>
      </text>
    </comment>
    <comment ref="E2" authorId="0" shapeId="0" xr:uid="{9D2F19F1-DCFF-44F6-8C49-C00A94B3541D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详见备注页</t>
        </r>
      </text>
    </comment>
    <comment ref="F2" authorId="0" shapeId="0" xr:uid="{FDB06BC1-43C3-4080-89F1-C140A4A95291}">
      <text>
        <r>
          <rPr>
            <sz val="9"/>
            <rFont val="宋体"/>
            <family val="3"/>
            <charset val="134"/>
          </rPr>
          <t>作者:
详情见备注页</t>
        </r>
      </text>
    </comment>
    <comment ref="G2" authorId="0" shapeId="0" xr:uid="{BC754A29-8BC5-4B15-B3D2-3537A220344F}">
      <text>
        <r>
          <rPr>
            <b/>
            <sz val="9"/>
            <rFont val="宋体"/>
            <family val="3"/>
            <charset val="134"/>
          </rPr>
          <t>程航:</t>
        </r>
        <r>
          <rPr>
            <sz val="9"/>
            <rFont val="宋体"/>
            <family val="3"/>
            <charset val="134"/>
          </rPr>
          <t xml:space="preserve">
根据该item的Type类型不同填写不同的dict内容
不需要则为空
HERO_F
"type":只能填写hero
"id":填写对应的heroId
MASTER_F
"type":只能填写master
"id":填写对应的masterId
EQUIP_F
"type":只能填写itemId
“id”：填写对应的合成装备道具的Id
"num"：填写合成所需的本道具数量
</t>
        </r>
      </text>
    </comment>
    <comment ref="H2" authorId="0" shapeId="0" xr:uid="{0DC18626-C388-44A3-A8AB-FA5D11DE30C2}">
      <text>
        <r>
          <rPr>
            <b/>
            <sz val="9"/>
            <rFont val="宋体"/>
            <family val="3"/>
            <charset val="134"/>
          </rPr>
          <t>作者:
服务器没有用该列</t>
        </r>
        <r>
          <rPr>
            <sz val="9"/>
            <rFont val="宋体"/>
            <family val="3"/>
            <charset val="134"/>
          </rPr>
          <t xml:space="preserve">
1:白
2:绿
3:蓝
4:紫
5:橙
6:红</t>
        </r>
      </text>
    </comment>
    <comment ref="J2" authorId="0" shapeId="0" xr:uid="{BCA21444-BCEC-4BE7-A09F-6409796C7D33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玩家能使用该道具所需的最低VIP等级
</t>
        </r>
      </text>
    </comment>
    <comment ref="K2" authorId="0" shapeId="0" xr:uid="{02A13F0F-F383-4A31-9441-DEF82800BF17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可使用该道具的最低战队等级
</t>
        </r>
      </text>
    </comment>
    <comment ref="L2" authorId="0" shapeId="0" xr:uid="{BE04147D-1516-4E4D-9C49-1B8EC06ECDED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0-不发光
1-发光</t>
        </r>
      </text>
    </comment>
    <comment ref="M2" authorId="0" shapeId="0" xr:uid="{A881F6D5-82F7-43E7-9253-B112DBFB8B1B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0-不发光
1-发光</t>
        </r>
      </text>
    </comment>
    <comment ref="N2" authorId="0" shapeId="0" xr:uid="{4C37EB06-C361-4C92-9A0E-1AF892ACD965}">
      <text>
        <r>
          <rPr>
            <b/>
            <sz val="9"/>
            <rFont val="宋体"/>
            <family val="3"/>
            <charset val="134"/>
          </rPr>
          <t>作者:
服务器没有使用该列
排序号越大的在背包中靠前
排序顺序：品质&gt;类型&gt;排序号</t>
        </r>
      </text>
    </comment>
    <comment ref="O2" authorId="0" shapeId="0" xr:uid="{866507C6-1679-4465-8121-D0CF80515B01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关联到Translate表读取文字
</t>
        </r>
      </text>
    </comment>
    <comment ref="P2" authorId="0" shapeId="0" xr:uid="{3819D47D-084F-431B-A936-80D0984EF051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方便策划，程序不读取</t>
        </r>
      </text>
    </comment>
    <comment ref="R2" authorId="0" shapeId="0" xr:uid="{ECD42D93-1589-48F6-B79F-1640F6CF4DD7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方便策划，程序不读取</t>
        </r>
      </text>
    </comment>
    <comment ref="S2" authorId="0" shapeId="0" xr:uid="{789CFF11-3190-457F-87CD-737A682BCACD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道具的图标，读取对应名字的美术资源</t>
        </r>
      </text>
    </comment>
    <comment ref="T2" authorId="0" shapeId="0" xr:uid="{C263E88D-7A99-43D3-9756-5CAD60A78C3D}">
      <text>
        <r>
          <rPr>
            <sz val="9"/>
            <rFont val="宋体"/>
            <family val="3"/>
            <charset val="134"/>
          </rPr>
          <t>作者:
出售单个道具可获得的金币数
-1代表不可出售</t>
        </r>
      </text>
    </comment>
    <comment ref="U2" authorId="0" shapeId="0" xr:uid="{8BE30DBB-D83E-47FB-8F7E-71747311E817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使用道具可获得的奖励，关联到奖励表
</t>
        </r>
      </text>
    </comment>
    <comment ref="V2" authorId="0" shapeId="0" xr:uid="{5BDEE2D0-AEF5-4ECB-B399-137AB67366C2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该道具在游戏中的出处</t>
        </r>
      </text>
    </comment>
    <comment ref="W2" authorId="0" shapeId="0" xr:uid="{F24E5B1B-0CF8-4D72-9002-990518E0B8BF}">
      <text>
        <r>
          <rPr>
            <b/>
            <sz val="9"/>
            <rFont val="宋体"/>
            <family val="3"/>
            <charset val="134"/>
          </rPr>
          <t>当打开道具来源索引界面时，右下角的补充文字，用以说明无法进行跳转的道具来源</t>
        </r>
      </text>
    </comment>
    <comment ref="X2" authorId="0" shapeId="0" xr:uid="{791779F7-167A-4325-A2A4-13A03F182AE0}">
      <text>
        <r>
          <rPr>
            <sz val="9"/>
            <rFont val="宋体"/>
            <family val="3"/>
            <charset val="134"/>
          </rPr>
          <t>作者:
是否可以一次性使用多个道具
1:可以
0:不可以，默认为0</t>
        </r>
      </text>
    </comment>
    <comment ref="Z2" authorId="0" shapeId="0" xr:uid="{DE1EACEC-7600-4E69-BD73-F0C9E63AAB61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配置道具的跳转
不同的跳转界面配置不同的url路径即可。
英魂养成界面——
url: view://HeroShowMainView&amp;viewType=push&amp;tabType=1
默认为1 
1养成 2升级 3契合（品质） 4镜片（星级） 5技能 
英魂装备界面——
url: view://equipMainView&amp;viewType=push&amp;tabType=1
1 强化，2 觉醒
主角养成界面——
url: view://masterCultivateView&amp;viewType=push&amp;tabType=1
1属性 2技能 3光环 4徽章 5核心</t>
        </r>
      </text>
    </comment>
    <comment ref="AB2" authorId="0" shapeId="0" xr:uid="{61977F27-DC46-4F39-92F8-E945241A756C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1.获得时立刻使用道具
0.不使用。
如果不填则默认不使用</t>
        </r>
      </text>
    </comment>
    <comment ref="AC2" authorId="0" shapeId="0" xr:uid="{D2D27A8B-8246-4D2D-B240-40DCF36FFBCF}">
      <text>
        <r>
          <rPr>
            <b/>
            <sz val="9"/>
            <rFont val="宋体"/>
            <family val="3"/>
            <charset val="134"/>
          </rPr>
          <t>王东旭:</t>
        </r>
        <r>
          <rPr>
            <sz val="9"/>
            <rFont val="宋体"/>
            <family val="3"/>
            <charset val="134"/>
          </rPr>
          <t xml:space="preserve">
0或不配置-不显示
1-显示</t>
        </r>
      </text>
    </comment>
    <comment ref="AE2" authorId="0" shapeId="0" xr:uid="{BC8F0D1D-7A6A-441B-B142-782A4DF1341B}">
      <text>
        <r>
          <rPr>
            <b/>
            <sz val="9"/>
            <rFont val="宋体"/>
            <family val="3"/>
            <charset val="134"/>
          </rPr>
          <t>作者:
服务器没有使用该列
排序规则，序列号-品质-排序号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B2" authorId="0" shapeId="0" xr:uid="{85B5F3DF-9F66-4945-A16E-3EB9C891A5E0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ID和ItemConfig的资源相对应，此处仍为string格式</t>
        </r>
      </text>
    </comment>
    <comment ref="E2" authorId="0" shapeId="0" xr:uid="{14F954CA-D56B-4134-A065-8A9316B3FFF2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标识每个分段开始的金币数</t>
        </r>
      </text>
    </comment>
    <comment ref="F2" authorId="0" shapeId="0" xr:uid="{139AC287-8537-46E8-8E73-238BCB76A69E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根据前一字段的分段设置图标名称!!
必须和C列数量级一致！</t>
        </r>
      </text>
    </comment>
    <comment ref="G2" authorId="0" shapeId="0" xr:uid="{63FF3CC9-BB98-4D4C-A7B1-7DCDDC7E46FF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默认显示的图片</t>
        </r>
      </text>
    </comment>
    <comment ref="H2" authorId="0" shapeId="0" xr:uid="{960855BE-7E02-4098-9C34-C4DB8DDCB61B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加粗的字段表示美术资源已存在</t>
        </r>
      </text>
    </comment>
    <comment ref="K2" authorId="0" shapeId="0" xr:uid="{1B635579-FF0A-4A3F-9609-5D6A115C791C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1：白
2：绿
3：蓝
4：紫
5：橙
6：红</t>
        </r>
      </text>
    </comment>
    <comment ref="L2" authorId="0" shapeId="0" xr:uid="{7B7C67E7-C2F6-495B-8F2E-44455AA1FA28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1：发光
空/0：不发光</t>
        </r>
      </text>
    </comment>
    <comment ref="M2" authorId="0" shapeId="0" xr:uid="{19458F7A-726C-4EB8-81F0-7B168C94D8A1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该道具在游戏中的出处
连接ItemResource表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B2" authorId="0" shapeId="0" xr:uid="{F08ED1E3-4F44-4F29-994E-9C1502289AFF}">
      <text>
        <r>
          <rPr>
            <b/>
            <sz val="9"/>
            <rFont val="宋体"/>
            <family val="3"/>
            <charset val="134"/>
          </rPr>
          <t xml:space="preserve">作者:
</t>
        </r>
        <r>
          <rPr>
            <sz val="9"/>
            <rFont val="宋体"/>
            <family val="3"/>
            <charset val="134"/>
          </rPr>
          <t xml:space="preserve">ID,原则上与道具ID一致即可
</t>
        </r>
      </text>
    </comment>
    <comment ref="C2" authorId="0" shapeId="0" xr:uid="{4358F004-4FAD-4548-A63D-956F0F7CF239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可填写道具名称，方便策划配表</t>
        </r>
      </text>
    </comment>
    <comment ref="D2" authorId="0" shapeId="0" xr:uid="{58E805E8-598E-47E1-AF4C-7F5D67601FD1}">
      <text>
        <r>
          <rPr>
            <b/>
            <sz val="9"/>
            <rFont val="宋体"/>
            <family val="3"/>
            <charset val="134"/>
          </rPr>
          <t xml:space="preserve">作者:
字段规则参见$说明页签
</t>
        </r>
        <r>
          <rPr>
            <sz val="9"/>
            <rFont val="宋体"/>
            <family val="3"/>
            <charset val="134"/>
          </rPr>
          <t xml:space="preserve">
</t>
        </r>
      </text>
    </comment>
    <comment ref="E2" authorId="0" shapeId="0" xr:uid="{E3663F1C-0D7B-4295-878E-A50EF3FBA755}">
      <text>
        <r>
          <rPr>
            <b/>
            <sz val="9"/>
            <rFont val="宋体"/>
            <family val="3"/>
            <charset val="134"/>
          </rPr>
          <t xml:space="preserve">作者:
</t>
        </r>
        <r>
          <rPr>
            <sz val="9"/>
            <rFont val="宋体"/>
            <family val="3"/>
            <charset val="134"/>
          </rPr>
          <t>界面显示用
0或null:什么也不加
1:商店：暂未开发
2:主线关卡：显示URL对应小关卡UI
3:精英关卡：显示URL对应小关卡UI
4:英魂剧情本</t>
        </r>
      </text>
    </comment>
    <comment ref="F2" authorId="0" shapeId="0" xr:uid="{DC0BD9C1-32D0-47BD-8DCA-16B3A70B398D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0=不支持
1=支持</t>
        </r>
      </text>
    </comment>
    <comment ref="G2" authorId="0" shapeId="0" xr:uid="{DD17E62B-170D-4CBC-ADBB-524EF7FD18CC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来源类型的文字说明，链接translate表</t>
        </r>
      </text>
    </comment>
    <comment ref="I2" authorId="0" shapeId="0" xr:uid="{FE89CA9F-C934-4F07-973C-9709E4FC68EE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若来源类型为“Others”，此处配置来源的固定文案，例如“敬请期待”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  <author>Windows 用户</author>
  </authors>
  <commentList>
    <comment ref="B2" authorId="0" shapeId="0" xr:uid="{4C90D3E1-3245-493E-B142-F517B14D0031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活动唯一标识ID</t>
        </r>
      </text>
    </comment>
    <comment ref="D2" authorId="0" shapeId="0" xr:uid="{F506F98A-2F34-48E0-935C-A2D23EC6E919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Banner类型
Activity：活动类型，随活动开启和关闭
PackageShop：直购礼包，随直购礼包，购买后消失</t>
        </r>
      </text>
    </comment>
    <comment ref="E2" authorId="0" shapeId="0" xr:uid="{F92ED2DC-5352-4F95-AA5A-C29745F5AA39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根据不同Type对应不同内容
Activity对应活动ID
PackageShop对应直购商店的直购礼包ID</t>
        </r>
      </text>
    </comment>
    <comment ref="H2" authorId="1" shapeId="0" xr:uid="{C6559A6C-92EA-42A7-853D-B9C601032081}">
      <text>
        <r>
          <rPr>
            <sz val="9"/>
            <color indexed="81"/>
            <rFont val="宋体"/>
            <family val="3"/>
            <charset val="134"/>
          </rPr>
          <t xml:space="preserve">李浙鹏：
若配置了Banner的时间显示参数，则已时间显示参数为准，若为空，包括{}和不配。则已banner对应的activity时间为准（原有逻辑）
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B2" authorId="0" shapeId="0" xr:uid="{74844B47-9A1E-4FDA-BD11-300D22A7913C}">
      <text>
        <r>
          <rPr>
            <b/>
            <sz val="9"/>
            <color rgb="FF000000"/>
            <rFont val="宋体"/>
            <family val="3"/>
            <charset val="134"/>
          </rPr>
          <t>作者:</t>
        </r>
        <r>
          <rPr>
            <sz val="9"/>
            <color rgb="FF000000"/>
            <rFont val="宋体"/>
            <family val="3"/>
            <charset val="134"/>
          </rPr>
          <t xml:space="preserve">
邮件id，其它表会用到</t>
        </r>
      </text>
    </comment>
    <comment ref="C2" authorId="0" shapeId="0" xr:uid="{396B8671-485D-41CA-8C52-6EFA40330DA3}">
      <text>
        <r>
          <rPr>
            <b/>
            <sz val="9"/>
            <color rgb="FF000000"/>
            <rFont val="宋体"/>
            <family val="3"/>
            <charset val="134"/>
          </rPr>
          <t>作者</t>
        </r>
        <r>
          <rPr>
            <b/>
            <sz val="9"/>
            <color rgb="FF000000"/>
            <rFont val="Tahoma"/>
            <family val="2"/>
          </rPr>
          <t>:</t>
        </r>
        <r>
          <rPr>
            <sz val="9"/>
            <color rgb="FF000000"/>
            <rFont val="Tahoma"/>
            <family val="2"/>
          </rPr>
          <t xml:space="preserve">
/** </t>
        </r>
        <r>
          <rPr>
            <sz val="9"/>
            <color rgb="FF000000"/>
            <rFont val="宋体"/>
            <family val="3"/>
            <charset val="134"/>
          </rPr>
          <t>个人</t>
        </r>
        <r>
          <rPr>
            <sz val="9"/>
            <color rgb="FF000000"/>
            <rFont val="Tahoma"/>
            <family val="2"/>
          </rPr>
          <t xml:space="preserve"> */
USER(false),
/** </t>
        </r>
        <r>
          <rPr>
            <sz val="9"/>
            <color rgb="FF000000"/>
            <rFont val="宋体"/>
            <family val="3"/>
            <charset val="134"/>
          </rPr>
          <t>联盟</t>
        </r>
        <r>
          <rPr>
            <sz val="9"/>
            <color rgb="FF000000"/>
            <rFont val="Tahoma"/>
            <family val="2"/>
          </rPr>
          <t xml:space="preserve"> */
UNION(true),
/** </t>
        </r>
        <r>
          <rPr>
            <sz val="9"/>
            <color rgb="FF000000"/>
            <rFont val="宋体"/>
            <family val="3"/>
            <charset val="134"/>
          </rPr>
          <t>全服</t>
        </r>
        <r>
          <rPr>
            <sz val="9"/>
            <color rgb="FF000000"/>
            <rFont val="Tahoma"/>
            <family val="2"/>
          </rPr>
          <t xml:space="preserve"> */
ALL(true);</t>
        </r>
      </text>
    </comment>
    <comment ref="D2" authorId="0" shapeId="0" xr:uid="{EA387A23-4742-4CEB-AB25-0B98F4286840}">
      <text>
        <r>
          <rPr>
            <b/>
            <sz val="9"/>
            <color rgb="FF000000"/>
            <rFont val="宋体"/>
            <family val="3"/>
            <charset val="134"/>
          </rPr>
          <t>作者:</t>
        </r>
        <r>
          <rPr>
            <sz val="9"/>
            <color rgb="FF000000"/>
            <rFont val="宋体"/>
            <family val="3"/>
            <charset val="134"/>
          </rPr>
          <t xml:space="preserve">
邮件的标题，关联到Translate表
</t>
        </r>
      </text>
    </comment>
    <comment ref="E2" authorId="0" shapeId="0" xr:uid="{77ADFF8D-F7E1-4E16-969D-EA96FFC22AEE}">
      <text>
        <r>
          <rPr>
            <b/>
            <sz val="9"/>
            <color rgb="FF000000"/>
            <rFont val="宋体"/>
            <family val="3"/>
            <charset val="134"/>
          </rPr>
          <t>作者:</t>
        </r>
        <r>
          <rPr>
            <sz val="9"/>
            <color rgb="FF000000"/>
            <rFont val="宋体"/>
            <family val="3"/>
            <charset val="134"/>
          </rPr>
          <t xml:space="preserve">
方便策划，程序不会读取
</t>
        </r>
      </text>
    </comment>
    <comment ref="F2" authorId="0" shapeId="0" xr:uid="{9E6E72A6-405F-4752-A585-A11FE35308A0}">
      <text>
        <r>
          <rPr>
            <b/>
            <sz val="9"/>
            <color rgb="FF000000"/>
            <rFont val="宋体"/>
            <family val="3"/>
            <charset val="134"/>
          </rPr>
          <t>作者:</t>
        </r>
        <r>
          <rPr>
            <sz val="9"/>
            <color rgb="FF000000"/>
            <rFont val="宋体"/>
            <family val="3"/>
            <charset val="134"/>
          </rPr>
          <t xml:space="preserve">
邮件正文内容，关联到Translate表
</t>
        </r>
      </text>
    </comment>
    <comment ref="G2" authorId="0" shapeId="0" xr:uid="{ABBF444D-BE51-45CA-94C6-C16B0B2AADFF}">
      <text>
        <r>
          <rPr>
            <b/>
            <sz val="9"/>
            <color rgb="FF000000"/>
            <rFont val="宋体"/>
            <family val="3"/>
            <charset val="134"/>
          </rPr>
          <t>作者:</t>
        </r>
        <r>
          <rPr>
            <sz val="9"/>
            <color rgb="FF000000"/>
            <rFont val="宋体"/>
            <family val="3"/>
            <charset val="134"/>
          </rPr>
          <t xml:space="preserve">
方便策划，程序不会读取
</t>
        </r>
      </text>
    </comment>
    <comment ref="H2" authorId="0" shapeId="0" xr:uid="{D277C653-761C-4E18-B16B-DC9E44D336D0}">
      <text>
        <r>
          <rPr>
            <b/>
            <sz val="9"/>
            <color rgb="FF000000"/>
            <rFont val="宋体"/>
            <family val="3"/>
            <charset val="134"/>
          </rPr>
          <t>作者:</t>
        </r>
        <r>
          <rPr>
            <sz val="9"/>
            <color rgb="FF000000"/>
            <rFont val="宋体"/>
            <family val="3"/>
            <charset val="134"/>
          </rPr>
          <t xml:space="preserve">
玩家阅读邮件之后，过多久删除该邮件。
单位为秒</t>
        </r>
      </text>
    </comment>
    <comment ref="I2" authorId="0" shapeId="0" xr:uid="{DF6CC37B-B4DB-488B-A1F9-53B96560DE2F}">
      <text>
        <r>
          <rPr>
            <b/>
            <sz val="9"/>
            <color rgb="FF000000"/>
            <rFont val="宋体"/>
            <family val="3"/>
            <charset val="134"/>
          </rPr>
          <t>作者:</t>
        </r>
        <r>
          <rPr>
            <sz val="9"/>
            <color rgb="FF000000"/>
            <rFont val="宋体"/>
            <family val="3"/>
            <charset val="134"/>
          </rPr>
          <t xml:space="preserve">
邮件发送者名字</t>
        </r>
      </text>
    </comment>
    <comment ref="J2" authorId="0" shapeId="0" xr:uid="{835A5833-FE34-463C-B40A-61D5FCEB3215}">
      <text>
        <r>
          <rPr>
            <b/>
            <sz val="9"/>
            <color rgb="FF000000"/>
            <rFont val="宋体"/>
            <family val="3"/>
            <charset val="134"/>
          </rPr>
          <t>作者:</t>
        </r>
        <r>
          <rPr>
            <sz val="9"/>
            <color rgb="FF000000"/>
            <rFont val="宋体"/>
            <family val="3"/>
            <charset val="134"/>
          </rPr>
          <t xml:space="preserve">
单位为秒</t>
        </r>
      </text>
    </comment>
    <comment ref="K2" authorId="0" shapeId="0" xr:uid="{8EA7BC51-4731-4809-8975-B6D265F16092}">
      <text>
        <r>
          <rPr>
            <b/>
            <sz val="9"/>
            <color rgb="FF000000"/>
            <rFont val="宋体"/>
            <family val="3"/>
            <charset val="134"/>
          </rPr>
          <t>作者:</t>
        </r>
        <r>
          <rPr>
            <sz val="9"/>
            <color rgb="FF000000"/>
            <rFont val="宋体"/>
            <family val="3"/>
            <charset val="134"/>
          </rPr>
          <t xml:space="preserve">
填写RewardID</t>
        </r>
      </text>
    </comment>
    <comment ref="L2" authorId="0" shapeId="0" xr:uid="{BBACFDA4-4C6A-4378-A1FF-F35C638D5B76}">
      <text>
        <r>
          <rPr>
            <b/>
            <sz val="9"/>
            <color rgb="FF000000"/>
            <rFont val="宋体"/>
            <family val="3"/>
            <charset val="134"/>
          </rPr>
          <t>作者:</t>
        </r>
        <r>
          <rPr>
            <sz val="9"/>
            <color rgb="FF000000"/>
            <rFont val="宋体"/>
            <family val="3"/>
            <charset val="134"/>
          </rPr>
          <t xml:space="preserve">
0-不置顶
1-普通置顶
2-全局置顶</t>
        </r>
      </text>
    </comment>
    <comment ref="M2" authorId="0" shapeId="0" xr:uid="{A7E2F164-40D1-4C31-B772-E5FB4E095A92}">
      <text>
        <r>
          <rPr>
            <b/>
            <sz val="9"/>
            <color rgb="FF000000"/>
            <rFont val="宋体"/>
            <family val="3"/>
            <charset val="134"/>
          </rPr>
          <t>作者:</t>
        </r>
        <r>
          <rPr>
            <sz val="9"/>
            <color rgb="FF000000"/>
            <rFont val="宋体"/>
            <family val="3"/>
            <charset val="134"/>
          </rPr>
          <t xml:space="preserve">
暂时无用，但不要删。</t>
        </r>
      </text>
    </comment>
    <comment ref="N2" authorId="0" shapeId="0" xr:uid="{6D09A0F6-3FE8-4967-8C49-B4CA6B6608DA}">
      <text>
        <r>
          <rPr>
            <b/>
            <sz val="9"/>
            <color rgb="FF000000"/>
            <rFont val="宋体"/>
            <family val="3"/>
            <charset val="134"/>
          </rPr>
          <t>作者:</t>
        </r>
        <r>
          <rPr>
            <sz val="9"/>
            <color rgb="FF000000"/>
            <rFont val="宋体"/>
            <family val="3"/>
            <charset val="134"/>
          </rPr>
          <t xml:space="preserve">
1:可以
0：不可以
运营手动发放的邮件统统不可以一键领取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B2" authorId="0" shapeId="0" xr:uid="{C6D67EAE-69D1-4E69-A5A5-E95EEA0446D4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关卡地图上的关卡点
为BlockMap表的分支</t>
        </r>
      </text>
    </comment>
    <comment ref="C2" authorId="0" shapeId="0" xr:uid="{22B4A0B0-6173-4506-86D2-FAD89FD2B624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使用的背景图片。仅填写图片名称
</t>
        </r>
      </text>
    </comment>
    <comment ref="D2" authorId="0" shapeId="0" xr:uid="{68CB58E3-BF5A-4F31-B73A-2F49422A4870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填写使用的特效名称。
如果不填则表示没有
</t>
        </r>
      </text>
    </comment>
    <comment ref="E2" authorId="0" shapeId="0" xr:uid="{6FD88CE6-EE0D-4067-BDF3-5B7F9013A559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使用的第2个flash文件
</t>
        </r>
      </text>
    </comment>
    <comment ref="F2" authorId="0" shapeId="0" xr:uid="{C1CC38F1-9D68-499A-A7C1-88975B5C250F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目前使用csb文件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B2" authorId="0" shapeId="0" xr:uid="{EDD622EB-B9D9-49D3-A8D0-D07127DFDCA3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相册回忆唯一Id</t>
        </r>
      </text>
    </comment>
    <comment ref="C2" authorId="0" shapeId="0" xr:uid="{2971D4CA-99C1-43D8-9EBF-CFAC89CBD8DB}">
      <text>
        <r>
          <rPr>
            <b/>
            <sz val="9"/>
            <rFont val="宋体"/>
            <family val="3"/>
            <charset val="134"/>
          </rPr>
          <t>程航:</t>
        </r>
        <r>
          <rPr>
            <sz val="9"/>
            <rFont val="宋体"/>
            <family val="3"/>
            <charset val="134"/>
          </rPr>
          <t xml:space="preserve">
一共三种类型
STORY
HERO
ACTIVI
</t>
        </r>
      </text>
    </comment>
    <comment ref="D2" authorId="0" shapeId="0" xr:uid="{22549A49-5A96-4027-A2FA-6CF11972A78D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格式：
conditionType:条件类型，链接到ConditionType表
factor1：条件参数1
factor2：条件参数2
多个条件时，表示要达到所有的条件才算完成该条任务</t>
        </r>
      </text>
    </comment>
    <comment ref="E2" authorId="0" shapeId="0" xr:uid="{3CA92220-BCC2-473D-82B9-B2FA5938E6C6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填写translate的Id</t>
        </r>
      </text>
    </comment>
    <comment ref="G2" authorId="0" shapeId="0" xr:uid="{41098A74-983A-4C67-863E-86F602A09A3F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填写translate的Id</t>
        </r>
      </text>
    </comment>
    <comment ref="I2" authorId="0" shapeId="0" xr:uid="{9B56675B-BC94-4065-9671-7C438DEB369E}">
      <text>
        <r>
          <rPr>
            <b/>
            <sz val="9"/>
            <rFont val="宋体"/>
            <family val="3"/>
            <charset val="134"/>
          </rPr>
          <t>程航:</t>
        </r>
        <r>
          <rPr>
            <sz val="9"/>
            <rFont val="宋体"/>
            <family val="3"/>
            <charset val="134"/>
          </rPr>
          <t xml:space="preserve">
填写translate表的Id</t>
        </r>
      </text>
    </comment>
    <comment ref="L2" authorId="0" shapeId="0" xr:uid="{F80456B8-4ED8-4C4E-A37F-AD8DA1EF3702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填写图片Id</t>
        </r>
      </text>
    </comment>
    <comment ref="N2" authorId="0" shapeId="0" xr:uid="{BEDCDD58-3284-49BF-986D-600A39B2DA23}">
      <text>
        <r>
          <rPr>
            <b/>
            <sz val="9"/>
            <rFont val="宋体"/>
            <family val="3"/>
            <charset val="134"/>
          </rPr>
          <t>程航:</t>
        </r>
        <r>
          <rPr>
            <sz val="9"/>
            <rFont val="宋体"/>
            <family val="3"/>
            <charset val="134"/>
          </rPr>
          <t xml:space="preserve">
填写int数值
同类型的的数值不能重复
表示在UI中的显示排序
</t>
        </r>
      </text>
    </comment>
    <comment ref="O2" authorId="0" shapeId="0" xr:uid="{041812C7-C234-44F1-A1A5-019261F6D340}">
      <text>
        <r>
          <rPr>
            <sz val="9"/>
            <rFont val="宋体"/>
            <family val="3"/>
            <charset val="134"/>
          </rPr>
          <t xml:space="preserve">许超：
在界面中显示在右下角的时间
不填则不在界面中显示
</t>
        </r>
      </text>
    </comment>
    <comment ref="P2" authorId="0" shapeId="0" xr:uid="{5C4219E0-F7FF-43A2-BE89-F57A1EF0ACC7}">
      <text>
        <r>
          <rPr>
            <sz val="9"/>
            <rFont val="宋体"/>
            <family val="3"/>
            <charset val="134"/>
          </rPr>
          <t>许超：
不填或填0时可见
填1为屏蔽图片
被屏蔽的图片也不会被计入总值中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  <author>Windows 用户</author>
  </authors>
  <commentList>
    <comment ref="B2" authorId="0" shapeId="0" xr:uid="{49985CEA-F13E-440E-BB3F-FB8802D84052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相册回忆剧情总览唯一Id</t>
        </r>
      </text>
    </comment>
    <comment ref="C2" authorId="0" shapeId="0" xr:uid="{E4C78494-5A42-4835-A1F9-29B82DFDD2B6}">
      <text>
        <r>
          <rPr>
            <b/>
            <sz val="9"/>
            <rFont val="宋体"/>
            <family val="3"/>
            <charset val="134"/>
          </rPr>
          <t>程航:</t>
        </r>
        <r>
          <rPr>
            <sz val="9"/>
            <rFont val="宋体"/>
            <family val="3"/>
            <charset val="134"/>
          </rPr>
          <t xml:space="preserve">
一共三种类型
STORYLIST
HEROLIST
ACTIVILIST
</t>
        </r>
      </text>
    </comment>
    <comment ref="D2" authorId="0" shapeId="0" xr:uid="{DC89A1AD-09F0-47C6-822F-72748C38D7E7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格式：
conditionType:条件类型，链接到ConditionType表
factor1：条件参数1
factor2：条件参数2
多个条件时，表示要达到所有的条件才算完成该条任务</t>
        </r>
      </text>
    </comment>
    <comment ref="E2" authorId="1" shapeId="0" xr:uid="{A1FB544C-1FA3-4367-92F3-D1368306E744}">
      <text>
        <r>
          <rPr>
            <sz val="9"/>
            <color indexed="81"/>
            <rFont val="宋体"/>
            <family val="3"/>
            <charset val="134"/>
          </rPr>
          <t>当类型为活动时
需要填写对应活动的活动类型</t>
        </r>
      </text>
    </comment>
    <comment ref="F2" authorId="0" shapeId="0" xr:uid="{197715FA-2FFC-4251-A5F7-13EA426C4B0A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格式：
与服务器约定每一个条件类型
Task:完成任务，"Day1ActivityTask1"完成任务解锁
ActivityStoryPoint:活动关卡，"AM02S02"通关活动关卡解锁
NormalBattlePoint:主线关卡，"M07S20"通关关卡解锁
EliteBattlePoint:精英关卡，"E01S01"通关关卡解锁
多个条件时，表示要达到所有的条件才算完成该条任务</t>
        </r>
      </text>
    </comment>
    <comment ref="H2" authorId="0" shapeId="0" xr:uid="{BC4D6C45-FC3E-48CD-8763-EA08FD5E13A0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填写translate的Id</t>
        </r>
      </text>
    </comment>
    <comment ref="K2" authorId="1" shapeId="0" xr:uid="{0CABBA4D-7CB7-4340-ACBD-ABDF08314489}">
      <text>
        <r>
          <rPr>
            <sz val="9"/>
            <color indexed="81"/>
            <rFont val="宋体"/>
            <family val="3"/>
            <charset val="134"/>
          </rPr>
          <t xml:space="preserve">格式：
NORMAL是普通显示方式，ELITE是崩坏本显示方式
id需依次填写剧情列表，索引GalleryMemory表中的剧情id
</t>
        </r>
      </text>
    </comment>
    <comment ref="L2" authorId="0" shapeId="0" xr:uid="{DBCF9B2F-4FF1-447D-8479-1FD17D9D2EE0}">
      <text>
        <r>
          <rPr>
            <b/>
            <sz val="9"/>
            <rFont val="宋体"/>
            <family val="3"/>
            <charset val="134"/>
          </rPr>
          <t>程航:</t>
        </r>
        <r>
          <rPr>
            <sz val="9"/>
            <rFont val="宋体"/>
            <family val="3"/>
            <charset val="134"/>
          </rPr>
          <t xml:space="preserve">
填写int数值
同类型的的数值不能重复
表示在UI中的显示排序
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  <author>Windows 用户</author>
  </authors>
  <commentList>
    <comment ref="B2" authorId="0" shapeId="0" xr:uid="{9021D05D-46E6-462A-B731-A3C1C7B3C6D1}">
      <text>
        <r>
          <rPr>
            <sz val="9"/>
            <rFont val="宋体"/>
            <family val="3"/>
            <charset val="134"/>
          </rPr>
          <t xml:space="preserve">作者:
唯一标识，每个主键对应一套图
</t>
        </r>
      </text>
    </comment>
    <comment ref="E2" authorId="0" shapeId="0" xr:uid="{D6E299B6-4B1B-40FD-B913-425EC2A8357A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图片切换机制。
具体格式为：
{"时间1":"BackGroundPictureID","时间2":"BackGroundPictureID",……}
进行切换时，取时间段内对应图片
时间填每日的时间，24小时制。填xx:xx:xx</t>
        </r>
      </text>
    </comment>
    <comment ref="F2" authorId="0" shapeId="0" xr:uid="{B7697A9E-4A1F-4409-A242-B3F315893DD4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购买时使用的货币
如果不填则不需要购买
预留
</t>
        </r>
      </text>
    </comment>
    <comment ref="G2" authorId="0" shapeId="0" xr:uid="{418D26BE-335E-4399-ADD9-E5D51F67A048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使用货币的数量
</t>
        </r>
      </text>
    </comment>
    <comment ref="H2" authorId="0" shapeId="0" xr:uid="{F5AC92C2-A1E1-44E5-9195-2138E5F367DA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玩家切图界面的排序
预留</t>
        </r>
      </text>
    </comment>
    <comment ref="I2" authorId="0" shapeId="0" xr:uid="{25D9E7DD-8457-4A35-82E0-1532564EBD19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0.不可见
1.可见
在选择列表的可见配置，预留
</t>
        </r>
      </text>
    </comment>
    <comment ref="J2" authorId="0" shapeId="0" xr:uid="{A736DD81-BE67-466D-8286-C3107F9F38CA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每组背景的解锁判断道具。玩家持有此道具时此图片可用。
</t>
        </r>
      </text>
    </comment>
    <comment ref="K2" authorId="0" shapeId="0" xr:uid="{486915DA-9DA4-4EF0-9192-5183D7C73BBF}">
      <text>
        <r>
          <rPr>
            <sz val="9"/>
            <rFont val="宋体"/>
            <family val="3"/>
            <charset val="134"/>
          </rPr>
          <t xml:space="preserve">王东旭：
LEVEL-等级解锁
STAGE-关卡解锁
</t>
        </r>
      </text>
    </comment>
    <comment ref="L2" authorId="0" shapeId="0" xr:uid="{8B930534-A121-4DC9-A7EC-099808E8D20E}">
      <text>
        <r>
          <rPr>
            <sz val="9"/>
            <rFont val="宋体"/>
            <family val="3"/>
            <charset val="134"/>
          </rPr>
          <t xml:space="preserve">王东旭：
填对应的背景缩略图资源名，用在看板娘界面背景设置中展示
</t>
        </r>
      </text>
    </comment>
    <comment ref="M2" authorId="0" shapeId="0" xr:uid="{F7D4A2D2-443E-4271-9336-6C9BAACCB3C0}">
      <text>
        <r>
          <rPr>
            <sz val="9"/>
            <rFont val="宋体"/>
            <family val="3"/>
            <charset val="134"/>
          </rPr>
          <t xml:space="preserve">王东旭：
每个背景图未解锁时显示的文本描述
</t>
        </r>
      </text>
    </comment>
    <comment ref="N2" authorId="0" shapeId="0" xr:uid="{2D0DB34F-AD82-460F-9212-EF61FE8194BD}">
      <text>
        <r>
          <rPr>
            <b/>
            <sz val="9"/>
            <color indexed="81"/>
            <rFont val="宋体"/>
            <family val="3"/>
            <charset val="134"/>
          </rPr>
          <t>王东旭:</t>
        </r>
        <r>
          <rPr>
            <sz val="9"/>
            <color indexed="81"/>
            <rFont val="宋体"/>
            <family val="3"/>
            <charset val="134"/>
          </rPr>
          <t xml:space="preserve">
每个背景对应的BGM</t>
        </r>
      </text>
    </comment>
    <comment ref="P2" authorId="1" shapeId="0" xr:uid="{41F05B0B-F953-4C3E-9B29-246859E5DEAF}">
      <text>
        <r>
          <rPr>
            <b/>
            <sz val="9"/>
            <color indexed="81"/>
            <rFont val="宋体"/>
            <family val="3"/>
            <charset val="134"/>
          </rPr>
          <t>张一川:</t>
        </r>
        <r>
          <rPr>
            <sz val="9"/>
            <color indexed="81"/>
            <rFont val="宋体"/>
            <family val="3"/>
            <charset val="134"/>
          </rPr>
          <t xml:space="preserve">
img:奖励图标id
name：奖励名translate
deac：奖励描述translate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  <author>包明承</author>
  </authors>
  <commentList>
    <comment ref="B2" authorId="0" shapeId="0" xr:uid="{D5E7E1F2-0BA1-4AC7-93C5-329097B21089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关卡地图上的关卡点
为BlockMap表的分支</t>
        </r>
      </text>
    </comment>
    <comment ref="C2" authorId="0" shapeId="0" xr:uid="{71444C0A-5CBE-4B6D-94D7-BE682AA336AB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使用的背景图片。仅填写图片名称
</t>
        </r>
      </text>
    </comment>
    <comment ref="D2" authorId="0" shapeId="0" xr:uid="{893C50BE-BCBE-4329-BB25-CFFCAE312DFF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填写使用的特效名称。
如果不填则表示没有
</t>
        </r>
      </text>
    </comment>
    <comment ref="E2" authorId="1" shapeId="0" xr:uid="{67C104B7-196B-4A6B-ABF8-25E4B45DCA0B}">
      <text>
        <r>
          <rPr>
            <b/>
            <sz val="9"/>
            <color indexed="81"/>
            <rFont val="宋体"/>
            <family val="3"/>
            <charset val="134"/>
          </rPr>
          <t>包明承:</t>
        </r>
        <r>
          <rPr>
            <sz val="9"/>
            <color indexed="81"/>
            <rFont val="宋体"/>
            <family val="3"/>
            <charset val="134"/>
          </rPr>
          <t xml:space="preserve">
使用的第2个flash文件
</t>
        </r>
      </text>
    </comment>
    <comment ref="F2" authorId="0" shapeId="0" xr:uid="{33E73556-E1DA-40AD-B459-84C28FC37CE0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目前使用csb文件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B2" authorId="0" shapeId="0" xr:uid="{5EECA5A6-B84E-4B58-B777-036FE93BD177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活动唯一标识ID</t>
        </r>
      </text>
    </comment>
    <comment ref="D2" authorId="0" shapeId="0" xr:uid="{80D92081-D8A4-47CE-836D-2B1812F6CFC7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前端使用什么界面</t>
        </r>
      </text>
    </comment>
    <comment ref="J2" authorId="0" shapeId="0" xr:uid="{4227A2F4-CDCB-4AB6-8DF9-C70F8BE3D5FA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见备注</t>
        </r>
      </text>
    </comment>
    <comment ref="K2" authorId="0" shapeId="0" xr:uid="{97925C67-EA1A-43A7-A252-1FC1016CC304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时间类型中的参数都放到该列
详见备注</t>
        </r>
      </text>
    </comment>
    <comment ref="L2" authorId="0" shapeId="0" xr:uid="{527780F9-C750-40A6-BFAA-65AEECFF8583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见备注</t>
        </r>
      </text>
    </comment>
    <comment ref="M2" authorId="0" shapeId="0" xr:uid="{E2C46718-E8F9-482F-9F63-49FE1437E64D}">
      <text>
        <r>
          <rPr>
            <b/>
            <sz val="9"/>
            <color indexed="81"/>
            <rFont val="宋体"/>
            <family val="3"/>
            <charset val="134"/>
          </rPr>
          <t>Conan:</t>
        </r>
        <r>
          <rPr>
            <sz val="9"/>
            <color indexed="81"/>
            <rFont val="宋体"/>
            <family val="3"/>
            <charset val="134"/>
          </rPr>
          <t xml:space="preserve">
详见备注</t>
        </r>
      </text>
    </comment>
    <comment ref="N2" authorId="0" shapeId="0" xr:uid="{CFC9D50E-0112-4046-8C2B-46B47A67FC55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见备注</t>
        </r>
      </text>
    </comment>
    <comment ref="O2" authorId="0" shapeId="0" xr:uid="{6DF14B67-4E5E-4548-8930-B4C3EA27BF65}">
      <text>
        <r>
          <rPr>
            <b/>
            <sz val="9"/>
            <color indexed="81"/>
            <rFont val="宋体"/>
            <family val="3"/>
            <charset val="134"/>
          </rPr>
          <t>作者:
多重配置表示与的关系</t>
        </r>
        <r>
          <rPr>
            <sz val="9"/>
            <color indexed="81"/>
            <rFont val="宋体"/>
            <family val="3"/>
            <charset val="134"/>
          </rPr>
          <t xml:space="preserve">
LEVEL:等级
VIP：玩家VIP
Register：玩家注册时间，2代表玩家注册2天后，第3天开始
STAGE:玩家通关
SDK：只对应渠道可用
以下为可用SDK
dpstorm_android   龙拳风暴
bilibili_android  bilibili
kuaishou_android  快手
cy17173_android   17173
changyou_android  畅游
tw_mamba_android  台湾-曼巴
dpstorm_ios       龙拳风暴
tw_mamba_ios      台湾-曼巴</t>
        </r>
      </text>
    </comment>
    <comment ref="Q2" authorId="0" shapeId="0" xr:uid="{3945F9EE-26C4-493F-A452-1789F856B533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1:是
0：不是</t>
        </r>
      </text>
    </comment>
    <comment ref="S2" authorId="0" shapeId="0" xr:uid="{7F13213A-CEC3-4F6C-97C8-71C132581DD6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1:重置
0：不重置</t>
        </r>
      </text>
    </comment>
    <comment ref="T2" authorId="0" shapeId="0" xr:uid="{48E8FE3A-CA16-4563-8274-98DEBD32C9C8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1:开启
0：不开</t>
        </r>
      </text>
    </comment>
    <comment ref="U2" authorId="0" shapeId="0" xr:uid="{2BD6EB01-C690-4039-AF8B-63A3FE6B28FB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0：子活动
1：主活动</t>
        </r>
      </text>
    </comment>
    <comment ref="V2" authorId="0" shapeId="0" xr:uid="{1A89E090-A9D4-4CB3-A22F-C965438DDA84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0:不显示
1：活动面板
2：主界面
</t>
        </r>
        <r>
          <rPr>
            <b/>
            <sz val="9"/>
            <color indexed="81"/>
            <rFont val="宋体"/>
            <family val="3"/>
            <charset val="134"/>
          </rPr>
          <t>王东旭</t>
        </r>
        <r>
          <rPr>
            <sz val="9"/>
            <color indexed="81"/>
            <rFont val="宋体"/>
            <family val="3"/>
            <charset val="134"/>
          </rPr>
          <t>：
3：活动面板和主界面</t>
        </r>
      </text>
    </comment>
    <comment ref="W2" authorId="0" shapeId="0" xr:uid="{D93D0E22-55F8-4D33-B50A-75E543F5A2E8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序号越小越靠前</t>
        </r>
      </text>
    </comment>
    <comment ref="Y2" authorId="0" shapeId="0" xr:uid="{F952DF92-E341-4B3E-A5F5-2073BA6B152B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在活动页面里，活动标题旁边的标签
WONDERFUL  精彩
MONDAY     周一
WONDERFUL2 精彩（红色）
RECOMMEND  推荐</t>
        </r>
      </text>
    </comment>
    <comment ref="Z2" authorId="0" shapeId="0" xr:uid="{B0B0757E-67FE-41A3-85B3-69D1AF86A7FA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大于等于此版本的底包才可见
iOS：苹果
android：安卓
举例：{"iOS":1213,"android":1213}</t>
        </r>
      </text>
    </comment>
    <comment ref="B8" authorId="0" shapeId="0" xr:uid="{A2CB3163-85FC-4B65-9A07-02237BAE54DB}">
      <text>
        <r>
          <rPr>
            <sz val="9"/>
            <color indexed="81"/>
            <rFont val="宋体"/>
            <family val="3"/>
            <charset val="134"/>
          </rPr>
          <t>Added by 徐宇斌, on 2021/9/3, 15:07:38;</t>
        </r>
      </text>
    </comment>
    <comment ref="G8" authorId="0" shapeId="0" xr:uid="{9B83FB6D-0473-459D-BCD0-F2C3F1F203F3}">
      <text>
        <r>
          <rPr>
            <sz val="9"/>
            <color indexed="81"/>
            <rFont val="宋体"/>
            <family val="3"/>
            <charset val="134"/>
          </rPr>
          <t xml:space="preserve">1 Time(s);
Modified by 徐宇斌, on 2021/9/7, 15:25:31;
</t>
        </r>
      </text>
    </comment>
    <comment ref="K8" authorId="0" shapeId="0" xr:uid="{C9217197-8DC8-4BE9-8160-349AC88D140F}">
      <text>
        <r>
          <rPr>
            <sz val="9"/>
            <color indexed="81"/>
            <rFont val="宋体"/>
            <family val="3"/>
            <charset val="134"/>
          </rPr>
          <t xml:space="preserve">1 Time(s);
Modified by 徐宇斌, on 2021/9/7, 15:25:31;
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AA1" authorId="0" shapeId="0" xr:uid="{B3DF4A47-FC42-47B5-8987-A3A4027360BD}">
      <text>
        <r>
          <rPr>
            <sz val="9"/>
            <color indexed="81"/>
            <rFont val="宋体"/>
            <family val="3"/>
            <charset val="134"/>
          </rPr>
          <t xml:space="preserve">4 Time(s);
Column Modified by 张一川, on 2021/7/22, 15:09:18;
Column Modified by 张一川, on 2021/7/22, 15:26:43;
Column Modified by 张一川, on 2021/7/22, 15:35:14;
Column Modified by 张一川, on 2021/7/26, 16:24:59;
</t>
        </r>
      </text>
    </comment>
    <comment ref="B2" authorId="0" shapeId="0" xr:uid="{59C770E4-201F-47BF-8E5E-1BEF0B71AFF4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改ID需要和程序说</t>
        </r>
      </text>
    </comment>
    <comment ref="C2" authorId="0" shapeId="0" xr:uid="{364177B0-BD3E-4228-B0F2-D9BEB0D34BD0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按钮名称</t>
        </r>
      </text>
    </comment>
    <comment ref="D2" authorId="0" shapeId="0" xr:uid="{F58F4B4F-F85A-4F2E-A140-F919F779B748}">
      <text>
        <r>
          <rPr>
            <b/>
            <sz val="9"/>
            <color indexed="81"/>
            <rFont val="宋体"/>
            <family val="3"/>
            <charset val="134"/>
          </rPr>
          <t>王东旭:</t>
        </r>
        <r>
          <rPr>
            <sz val="9"/>
            <color indexed="81"/>
            <rFont val="宋体"/>
            <family val="3"/>
            <charset val="134"/>
          </rPr>
          <t xml:space="preserve">
按钮英文名称</t>
        </r>
      </text>
    </comment>
    <comment ref="F2" authorId="0" shapeId="0" xr:uid="{62FA3DFA-FD62-49AB-947C-AA0F313BA42A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数据描述页签中的文本标题，非富文本
没有这个标题则表示不显示概率说明按钮</t>
        </r>
      </text>
    </comment>
    <comment ref="G2" authorId="0" shapeId="0" xr:uid="{86A07838-19E6-4562-98D5-CBE8D4BF851E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用于抽卡说明界面的概率描述
[{"概率数值":[类型,类型参数]},{"概率数值":[类型,类型参数]}]
类型：
    str 文本   参数：translate表Id，富文本
    pic 图片   参数：图片文件名
数组在UI上的显示排序为
1,2
3,4
5,6
7,8</t>
        </r>
      </text>
    </comment>
    <comment ref="I2" authorId="0" shapeId="0" xr:uid="{F7729F81-EB06-432C-BDFB-E6EC13A27ADC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GOLD 金币抽
DIAMOND 钻石抽
EQUIP 装备抽
ACTIVITYDRAW 活动英魂抽
ACTIVITYDRAWEQUIP  活动装备抽
</t>
        </r>
      </text>
    </comment>
    <comment ref="J2" authorId="0" shapeId="0" xr:uid="{1B6EA9BB-9D1C-4838-BACD-261D77E3F929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[低抽卡次数，高抽卡次数]</t>
        </r>
      </text>
    </comment>
    <comment ref="L2" authorId="0" shapeId="0" xr:uid="{51E8C8C3-00AA-476E-B282-37098B2BE3DD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【低抽卡消耗数，高抽卡消耗总数】</t>
        </r>
      </text>
    </comment>
    <comment ref="M2" authorId="0" shapeId="0" xr:uid="{406D57F9-B6D6-4788-8897-A9E0C1FEB867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作者:
每过段时间有X次免费机会
只针对最低档抽卡次数生效</t>
        </r>
      </text>
    </comment>
    <comment ref="N2" authorId="0" shapeId="0" xr:uid="{70512AE8-383C-4302-BE81-4EE099226A6A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数组两个数[x,y]，x表示抽卡的默认初始次数（玩家新建账号时按照此值设定），y表示每第y次的时候不走普通奖励逻辑，而走抽卡特别奖励逻辑
同一种类型的抽卡这列值必须相同！不然会报错！！！</t>
        </r>
      </text>
    </comment>
    <comment ref="O2" authorId="0" shapeId="0" xr:uid="{789FF19E-966B-4459-8B3C-86DF3861E229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关联Reward表
奖励时为重复读取该奖励接口，次数为奖励个数列</t>
        </r>
      </text>
    </comment>
    <comment ref="P2" authorId="0" shapeId="0" xr:uid="{794988B1-4A68-44A6-8DF7-23376EF5D043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每抽X次得的奖励
同一种类型的抽卡这列值必须相同！不然会报错！！！</t>
        </r>
      </text>
    </comment>
    <comment ref="Q2" authorId="0" shapeId="0" xr:uid="{25E9EC92-3222-4A98-A9EA-8D34A2BF9E9E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每次抽奖固定获得的奖励（买多少个XX送抽奖中的XX），关联Reward表</t>
        </r>
      </text>
    </comment>
    <comment ref="R2" authorId="0" shapeId="0" xr:uid="{A3186A58-3584-47C6-B6FB-723FFFC2C1C8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金币抽、钻石抽：
{"Draw_HeroBtnName":角色卡池，"Draw_ItemBtnName":道具卡池,"Draw_EquipBtnName":装备卡池]</t>
        </r>
      </text>
    </comment>
    <comment ref="S2" authorId="0" shapeId="0" xr:uid="{3164045E-B253-4292-8E39-E1CC9478E2C2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用于在抽奖按钮上显示的文本
[低抽卡次数描述，高抽卡次数描述]</t>
        </r>
      </text>
    </comment>
    <comment ref="T2" authorId="0" shapeId="0" xr:uid="{51D7498F-3811-4F13-9B25-EB7A53D2DC68}">
      <text>
        <r>
          <rPr>
            <b/>
            <sz val="9"/>
            <color indexed="81"/>
            <rFont val="宋体"/>
            <family val="3"/>
            <charset val="134"/>
          </rPr>
          <t>王东旭:</t>
        </r>
        <r>
          <rPr>
            <sz val="9"/>
            <color indexed="81"/>
            <rFont val="宋体"/>
            <family val="3"/>
            <charset val="134"/>
          </rPr>
          <t xml:space="preserve">
用于在抽奖按钮上显示的英文文本
[低抽卡次数描述，高抽卡次数描述]</t>
        </r>
      </text>
    </comment>
    <comment ref="U2" authorId="0" shapeId="0" xr:uid="{36DF749E-93BC-4EF7-904F-B5233F8A0A44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{"main":界面主图片,"btn":按钮上方图片,"cover":界面遮罩}
没有按钮图和遮罩则不填写该项
</t>
        </r>
        <r>
          <rPr>
            <b/>
            <sz val="9"/>
            <color indexed="81"/>
            <rFont val="宋体"/>
            <family val="3"/>
            <charset val="134"/>
          </rPr>
          <t xml:space="preserve">张一川：
</t>
        </r>
        <r>
          <rPr>
            <sz val="9"/>
            <color indexed="81"/>
            <rFont val="宋体"/>
            <family val="3"/>
            <charset val="134"/>
          </rPr>
          <t>"type"："模板类型"为新增字段，用于区分优化后的UI模板（底图不带文本），1UP为单UP卡池，2UP为双UP卡池
未优化的卡池可不填此项</t>
        </r>
      </text>
    </comment>
    <comment ref="V2" authorId="0" shapeId="0" xr:uid="{1CD14A50-0228-44E6-8C8D-189011CCA156}">
      <text>
        <r>
          <rPr>
            <b/>
            <sz val="9"/>
            <color indexed="81"/>
            <rFont val="宋体"/>
            <family val="3"/>
            <charset val="134"/>
          </rPr>
          <t>程航:用unlock</t>
        </r>
        <r>
          <rPr>
            <sz val="9"/>
            <color indexed="81"/>
            <rFont val="宋体"/>
            <family val="3"/>
            <charset val="134"/>
          </rPr>
          <t xml:space="preserve">
填写UnlockSystem ID</t>
        </r>
      </text>
    </comment>
    <comment ref="W2" authorId="0" shapeId="0" xr:uid="{46A48E2C-E8F5-457C-9420-F35FB7ED598E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数值越大按钮排序越靠前
</t>
        </r>
      </text>
    </comment>
    <comment ref="X2" authorId="0" shapeId="0" xr:uid="{3229A48D-C13C-49B8-A238-432D4433CF2E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此卡池内玩家可以抽卡的最大次数。
填-1则表示无限制</t>
        </r>
      </text>
    </comment>
    <comment ref="Y2" authorId="0" shapeId="0" xr:uid="{FE50D3EE-D8AD-422C-A0C7-F62F25448369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[[范围下限,范围上限,消耗券数量],[范围下限,范围上限,消耗券数量],……]
上限无限时填-1
如果填[]则表示无折扣
</t>
        </r>
      </text>
    </comment>
    <comment ref="Z2" authorId="0" shapeId="0" xr:uid="{143A9C69-189D-4576-97C8-E7DAC3FD870D}">
      <text>
        <r>
          <rPr>
            <b/>
            <sz val="9"/>
            <color indexed="81"/>
            <rFont val="宋体"/>
            <family val="3"/>
            <charset val="134"/>
          </rPr>
          <t>王东旭:</t>
        </r>
        <r>
          <rPr>
            <sz val="9"/>
            <color indexed="81"/>
            <rFont val="宋体"/>
            <family val="3"/>
            <charset val="134"/>
          </rPr>
          <t xml:space="preserve">
Up卡池限时卡池等的详情描述文本配置，每个数组里第一个ID默认是标题ID，后面的是内容ID，换行由策划配置空格来换行</t>
        </r>
      </text>
    </comment>
    <comment ref="AA2" authorId="0" shapeId="0" xr:uid="{7DE2CC3F-3660-41D1-AB9F-D2096AFAE3DA}">
      <text>
        <r>
          <rPr>
            <b/>
            <sz val="9"/>
            <color indexed="81"/>
            <rFont val="宋体"/>
            <family val="3"/>
            <charset val="134"/>
          </rPr>
          <t>王东旭:</t>
        </r>
        <r>
          <rPr>
            <sz val="9"/>
            <color indexed="81"/>
            <rFont val="宋体"/>
            <family val="3"/>
            <charset val="134"/>
          </rPr>
          <t xml:space="preserve">
[{"hero":"英魂1","position":[位置1]},{"hero":"英魂2","position":[位置2]},……]以此类推
</t>
        </r>
        <r>
          <rPr>
            <b/>
            <sz val="9"/>
            <color indexed="81"/>
            <rFont val="宋体"/>
            <family val="3"/>
            <charset val="134"/>
          </rPr>
          <t>张一川</t>
        </r>
        <r>
          <rPr>
            <sz val="9"/>
            <color indexed="81"/>
            <rFont val="宋体"/>
            <family val="3"/>
            <charset val="134"/>
          </rPr>
          <t>：
[{"equip":"圣铭1","urposition":[UR装备位置1],"showequip":"UR装备1"},{"equip":"圣铭2","urposition":[UR装备位置2],"showequip":"UR装备2"},……]
以此类推
配置为空，则表示该卡池不显示查看详情按钮</t>
        </r>
      </text>
    </comment>
    <comment ref="AB2" authorId="0" shapeId="0" xr:uid="{2B8F10BD-16BE-43C5-A1FE-8A7D415E6222}">
      <text>
        <r>
          <rPr>
            <b/>
            <sz val="9"/>
            <color indexed="81"/>
            <rFont val="宋体"/>
            <family val="3"/>
            <charset val="134"/>
          </rPr>
          <t xml:space="preserve">王东旭:
配置则显示“更多礼包”按钮，不配置则不显示该按钮
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  <comment ref="AC2" authorId="0" shapeId="0" xr:uid="{82644D22-65CB-4F56-BD8C-F898CAE3675D}">
      <text>
        <r>
          <rPr>
            <b/>
            <sz val="9"/>
            <color indexed="81"/>
            <rFont val="宋体"/>
            <family val="3"/>
            <charset val="134"/>
          </rPr>
          <t>庄晋升:</t>
        </r>
        <r>
          <rPr>
            <sz val="9"/>
            <color indexed="81"/>
            <rFont val="宋体"/>
            <family val="3"/>
            <charset val="134"/>
          </rPr>
          <t xml:space="preserve">
除固定道具外额外给的奖励
</t>
        </r>
      </text>
    </comment>
    <comment ref="AG2" authorId="0" shapeId="0" xr:uid="{163ACE60-4953-4E25-A728-B6986B0D2949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用于填写该卡池生效的次数箱子（按数组顺序排列档位）</t>
        </r>
      </text>
    </comment>
    <comment ref="AH2" authorId="0" shapeId="0" xr:uid="{88734930-28EF-4E20-8C23-313666806E91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填写1或0，用于控制次数箱子是否循环，1=循环，0=不循环
数组内从第一个奖励开始，达成条件领取，领取数组内最后一个箱子后，从第一个重新领取</t>
        </r>
      </text>
    </comment>
    <comment ref="AI2" authorId="0" shapeId="0" xr:uid="{76860F50-BEB0-489E-99E7-C1871CBD0632}">
      <text>
        <r>
          <rPr>
            <b/>
            <sz val="9"/>
            <color indexed="81"/>
            <rFont val="宋体"/>
            <family val="3"/>
            <charset val="134"/>
          </rPr>
          <t>张一川:</t>
        </r>
        <r>
          <rPr>
            <sz val="9"/>
            <color indexed="81"/>
            <rFont val="宋体"/>
            <family val="3"/>
            <charset val="134"/>
          </rPr>
          <t xml:space="preserve">
概率描述，此处文本配置为富文本</t>
        </r>
      </text>
    </comment>
    <comment ref="AF5" authorId="0" shapeId="0" xr:uid="{3423D893-5BD5-47DF-97D7-4E5CD98A72CF}">
      <text>
        <r>
          <rPr>
            <sz val="9"/>
            <color indexed="81"/>
            <rFont val="宋体"/>
            <family val="3"/>
            <charset val="134"/>
          </rPr>
          <t>Added by 张焕新, on 2021/4/8, 18:41:56;</t>
        </r>
      </text>
    </comment>
    <comment ref="AG5" authorId="0" shapeId="0" xr:uid="{964B7BA0-EFC9-46E7-9777-016988EE94AD}">
      <text>
        <r>
          <rPr>
            <sz val="9"/>
            <color indexed="81"/>
            <rFont val="宋体"/>
            <family val="3"/>
            <charset val="134"/>
          </rPr>
          <t>Added by 张一川, on 2021/5/19, 12:02:57;</t>
        </r>
      </text>
    </comment>
    <comment ref="AH5" authorId="0" shapeId="0" xr:uid="{0C90CF4D-E061-4C78-8E76-DB62DD34C415}">
      <text>
        <r>
          <rPr>
            <sz val="9"/>
            <color indexed="81"/>
            <rFont val="宋体"/>
            <family val="3"/>
            <charset val="134"/>
          </rPr>
          <t>Added by 张一川, on 2021/5/19, 12:02:58;</t>
        </r>
      </text>
    </comment>
    <comment ref="AI5" authorId="0" shapeId="0" xr:uid="{57675044-E248-45EE-95DB-A75B64ACA405}">
      <text>
        <r>
          <rPr>
            <sz val="9"/>
            <color indexed="81"/>
            <rFont val="宋体"/>
            <family val="3"/>
            <charset val="134"/>
          </rPr>
          <t>Added by 张一川, on 2021/7/22, 15:09:18;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B2" authorId="0" shapeId="0" xr:uid="{ED6E7F65-2CBD-4425-AE23-F7A0FE85FE0F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活动唯一标识ID</t>
        </r>
      </text>
    </comment>
    <comment ref="D2" authorId="0" shapeId="0" xr:uid="{F6723951-3D17-4716-9ABE-4D9DDD3CB14A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Banner类型
Activity：活动类型，随活动开启和关闭
PackageShop：直购礼包，随直购礼包，购买后消失</t>
        </r>
      </text>
    </comment>
    <comment ref="E2" authorId="0" shapeId="0" xr:uid="{9BB6C07A-2883-410B-B50D-55ACB5BBA677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根据不同Type对应不同内容
Activity对应活动ID
PackageShop对应直购商店的直购礼包ID</t>
        </r>
      </text>
    </comment>
    <comment ref="I2" authorId="0" shapeId="0" xr:uid="{05F84816-8E70-41A6-966D-CFCD6DDFC089}">
      <text>
        <r>
          <rPr>
            <b/>
            <sz val="9"/>
            <color indexed="81"/>
            <rFont val="宋体"/>
            <family val="3"/>
            <charset val="134"/>
          </rPr>
          <t>吴伟雯:</t>
        </r>
        <r>
          <rPr>
            <sz val="9"/>
            <color indexed="81"/>
            <rFont val="宋体"/>
            <family val="3"/>
            <charset val="134"/>
          </rPr>
          <t xml:space="preserve">
重要活动的入口会显示在主界面上
1=是
0/空=否
慎用
如多个活动都为重要活动，则按排序显示</t>
        </r>
      </text>
    </comment>
    <comment ref="J2" authorId="0" shapeId="0" xr:uid="{28A0373E-A27B-41E4-B25F-E470A34F0D20}">
      <text>
        <r>
          <rPr>
            <b/>
            <sz val="9"/>
            <color indexed="81"/>
            <rFont val="宋体"/>
            <family val="3"/>
            <charset val="134"/>
          </rPr>
          <t>吴伟雯：
如果是重要活动
需要配置入口图标</t>
        </r>
      </text>
    </comment>
    <comment ref="K2" authorId="0" shapeId="0" xr:uid="{0A8BF6AD-9B43-435D-958C-9C9400365673}">
      <text>
        <r>
          <rPr>
            <b/>
            <sz val="9"/>
            <color indexed="81"/>
            <rFont val="宋体"/>
            <family val="3"/>
            <charset val="134"/>
          </rPr>
          <t>吴伟雯:</t>
        </r>
        <r>
          <rPr>
            <sz val="9"/>
            <color indexed="81"/>
            <rFont val="宋体"/>
            <family val="3"/>
            <charset val="134"/>
          </rPr>
          <t xml:space="preserve">
庆典日历小人气泡
如果该活动开启，则可以
配置对应的气泡</t>
        </r>
      </text>
    </comment>
    <comment ref="L2" authorId="0" shapeId="0" xr:uid="{744C43CD-7B5E-4C2E-A9FA-5891FC9188C8}">
      <text>
        <r>
          <rPr>
            <b/>
            <sz val="9"/>
            <color indexed="81"/>
            <rFont val="宋体"/>
            <family val="3"/>
            <charset val="134"/>
          </rPr>
          <t>吴伟雯：
如果该活动对应的功能有开关
需要配置开关名字
string类型</t>
        </r>
      </text>
    </comment>
    <comment ref="M2" authorId="0" shapeId="0" xr:uid="{5B029329-E73B-49FF-A15F-09F93B3F9F2D}">
      <text>
        <r>
          <rPr>
            <b/>
            <sz val="9"/>
            <color indexed="81"/>
            <rFont val="宋体"/>
            <family val="3"/>
            <charset val="134"/>
          </rPr>
          <t>吴伟雯：
如果配置，则配置提前x天在活动预告里出现</t>
        </r>
      </text>
    </comment>
    <comment ref="H5" authorId="0" shapeId="0" xr:uid="{9E201F80-E9F6-46C2-AB9A-CE42842D9FF9}">
      <text>
        <r>
          <rPr>
            <sz val="9"/>
            <color indexed="81"/>
            <rFont val="宋体"/>
            <family val="3"/>
            <charset val="134"/>
          </rPr>
          <t>Added by 吴伟雯, on 2021/4/29, 17:35:53;</t>
        </r>
      </text>
    </comment>
    <comment ref="I5" authorId="0" shapeId="0" xr:uid="{A36AADA5-68F7-48D7-BCCB-0D441951902D}">
      <text>
        <r>
          <rPr>
            <sz val="9"/>
            <color indexed="81"/>
            <rFont val="宋体"/>
            <family val="3"/>
            <charset val="134"/>
          </rPr>
          <t>Added by 吴伟雯, on 2021/4/29, 17:35:54;</t>
        </r>
      </text>
    </comment>
    <comment ref="J5" authorId="0" shapeId="0" xr:uid="{69E73E77-F743-4B64-9E60-6F9996C8CDB8}">
      <text>
        <r>
          <rPr>
            <sz val="9"/>
            <color indexed="81"/>
            <rFont val="宋体"/>
            <family val="3"/>
            <charset val="134"/>
          </rPr>
          <t>Added by 吴伟雯, on 2021/4/29, 17:35:55;</t>
        </r>
      </text>
    </comment>
    <comment ref="K5" authorId="0" shapeId="0" xr:uid="{6E216A7F-623E-42C7-B266-6C09D35679FA}">
      <text>
        <r>
          <rPr>
            <sz val="9"/>
            <color indexed="81"/>
            <rFont val="宋体"/>
            <family val="3"/>
            <charset val="134"/>
          </rPr>
          <t>Added by 吴伟雯, on 2021/4/29, 17:35:56;</t>
        </r>
      </text>
    </comment>
    <comment ref="L5" authorId="0" shapeId="0" xr:uid="{547A87D6-616B-483E-9A29-BEC72FEA51D4}">
      <text>
        <r>
          <rPr>
            <sz val="9"/>
            <color indexed="81"/>
            <rFont val="宋体"/>
            <family val="3"/>
            <charset val="134"/>
          </rPr>
          <t>Added by 吴伟雯, on 2021/4/29, 17:35:56;</t>
        </r>
      </text>
    </comment>
    <comment ref="B8" authorId="0" shapeId="0" xr:uid="{418E4E55-FA52-4948-A268-161131E86BDA}">
      <text>
        <r>
          <rPr>
            <sz val="9"/>
            <color indexed="81"/>
            <rFont val="宋体"/>
            <family val="3"/>
            <charset val="134"/>
          </rPr>
          <t>Added by 徐宇斌, on 2021/9/3, 15:07:45;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  <author>Windows 用户</author>
    <author>徐宇斌</author>
    <author>admin</author>
  </authors>
  <commentList>
    <comment ref="B2" authorId="0" shapeId="0" xr:uid="{935112EA-CFA3-4949-8253-109B8E1500F5}">
      <text>
        <r>
          <rPr>
            <sz val="9"/>
            <rFont val="宋体"/>
            <family val="3"/>
            <charset val="134"/>
          </rPr>
          <t>作者:
多语言唯一标识ID</t>
        </r>
      </text>
    </comment>
    <comment ref="E2" authorId="1" shapeId="0" xr:uid="{B3D947DD-C0CB-4EEF-87A9-00B9E84F8766}">
      <text>
        <r>
          <rPr>
            <sz val="9"/>
            <color indexed="81"/>
            <rFont val="宋体"/>
            <family val="3"/>
            <charset val="134"/>
          </rPr>
          <t xml:space="preserve">所填数字为最长字符数
若写“无限制”，则表明文字可以滚动播放
统一标准
关卡描述：88
关卡名称：10
剧情关卡名称：16
章节名称：6
装备名称：12
道具名称：14
道具描述：64
</t>
        </r>
      </text>
    </comment>
    <comment ref="B20" authorId="2" shapeId="0" xr:uid="{20048FF4-CE6A-4BD7-A3C3-9E02A8EAFFEF}">
      <text>
        <r>
          <rPr>
            <sz val="9"/>
            <color indexed="81"/>
            <rFont val="宋体"/>
            <family val="3"/>
            <charset val="134"/>
          </rPr>
          <t>Added by 徐宇斌, on 2021/9/3, 15:07:47;</t>
        </r>
      </text>
    </comment>
    <comment ref="B21" authorId="2" shapeId="0" xr:uid="{A1269DFE-5063-4FA4-902C-AF82C24C68AF}">
      <text>
        <r>
          <rPr>
            <sz val="9"/>
            <color indexed="81"/>
            <rFont val="宋体"/>
            <family val="3"/>
            <charset val="134"/>
          </rPr>
          <t>Added by 徐宇斌, on 2021/9/3, 15:07:47;</t>
        </r>
      </text>
    </comment>
    <comment ref="B22" authorId="2" shapeId="0" xr:uid="{78A2B271-0433-447D-85EA-1C876B5277A3}">
      <text>
        <r>
          <rPr>
            <sz val="9"/>
            <color indexed="81"/>
            <rFont val="宋体"/>
            <family val="3"/>
            <charset val="134"/>
          </rPr>
          <t>Added by 徐宇斌, on 2021/9/3, 15:07:47;</t>
        </r>
      </text>
    </comment>
    <comment ref="C22" authorId="3" shapeId="0" xr:uid="{85C96F18-C381-41AA-B670-E2A9C4B68ACC}">
      <text>
        <r>
          <rPr>
            <sz val="9"/>
            <color indexed="81"/>
            <rFont val="宋体"/>
            <family val="3"/>
            <charset val="134"/>
          </rPr>
          <t xml:space="preserve">1 Time(s);
Modified by 徐宇斌, on 2021/9/7, 15:25:49;
</t>
        </r>
      </text>
    </comment>
    <comment ref="B23" authorId="2" shapeId="0" xr:uid="{97CC610E-3433-4BC5-8DF6-0AB9223F3AF3}">
      <text>
        <r>
          <rPr>
            <sz val="9"/>
            <color indexed="81"/>
            <rFont val="宋体"/>
            <family val="3"/>
            <charset val="134"/>
          </rPr>
          <t>Added by 徐宇斌, on 2021/9/3, 15:07:47;</t>
        </r>
      </text>
    </comment>
    <comment ref="B24" authorId="2" shapeId="0" xr:uid="{380FC314-69F7-4147-A0AD-B56F45F7C883}">
      <text>
        <r>
          <rPr>
            <sz val="9"/>
            <color indexed="81"/>
            <rFont val="宋体"/>
            <family val="3"/>
            <charset val="134"/>
          </rPr>
          <t>Added by 徐宇斌, on 2021/9/3, 15:07:47;</t>
        </r>
      </text>
    </comment>
    <comment ref="B25" authorId="2" shapeId="0" xr:uid="{78A88C45-7250-4BF7-A43E-82316B467C52}">
      <text>
        <r>
          <rPr>
            <sz val="9"/>
            <color indexed="81"/>
            <rFont val="宋体"/>
            <family val="3"/>
            <charset val="134"/>
          </rPr>
          <t>Added by 徐宇斌, on 2021/9/3, 15:07:47;</t>
        </r>
      </text>
    </comment>
    <comment ref="B26" authorId="2" shapeId="0" xr:uid="{EDFFA9CE-5BD2-4455-956D-988871A4E6F6}">
      <text>
        <r>
          <rPr>
            <sz val="9"/>
            <color indexed="81"/>
            <rFont val="宋体"/>
            <family val="3"/>
            <charset val="134"/>
          </rPr>
          <t>Added by 徐宇斌, on 2021/9/3, 15:07:47;</t>
        </r>
      </text>
    </comment>
    <comment ref="B27" authorId="2" shapeId="0" xr:uid="{433D2B93-825B-4F10-8F9A-9CDA0ED27C6E}">
      <text>
        <r>
          <rPr>
            <sz val="9"/>
            <color indexed="81"/>
            <rFont val="宋体"/>
            <family val="3"/>
            <charset val="134"/>
          </rPr>
          <t>Added by 徐宇斌, on 2021/9/3, 15:07:48;</t>
        </r>
      </text>
    </comment>
    <comment ref="B28" authorId="2" shapeId="0" xr:uid="{112F9C25-1D0B-4B52-8D1A-1DEE04E0797A}">
      <text>
        <r>
          <rPr>
            <sz val="9"/>
            <color indexed="81"/>
            <rFont val="宋体"/>
            <family val="3"/>
            <charset val="134"/>
          </rPr>
          <t>Added by 徐宇斌, on 2021/9/3, 15:07:48;</t>
        </r>
      </text>
    </comment>
    <comment ref="B29" authorId="2" shapeId="0" xr:uid="{2EBF3C04-B0AE-4DFC-B740-27339F54969B}">
      <text>
        <r>
          <rPr>
            <sz val="9"/>
            <color indexed="81"/>
            <rFont val="宋体"/>
            <family val="3"/>
            <charset val="134"/>
          </rPr>
          <t>Added by 徐宇斌, on 2021/9/3, 15:07:48;</t>
        </r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徐宇斌</author>
    <author>作者</author>
    <author>L98</author>
    <author>Windows 用户</author>
    <author>杨博番</author>
    <author>包明承</author>
    <author>admin</author>
  </authors>
  <commentList>
    <comment ref="A1" authorId="0" shapeId="0" xr:uid="{4F6CAFE5-52F1-4903-8F21-E8DDB600B170}">
      <text>
        <r>
          <rPr>
            <sz val="9"/>
            <rFont val="宋体"/>
            <family val="3"/>
            <charset val="134"/>
          </rPr>
          <t xml:space="preserve">PRIMARY: Model_SP_SSQXin_singel, deleted by 徐宇斌, on 2021/7/27, 12:23:26;
</t>
        </r>
      </text>
    </comment>
    <comment ref="B2" authorId="1" shapeId="0" xr:uid="{F75D6A23-E87A-4986-B528-01D92421194C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ID，唯一标示
</t>
        </r>
      </text>
    </comment>
    <comment ref="C2" authorId="1" shapeId="0" xr:uid="{EA99EF4A-44F5-4B8E-BA8F-6DC6865A97E3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填格斗家或怪物模型名称</t>
        </r>
      </text>
    </comment>
    <comment ref="D2" authorId="2" shapeId="0" xr:uid="{7970BB3A-E2B0-4065-BBAE-3FAC00BCDF83}">
      <text>
        <r>
          <rPr>
            <b/>
            <sz val="9"/>
            <rFont val="宋体"/>
            <family val="3"/>
            <charset val="134"/>
          </rPr>
          <t>ny:</t>
        </r>
        <r>
          <rPr>
            <sz val="9"/>
            <rFont val="宋体"/>
            <family val="3"/>
            <charset val="134"/>
          </rPr>
          <t xml:space="preserve">
用以填写UIProject\cocosstudio\asset\enemy路径下的通用资源ID
需要通用的填写相应的模型Model ID
不需要的留空，读取默认Model ID</t>
        </r>
      </text>
    </comment>
    <comment ref="E2" authorId="3" shapeId="0" xr:uid="{41C173F9-3069-4F5B-95C7-4FC78A43CB9F}">
      <text>
        <r>
          <rPr>
            <b/>
            <sz val="9"/>
            <rFont val="宋体"/>
            <family val="3"/>
            <charset val="134"/>
          </rPr>
          <t>技能范围:</t>
        </r>
        <r>
          <rPr>
            <sz val="9"/>
            <rFont val="宋体"/>
            <family val="3"/>
            <charset val="134"/>
          </rPr>
          <t xml:space="preserve">
对应关系见备注
</t>
        </r>
      </text>
    </comment>
    <comment ref="F2" authorId="3" shapeId="0" xr:uid="{0B179C8A-A844-4F3D-A7CA-3939AD3673BF}">
      <text>
        <r>
          <rPr>
            <b/>
            <sz val="9"/>
            <rFont val="宋体"/>
            <family val="3"/>
            <charset val="134"/>
          </rPr>
          <t>模型名称:</t>
        </r>
        <r>
          <rPr>
            <sz val="9"/>
            <rFont val="宋体"/>
            <family val="3"/>
            <charset val="134"/>
          </rPr>
          <t xml:space="preserve">
链接Translate表
</t>
        </r>
      </text>
    </comment>
    <comment ref="H2" authorId="1" shapeId="0" xr:uid="{FA6327AF-A4D3-48BD-A244-2D53EC9E7840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需要和美术核对，填动画文件名字</t>
        </r>
      </text>
    </comment>
    <comment ref="I2" authorId="1" shapeId="0" xr:uid="{41EE5393-B561-406F-AE7E-6D8A4EB47BC7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需要和美术核对，填动画文件名字</t>
        </r>
      </text>
    </comment>
    <comment ref="L2" authorId="1" shapeId="0" xr:uid="{1D7FD5DF-96ED-41BA-BAFE-293013F7D63F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填Sound表中的声音文件ID</t>
        </r>
      </text>
    </comment>
    <comment ref="M2" authorId="1" shapeId="0" xr:uid="{2602EB4C-AB79-4D81-9593-77C1891D6433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这里填数组，填写对应模型在战斗场景中所使用声音文件ID</t>
        </r>
      </text>
    </comment>
    <comment ref="N2" authorId="1" shapeId="0" xr:uid="{ED9F3AAE-FB48-471C-A40E-65271E26211D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前端用，默认值320</t>
        </r>
      </text>
    </comment>
    <comment ref="O2" authorId="1" shapeId="0" xr:uid="{14527626-31CB-4995-AEEE-8BE10C7A7F67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前端用，默认值320</t>
        </r>
      </text>
    </comment>
    <comment ref="Q2" authorId="1" shapeId="0" xr:uid="{EDD7C0E4-BC8F-40A6-B890-AE930F6DD4E5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这里填数组，填写对应模型在战斗场景中所使用声音文件ID
必须和 SoundVoiceText /SoundVoiceCondition 中的元素数量保持一致</t>
        </r>
      </text>
    </comment>
    <comment ref="R2" authorId="1" shapeId="0" xr:uid="{E37D3470-B6AE-4507-8BEE-0DA928276B39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这里填数组，填写对应模型在战斗场景中发出声音对应的文本
数组元素数量必须和 SoundVoice  、  SoundVoiceCondition 保持一致</t>
        </r>
      </text>
    </comment>
    <comment ref="S2" authorId="1" shapeId="0" xr:uid="{7D59B338-1DBC-44D8-9F50-D2578F7FAAB6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暂时是玩家等级，以后换为对应条件</t>
        </r>
      </text>
    </comment>
    <comment ref="T2" authorId="1" shapeId="0" xr:uid="{C5C241D6-E742-4386-B2D2-1820DD04F4D0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填写SpecialPicture表Id
主角、英魂和怪物立绘都用这个
</t>
        </r>
      </text>
    </comment>
    <comment ref="U2" authorId="4" shapeId="0" xr:uid="{BE64B17C-3CE3-401E-9C12-6424B50A4F0C}">
      <text>
        <r>
          <rPr>
            <b/>
            <sz val="9"/>
            <rFont val="宋体"/>
            <family val="3"/>
            <charset val="134"/>
          </rPr>
          <t>杨博番:</t>
        </r>
        <r>
          <rPr>
            <sz val="9"/>
            <rFont val="宋体"/>
            <family val="3"/>
            <charset val="134"/>
          </rPr>
          <t xml:space="preserve">
模型缩放：填写倍数
&gt;1 为放大
&lt;1 为缩小</t>
        </r>
      </text>
    </comment>
    <comment ref="V2" authorId="3" shapeId="0" xr:uid="{9F7D2A56-8E12-4B01-9AF8-94B546E5024A}">
      <text>
        <r>
          <rPr>
            <b/>
            <sz val="9"/>
            <rFont val="宋体"/>
            <family val="3"/>
            <charset val="134"/>
          </rPr>
          <t>程航:</t>
        </r>
        <r>
          <rPr>
            <sz val="9"/>
            <rFont val="宋体"/>
            <family val="3"/>
            <charset val="134"/>
          </rPr>
          <t xml:space="preserve">
模型死亡时播放的人物语音
不填代表不播放</t>
        </r>
      </text>
    </comment>
    <comment ref="W2" authorId="3" shapeId="0" xr:uid="{3736E521-65F1-4591-BDE5-109E679C9994}">
      <text>
        <r>
          <rPr>
            <b/>
            <sz val="9"/>
            <rFont val="宋体"/>
            <family val="3"/>
            <charset val="134"/>
          </rPr>
          <t>程航:
战斗胜利</t>
        </r>
        <r>
          <rPr>
            <sz val="9"/>
            <rFont val="宋体"/>
            <family val="3"/>
            <charset val="134"/>
          </rPr>
          <t>时播放的人物语音
不填代表不播放</t>
        </r>
      </text>
    </comment>
    <comment ref="X2" authorId="1" shapeId="0" xr:uid="{F44007C9-0EFE-4D63-B957-85A44B065E67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主角和英魂的基础头像图片
其他小的头像都用这个切
填写SpecialPicture表Id</t>
        </r>
      </text>
    </comment>
    <comment ref="Y2" authorId="1" shapeId="0" xr:uid="{F277AB30-D9A9-47F4-98F6-282A170B8829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填写SpecialPicture表Id
不同UI使用不同的Bust
根据不同的UI配置不同的内容
详情查看
design\策划文档-正式版\06_美术需求\头像和半身像引用目录</t>
        </r>
      </text>
    </comment>
    <comment ref="Z2" authorId="1" shapeId="0" xr:uid="{89378E74-78FD-4147-A903-E9DCE0A758C8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填写SpecialPicture表Id
如果是主角，则是用于卡组列表界面
如果不是主角则不用填</t>
        </r>
      </text>
    </comment>
    <comment ref="AA2" authorId="1" shapeId="0" xr:uid="{D06381F6-150F-488F-8973-3B99F4DEB2A2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填写SpecialPicture表Id
用于竞技场界面主角头像</t>
        </r>
      </text>
    </comment>
    <comment ref="AB2" authorId="1" shapeId="0" xr:uid="{2AF554F6-B5D2-4C4A-A735-982C6ECF21EA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填写SpecialPicture表Id
用于竞技场界面主角头像</t>
        </r>
      </text>
    </comment>
    <comment ref="AC2" authorId="1" shapeId="0" xr:uid="{8CF5A42E-876F-493E-A0D6-0C513EBB98D1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填写SpecialPicture表Id
用于相册切图</t>
        </r>
      </text>
    </comment>
    <comment ref="AD2" authorId="1" shapeId="0" xr:uid="{4ADCF27A-2BF1-4DC5-A20E-7C9C1A8B02C1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填写SpecialPicture表Id
用于相册切图</t>
        </r>
      </text>
    </comment>
    <comment ref="AE2" authorId="1" shapeId="0" xr:uid="{815732D9-6D62-45BD-B69A-9F7795CF128C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填写SpecialPicture表Id
用于相册切图</t>
        </r>
      </text>
    </comment>
    <comment ref="AF2" authorId="1" shapeId="0" xr:uid="{BB358AA3-041A-4C3F-910C-C692F2C68AB8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填写SpecialPicture表Id
用于相册切图</t>
        </r>
      </text>
    </comment>
    <comment ref="AG2" authorId="1" shapeId="0" xr:uid="{C18292C1-5747-459B-9E6F-54D321AC3F62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填写SpecialPicture表Id
用于相册切图</t>
        </r>
      </text>
    </comment>
    <comment ref="AJ2" authorId="1" shapeId="0" xr:uid="{9B52CB95-77A8-48B2-BB1D-D328BCC1897A}">
      <text>
        <r>
          <rPr>
            <b/>
            <sz val="9"/>
            <rFont val="宋体"/>
            <family val="3"/>
            <charset val="134"/>
          </rPr>
          <t>王东旭:</t>
        </r>
        <r>
          <rPr>
            <sz val="9"/>
            <rFont val="宋体"/>
            <family val="3"/>
            <charset val="134"/>
          </rPr>
          <t xml:space="preserve">
填写SpecialPicture表Id
战斗中头像遮罩位置调整</t>
        </r>
      </text>
    </comment>
    <comment ref="AM2" authorId="1" shapeId="0" xr:uid="{D30A8A49-68FB-4DF8-9914-2E93B165EE35}">
      <text>
        <r>
          <rPr>
            <b/>
            <sz val="9"/>
            <rFont val="宋体"/>
            <family val="3"/>
            <charset val="134"/>
          </rPr>
          <t>王东旭:</t>
        </r>
        <r>
          <rPr>
            <sz val="9"/>
            <rFont val="宋体"/>
            <family val="3"/>
            <charset val="134"/>
          </rPr>
          <t xml:space="preserve">
填写SpecialPicture表Id
用于主界面头像显示</t>
        </r>
      </text>
    </comment>
    <comment ref="AN2" authorId="1" shapeId="0" xr:uid="{0D1ED67E-9891-495B-8DBB-293D13DACA59}">
      <text>
        <r>
          <rPr>
            <b/>
            <sz val="9"/>
            <rFont val="宋体"/>
            <family val="3"/>
            <charset val="134"/>
          </rPr>
          <t>王东旭:</t>
        </r>
        <r>
          <rPr>
            <sz val="9"/>
            <rFont val="宋体"/>
            <family val="3"/>
            <charset val="134"/>
          </rPr>
          <t xml:space="preserve">
填写SpecialPicture表Id
英魂BUST12用于剧情本编队中的展示</t>
        </r>
      </text>
    </comment>
    <comment ref="AO2" authorId="1" shapeId="0" xr:uid="{82E1ED5C-288E-4900-9F87-888BBE13EED9}">
      <text>
        <r>
          <rPr>
            <b/>
            <sz val="9"/>
            <rFont val="宋体"/>
            <family val="3"/>
            <charset val="134"/>
          </rPr>
          <t>王东旭:</t>
        </r>
        <r>
          <rPr>
            <sz val="9"/>
            <rFont val="宋体"/>
            <family val="3"/>
            <charset val="134"/>
          </rPr>
          <t xml:space="preserve">
填写SpecialPicture表Id
英魂BUST13用于竞技场中的立绘展示</t>
        </r>
      </text>
    </comment>
    <comment ref="AP2" authorId="1" shapeId="0" xr:uid="{F94FD872-EBEE-48CA-B19C-B2830316C756}">
      <text>
        <r>
          <rPr>
            <b/>
            <sz val="9"/>
            <rFont val="宋体"/>
            <family val="3"/>
            <charset val="134"/>
          </rPr>
          <t>王东旭:</t>
        </r>
        <r>
          <rPr>
            <sz val="9"/>
            <rFont val="宋体"/>
            <family val="3"/>
            <charset val="134"/>
          </rPr>
          <t xml:space="preserve">
填写SpecialPicture表Id
英魂BUST14用于圣十结算界面英魂立绘偏移显示
</t>
        </r>
      </text>
    </comment>
    <comment ref="AQ2" authorId="1" shapeId="0" xr:uid="{93D8E80C-5F1C-4C71-A3FA-13637A040BE8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填写SpecialPicture表Id
用于战斗界面英魂信息立绘</t>
        </r>
      </text>
    </comment>
    <comment ref="AR2" authorId="5" shapeId="0" xr:uid="{425E1CC6-9036-49DC-BE61-6E05F9122D20}">
      <text>
        <r>
          <rPr>
            <b/>
            <sz val="9"/>
            <rFont val="宋体"/>
            <family val="3"/>
            <charset val="134"/>
          </rPr>
          <t>包明承:</t>
        </r>
        <r>
          <rPr>
            <sz val="9"/>
            <rFont val="宋体"/>
            <family val="3"/>
            <charset val="134"/>
          </rPr>
          <t xml:space="preserve">
配置格式为
[{"color":"色号编码","code":"TranslateID"},…]
最多配置3个标签，每个标签最多2个字
前面的色号表示标签的颜色
#FF4133:红
#bff11a:绿
如果配空则不显示</t>
        </r>
      </text>
    </comment>
    <comment ref="AS2" authorId="3" shapeId="0" xr:uid="{87DB5721-477F-431D-8D51-5D8E2ACD9DA0}">
      <text>
        <r>
          <rPr>
            <b/>
            <sz val="9"/>
            <rFont val="宋体"/>
            <family val="3"/>
            <charset val="134"/>
          </rPr>
          <t>王东旭:
战斗结束后，胜利时表现最佳的英魂会弹出一句MVP文本。</t>
        </r>
        <r>
          <rPr>
            <sz val="9"/>
            <rFont val="宋体"/>
            <family val="3"/>
            <charset val="134"/>
          </rPr>
          <t xml:space="preserve">
</t>
        </r>
      </text>
    </comment>
    <comment ref="AT2" authorId="3" shapeId="0" xr:uid="{6F0743B8-6360-4F3C-9EEB-DC729BEFBFB1}">
      <text>
        <r>
          <rPr>
            <b/>
            <sz val="9"/>
            <rFont val="宋体"/>
            <family val="3"/>
            <charset val="134"/>
          </rPr>
          <t>Windows 用户:</t>
        </r>
        <r>
          <rPr>
            <sz val="9"/>
            <rFont val="宋体"/>
            <family val="3"/>
            <charset val="134"/>
          </rPr>
          <t xml:space="preserve">
王东旭:
战斗结束后，失败时表现最佳的英魂会弹出一句MVP文本。</t>
        </r>
      </text>
    </comment>
    <comment ref="AU2" authorId="5" shapeId="0" xr:uid="{2EED69AE-C915-4539-BAD3-42E2A4F6DE2C}">
      <text>
        <r>
          <rPr>
            <b/>
            <sz val="9"/>
            <rFont val="宋体"/>
            <family val="3"/>
            <charset val="134"/>
          </rPr>
          <t>包明承:</t>
        </r>
        <r>
          <rPr>
            <sz val="9"/>
            <rFont val="宋体"/>
            <family val="3"/>
            <charset val="134"/>
          </rPr>
          <t xml:space="preserve">
此模型对应的英魂Id
仅用来给前端取数据用
如果不是英魂模型则空
</t>
        </r>
      </text>
    </comment>
    <comment ref="AV2" authorId="1" shapeId="0" xr:uid="{C3FEBD6A-384C-43C7-A95F-E0CECAE09F75}">
      <text>
        <r>
          <rPr>
            <b/>
            <sz val="9"/>
            <rFont val="宋体"/>
            <family val="3"/>
            <charset val="134"/>
          </rPr>
          <t>王东旭:</t>
        </r>
        <r>
          <rPr>
            <sz val="9"/>
            <rFont val="宋体"/>
            <family val="3"/>
            <charset val="134"/>
          </rPr>
          <t xml:space="preserve">
主角左侧宽头像展示
填写SpecialPicture表Id</t>
        </r>
      </text>
    </comment>
    <comment ref="AW2" authorId="2" shapeId="0" xr:uid="{555C9AC3-CA4A-49AB-9042-2C8018B60B5E}">
      <text>
        <r>
          <rPr>
            <b/>
            <sz val="9"/>
            <rFont val="宋体"/>
            <family val="3"/>
            <charset val="134"/>
          </rPr>
          <t>ny:</t>
        </r>
        <r>
          <rPr>
            <sz val="9"/>
            <rFont val="宋体"/>
            <family val="3"/>
            <charset val="134"/>
          </rPr>
          <t xml:space="preserve">
用以填写英魂标签的图片名称</t>
        </r>
      </text>
    </comment>
    <comment ref="B7" authorId="6" shapeId="0" xr:uid="{FD5909BB-72F4-42CA-A55A-0BFC59576D34}">
      <text>
        <r>
          <rPr>
            <sz val="9"/>
            <rFont val="宋体"/>
            <family val="3"/>
            <charset val="134"/>
          </rPr>
          <t>Added by 唐悦, on 2021/7/22, 14:17:29;</t>
        </r>
      </text>
    </comment>
  </commentList>
</comments>
</file>

<file path=xl/comments1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  <author>LL26</author>
  </authors>
  <commentList>
    <comment ref="B2" authorId="0" shapeId="0" xr:uid="{EEF49DA8-37C2-4D68-AEFF-36EA0BCA170D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唯一主键
现在只有RoleModel表去调用
未来若还出现需要截图处理的图片则添加该表</t>
        </r>
      </text>
    </comment>
    <comment ref="C2" authorId="0" shapeId="0" xr:uid="{7C137A59-B896-478E-B5AD-2E27B151C600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填写图片所在路径
1.主角资源目录
2.英魂资源目录
</t>
        </r>
      </text>
    </comment>
    <comment ref="D2" authorId="0" shapeId="0" xr:uid="{C984AE54-B8EF-4627-8336-9DF102B0883C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图片文件名</t>
        </r>
      </text>
    </comment>
    <comment ref="E2" authorId="0" shapeId="0" xr:uid="{909378F9-24A1-465D-A895-08A8FE3FC520}">
      <text>
        <r>
          <rPr>
            <b/>
            <sz val="9"/>
            <rFont val="宋体"/>
            <family val="3"/>
            <charset val="134"/>
          </rPr>
          <t>王东旭:</t>
        </r>
        <r>
          <rPr>
            <sz val="9"/>
            <rFont val="宋体"/>
            <family val="3"/>
            <charset val="134"/>
          </rPr>
          <t xml:space="preserve">
填写坐标
立绘和遮罩的锚点都是[0,0]。
立绘坐标为[0,0]，调遮罩的偏移使满足效果</t>
        </r>
      </text>
    </comment>
    <comment ref="F2" authorId="1" shapeId="0" xr:uid="{43A4FE74-D032-41AF-8CEE-EDD742F3BC00}">
      <text>
        <r>
          <rPr>
            <b/>
            <sz val="9"/>
            <rFont val="宋体"/>
            <family val="3"/>
            <charset val="134"/>
          </rPr>
          <t xml:space="preserve">丁众基:
截图后偏移量
</t>
        </r>
        <r>
          <rPr>
            <sz val="9"/>
            <rFont val="宋体"/>
            <family val="3"/>
            <charset val="134"/>
          </rPr>
          <t>向左为横向正方向
向上为纵向正方向
偏移原点为截图后的左下角
第一个坐标是横向偏移，第二个坐标是纵向偏移
坐标可以是负值
默认值必填：[0,0]</t>
        </r>
      </text>
    </comment>
    <comment ref="G2" authorId="1" shapeId="0" xr:uid="{2F254C82-BAC2-4BC4-8AEB-299731AE4F3E}">
      <text>
        <r>
          <rPr>
            <b/>
            <sz val="9"/>
            <rFont val="宋体"/>
            <family val="3"/>
            <charset val="134"/>
          </rPr>
          <t xml:space="preserve">丁众基:
截图后的大小缩放
</t>
        </r>
        <r>
          <rPr>
            <sz val="9"/>
            <rFont val="宋体"/>
            <family val="3"/>
            <charset val="134"/>
          </rPr>
          <t>若没有缩放则填写1
放大10%则填写1.1
缩小10%则填写0.9
不能为空栏</t>
        </r>
      </text>
    </comment>
  </commentList>
</comments>
</file>

<file path=xl/comments1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C2" authorId="0" shapeId="0" xr:uid="{1F60B498-866B-4201-A174-EFA3BAE326C1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每次兑换需要消耗的道具和数量</t>
        </r>
      </text>
    </comment>
    <comment ref="D2" authorId="0" shapeId="0" xr:uid="{7F3E1DC4-65C0-465E-A94E-CC1990ECF2F1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每次兑换能够获得的奖励</t>
        </r>
      </text>
    </comment>
    <comment ref="E2" authorId="0" shapeId="0" xr:uid="{5DB5EA54-287D-4B6F-9E79-23C99C395DD7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同时也是兑换次数上限
-1表示无限次</t>
        </r>
      </text>
    </comment>
    <comment ref="F2" authorId="0" shapeId="0" xr:uid="{FBFCBA2E-F27F-4E8A-A7F8-3E20E4E92460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1：默认提醒
0：默认不提醒
不填为默认提醒</t>
        </r>
      </text>
    </comment>
    <comment ref="G2" authorId="0" shapeId="0" xr:uid="{3B35D42A-1FE6-40F6-9A58-96C00310D77C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数字越小则排在前面
可不填</t>
        </r>
      </text>
    </comment>
  </commentList>
</comments>
</file>

<file path=xl/comments2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conan</author>
  </authors>
  <commentList>
    <comment ref="C2" authorId="0" shapeId="0" xr:uid="{1211948E-D024-44DC-A419-B8373D31E490}">
      <text>
        <r>
          <rPr>
            <b/>
            <sz val="9"/>
            <color indexed="81"/>
            <rFont val="宋体"/>
            <family val="3"/>
            <charset val="134"/>
          </rPr>
          <t>余雨晗:</t>
        </r>
        <r>
          <rPr>
            <sz val="9"/>
            <color indexed="81"/>
            <rFont val="宋体"/>
            <family val="3"/>
            <charset val="134"/>
          </rPr>
          <t xml:space="preserve">
见备注页</t>
        </r>
      </text>
    </comment>
  </commentList>
</comments>
</file>

<file path=xl/comments2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B2" authorId="0" shapeId="0" xr:uid="{5921834C-B9C4-4505-BB56-4136F4F63C9F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活动唯一标识ID</t>
        </r>
      </text>
    </comment>
    <comment ref="C2" authorId="0" shapeId="0" xr:uid="{2D6A0F6E-A4BF-487B-A874-D33D3ECFEA8C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格式：
conditionType:条件类型，链接到ConditionType表
factor1：条件参数1
factor2：条件参数2
多个条件时，表示要达到所有的条件才算完成该条任务</t>
        </r>
      </text>
    </comment>
    <comment ref="L2" authorId="0" shapeId="0" xr:uid="{669A5052-A10F-4166-AD80-4F1C64BEF585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前端程序使用，指定前端跳转页面，填写方式由程序来</t>
        </r>
      </text>
    </comment>
    <comment ref="M2" authorId="0" shapeId="0" xr:uid="{1032EEDD-CECC-4862-AFC6-7CEF9FBD6AA0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永久月卡等任务额外奖励</t>
        </r>
      </text>
    </comment>
  </commentList>
</comments>
</file>

<file path=xl/comments2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B2" authorId="0" shapeId="0" xr:uid="{A9F3DDF8-B0E2-482B-AF72-9BB649C073B2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条件ID</t>
        </r>
      </text>
    </comment>
    <comment ref="E2" authorId="0" shapeId="0" xr:uid="{22496A9B-9179-418B-A20F-339BA49531C2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见备注页</t>
        </r>
      </text>
    </comment>
    <comment ref="F2" authorId="0" shapeId="0" xr:uid="{1C77B18A-CD25-492C-88F9-B7CBD5DAE17B}">
      <text>
        <r>
          <rPr>
            <b/>
            <sz val="9"/>
            <color indexed="81"/>
            <rFont val="宋体"/>
            <family val="3"/>
            <charset val="134"/>
          </rPr>
          <t xml:space="preserve">作者:
</t>
        </r>
        <r>
          <rPr>
            <sz val="9"/>
            <color indexed="81"/>
            <rFont val="宋体"/>
            <family val="3"/>
            <charset val="134"/>
          </rPr>
          <t>见备注页</t>
        </r>
      </text>
    </comment>
    <comment ref="H2" authorId="0" shapeId="0" xr:uid="{7533A0AD-7884-49A1-9C67-90AD47908E2E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见备注页</t>
        </r>
      </text>
    </comment>
    <comment ref="I2" authorId="0" shapeId="0" xr:uid="{E49E6F6C-34D0-4453-A923-A49BC9B05388}">
      <text>
        <r>
          <rPr>
            <b/>
            <sz val="9"/>
            <color indexed="81"/>
            <rFont val="宋体"/>
            <family val="3"/>
            <charset val="134"/>
          </rPr>
          <t xml:space="preserve">作者:
</t>
        </r>
        <r>
          <rPr>
            <sz val="9"/>
            <color indexed="81"/>
            <rFont val="宋体"/>
            <family val="3"/>
            <charset val="134"/>
          </rPr>
          <t>见备注页</t>
        </r>
      </text>
    </comment>
  </commentList>
</comments>
</file>

<file path=xl/comments2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conan</author>
    <author>admin</author>
  </authors>
  <commentList>
    <comment ref="C2" authorId="0" shapeId="0" xr:uid="{616F7F91-5EAE-4E95-B86C-F1BABA10108C}">
      <text>
        <r>
          <rPr>
            <b/>
            <sz val="9"/>
            <color indexed="81"/>
            <rFont val="宋体"/>
            <family val="3"/>
            <charset val="134"/>
          </rPr>
          <t>余雨晗:</t>
        </r>
        <r>
          <rPr>
            <sz val="9"/>
            <color indexed="81"/>
            <rFont val="宋体"/>
            <family val="3"/>
            <charset val="134"/>
          </rPr>
          <t xml:space="preserve">
见备注页</t>
        </r>
      </text>
    </comment>
    <comment ref="B7" authorId="1" shapeId="0" xr:uid="{A143B707-C546-4B44-8A18-85E98C608F99}">
      <text>
        <r>
          <rPr>
            <sz val="9"/>
            <color indexed="81"/>
            <rFont val="宋体"/>
            <family val="3"/>
            <charset val="134"/>
          </rPr>
          <t>Added by 唐悦, on 2021/6/10, 18:38:23;</t>
        </r>
      </text>
    </comment>
    <comment ref="B8" authorId="1" shapeId="0" xr:uid="{77A5C7A3-CFDD-4DCB-9FE4-003379BB0864}">
      <text>
        <r>
          <rPr>
            <sz val="9"/>
            <color indexed="81"/>
            <rFont val="宋体"/>
            <family val="3"/>
            <charset val="134"/>
          </rPr>
          <t>Added by 唐悦, on 2021/6/10, 18:38:23;</t>
        </r>
      </text>
    </comment>
    <comment ref="B9" authorId="1" shapeId="0" xr:uid="{00AF7358-AC3D-45A5-99A2-CE8C2B1D3E4A}">
      <text>
        <r>
          <rPr>
            <sz val="9"/>
            <color indexed="81"/>
            <rFont val="宋体"/>
            <family val="3"/>
            <charset val="134"/>
          </rPr>
          <t>Added by 唐悦, on 2021/6/10, 18:38:23;</t>
        </r>
      </text>
    </comment>
    <comment ref="B10" authorId="1" shapeId="0" xr:uid="{D9EAC9AA-532E-44CA-A71F-0ADF12CBAB26}">
      <text>
        <r>
          <rPr>
            <sz val="9"/>
            <color indexed="81"/>
            <rFont val="宋体"/>
            <family val="3"/>
            <charset val="134"/>
          </rPr>
          <t>Added by 唐悦, on 2021/6/10, 18:38:23;</t>
        </r>
      </text>
    </comment>
    <comment ref="B11" authorId="1" shapeId="0" xr:uid="{BFBD775F-4361-4361-A000-E0B7DD73FF42}">
      <text>
        <r>
          <rPr>
            <sz val="9"/>
            <color indexed="81"/>
            <rFont val="宋体"/>
            <family val="3"/>
            <charset val="134"/>
          </rPr>
          <t>Added by 唐悦, on 2021/6/10, 18:38:23;</t>
        </r>
      </text>
    </comment>
    <comment ref="B12" authorId="1" shapeId="0" xr:uid="{8158E510-C844-4E9D-B191-091BA0239046}">
      <text>
        <r>
          <rPr>
            <sz val="9"/>
            <color indexed="81"/>
            <rFont val="宋体"/>
            <family val="3"/>
            <charset val="134"/>
          </rPr>
          <t>Added by 唐悦, on 2021/6/10, 18:38:23;</t>
        </r>
      </text>
    </comment>
    <comment ref="B13" authorId="1" shapeId="0" xr:uid="{8D25F04C-509B-491B-AF11-166F8679A2B3}">
      <text>
        <r>
          <rPr>
            <sz val="9"/>
            <color indexed="81"/>
            <rFont val="宋体"/>
            <family val="3"/>
            <charset val="134"/>
          </rPr>
          <t>Added by 唐悦, on 2021/6/10, 18:38:23;</t>
        </r>
      </text>
    </comment>
    <comment ref="B14" authorId="1" shapeId="0" xr:uid="{865D5AE7-9543-47F5-B3EE-5D8BC918E7A6}">
      <text>
        <r>
          <rPr>
            <sz val="9"/>
            <color indexed="81"/>
            <rFont val="宋体"/>
            <family val="3"/>
            <charset val="134"/>
          </rPr>
          <t>Added by 唐悦, on 2021/6/10, 18:38:23;</t>
        </r>
      </text>
    </comment>
    <comment ref="B15" authorId="1" shapeId="0" xr:uid="{B7745820-5D78-46EF-A317-F713AEB15B08}">
      <text>
        <r>
          <rPr>
            <sz val="9"/>
            <color indexed="81"/>
            <rFont val="宋体"/>
            <family val="3"/>
            <charset val="134"/>
          </rPr>
          <t>Added by 唐悦, on 2021/6/10, 18:38:23;</t>
        </r>
      </text>
    </comment>
    <comment ref="B16" authorId="1" shapeId="0" xr:uid="{2B644AC0-6DF6-41E1-A08E-8258EAA42236}">
      <text>
        <r>
          <rPr>
            <sz val="9"/>
            <color indexed="81"/>
            <rFont val="宋体"/>
            <family val="3"/>
            <charset val="134"/>
          </rPr>
          <t>Added by 唐悦, on 2021/6/10, 18:38:23;</t>
        </r>
      </text>
    </comment>
    <comment ref="B17" authorId="1" shapeId="0" xr:uid="{44D13060-5FC1-4215-B0BD-D42EFDC2D3F0}">
      <text>
        <r>
          <rPr>
            <sz val="9"/>
            <color indexed="81"/>
            <rFont val="宋体"/>
            <family val="3"/>
            <charset val="134"/>
          </rPr>
          <t>Added by 唐悦, on 2021/6/10, 18:38:23;</t>
        </r>
      </text>
    </comment>
    <comment ref="B18" authorId="1" shapeId="0" xr:uid="{D8E9A75D-28EC-4A69-91E1-FE3562B7F61A}">
      <text>
        <r>
          <rPr>
            <sz val="9"/>
            <color indexed="81"/>
            <rFont val="宋体"/>
            <family val="3"/>
            <charset val="134"/>
          </rPr>
          <t>Added by 唐悦, on 2021/6/10, 18:38:23;</t>
        </r>
      </text>
    </comment>
    <comment ref="B19" authorId="1" shapeId="0" xr:uid="{E2584A79-1BB3-4AD5-915E-F90CE4E6E2DD}">
      <text>
        <r>
          <rPr>
            <sz val="9"/>
            <color indexed="81"/>
            <rFont val="宋体"/>
            <family val="3"/>
            <charset val="134"/>
          </rPr>
          <t>Added by 唐悦, on 2021/6/10, 18:38:23;</t>
        </r>
      </text>
    </comment>
    <comment ref="B20" authorId="1" shapeId="0" xr:uid="{2BD9F4FF-81F4-490C-93D4-469F65B5EADA}">
      <text>
        <r>
          <rPr>
            <sz val="9"/>
            <color indexed="81"/>
            <rFont val="宋体"/>
            <family val="3"/>
            <charset val="134"/>
          </rPr>
          <t>Added by 唐悦, on 2021/6/10, 18:38:23;</t>
        </r>
      </text>
    </comment>
    <comment ref="B21" authorId="1" shapeId="0" xr:uid="{46067624-2ACE-4104-B2B7-0DED49723B58}">
      <text>
        <r>
          <rPr>
            <sz val="9"/>
            <color indexed="81"/>
            <rFont val="宋体"/>
            <family val="3"/>
            <charset val="134"/>
          </rPr>
          <t>Added by 唐悦, on 2021/6/10, 18:38:23;</t>
        </r>
      </text>
    </comment>
    <comment ref="B22" authorId="1" shapeId="0" xr:uid="{2497FCA4-BFEA-4B1A-BCA6-66B4B7831EE3}">
      <text>
        <r>
          <rPr>
            <sz val="9"/>
            <color indexed="81"/>
            <rFont val="宋体"/>
            <family val="3"/>
            <charset val="134"/>
          </rPr>
          <t>Added by 唐悦, on 2021/6/10, 18:38:23;</t>
        </r>
      </text>
    </comment>
    <comment ref="B23" authorId="1" shapeId="0" xr:uid="{A4744E44-5F0B-49E5-B077-20C72A83C5CB}">
      <text>
        <r>
          <rPr>
            <sz val="9"/>
            <color indexed="81"/>
            <rFont val="宋体"/>
            <family val="3"/>
            <charset val="134"/>
          </rPr>
          <t>Added by 唐悦, on 2021/6/10, 18:38:23;</t>
        </r>
      </text>
    </comment>
    <comment ref="B24" authorId="1" shapeId="0" xr:uid="{1E83EC35-925B-483A-AB67-7E1A36BE54A2}">
      <text>
        <r>
          <rPr>
            <sz val="9"/>
            <color indexed="81"/>
            <rFont val="宋体"/>
            <family val="3"/>
            <charset val="134"/>
          </rPr>
          <t>Added by 唐悦, on 2021/6/10, 18:38:23;</t>
        </r>
      </text>
    </comment>
    <comment ref="B25" authorId="1" shapeId="0" xr:uid="{1FAD2261-F1F2-4AA6-8551-EA6588C26E06}">
      <text>
        <r>
          <rPr>
            <sz val="9"/>
            <color indexed="81"/>
            <rFont val="宋体"/>
            <family val="3"/>
            <charset val="134"/>
          </rPr>
          <t>Added by 唐悦, on 2021/6/10, 18:38:23;</t>
        </r>
      </text>
    </comment>
    <comment ref="B26" authorId="1" shapeId="0" xr:uid="{05C258A4-2CB2-4881-BAF6-C49E6B81A492}">
      <text>
        <r>
          <rPr>
            <sz val="9"/>
            <color indexed="81"/>
            <rFont val="宋体"/>
            <family val="3"/>
            <charset val="134"/>
          </rPr>
          <t>Added by 唐悦, on 2021/6/10, 18:38:23;</t>
        </r>
      </text>
    </comment>
    <comment ref="B27" authorId="1" shapeId="0" xr:uid="{D5845176-5C90-4522-9D9A-12BD5A94F915}">
      <text>
        <r>
          <rPr>
            <sz val="9"/>
            <color indexed="81"/>
            <rFont val="宋体"/>
            <family val="3"/>
            <charset val="134"/>
          </rPr>
          <t>Added by 唐悦, on 2021/6/10, 18:38:23;</t>
        </r>
      </text>
    </comment>
    <comment ref="B28" authorId="1" shapeId="0" xr:uid="{689A5B2C-5B94-432F-AC72-33938F639C69}">
      <text>
        <r>
          <rPr>
            <sz val="9"/>
            <color indexed="81"/>
            <rFont val="宋体"/>
            <family val="3"/>
            <charset val="134"/>
          </rPr>
          <t>Added by 唐悦, on 2021/6/10, 18:38:23;</t>
        </r>
      </text>
    </comment>
    <comment ref="B29" authorId="1" shapeId="0" xr:uid="{380D01B9-3C40-4019-AA21-8CC41D4B6E3E}">
      <text>
        <r>
          <rPr>
            <sz val="9"/>
            <color indexed="81"/>
            <rFont val="宋体"/>
            <family val="3"/>
            <charset val="134"/>
          </rPr>
          <t>Added by 唐悦, on 2021/6/10, 18:38:23;</t>
        </r>
      </text>
    </comment>
    <comment ref="B30" authorId="1" shapeId="0" xr:uid="{274E669F-5504-43DA-901D-7593657A4926}">
      <text>
        <r>
          <rPr>
            <sz val="9"/>
            <color indexed="81"/>
            <rFont val="宋体"/>
            <family val="3"/>
            <charset val="134"/>
          </rPr>
          <t>Added by 唐悦, on 2021/6/10, 18:38:23;</t>
        </r>
      </text>
    </comment>
    <comment ref="B31" authorId="1" shapeId="0" xr:uid="{28DBF94C-91BE-454F-890B-1F03CBFCBA50}">
      <text>
        <r>
          <rPr>
            <sz val="9"/>
            <color indexed="81"/>
            <rFont val="宋体"/>
            <family val="3"/>
            <charset val="134"/>
          </rPr>
          <t>Added by 唐悦, on 2021/6/10, 18:38:23;</t>
        </r>
      </text>
    </comment>
    <comment ref="B32" authorId="1" shapeId="0" xr:uid="{6BFB5D7D-3336-4DF4-A005-0236A61F54AA}">
      <text>
        <r>
          <rPr>
            <sz val="9"/>
            <color indexed="81"/>
            <rFont val="宋体"/>
            <family val="3"/>
            <charset val="134"/>
          </rPr>
          <t>Added by 唐悦, on 2021/6/10, 18:38:23;</t>
        </r>
      </text>
    </comment>
    <comment ref="B33" authorId="1" shapeId="0" xr:uid="{5C733ACB-DA7F-437D-8877-0CA44B6B50DB}">
      <text>
        <r>
          <rPr>
            <sz val="9"/>
            <color indexed="81"/>
            <rFont val="宋体"/>
            <family val="3"/>
            <charset val="134"/>
          </rPr>
          <t>Added by 唐悦, on 2021/6/10, 18:38:23;</t>
        </r>
      </text>
    </comment>
    <comment ref="B34" authorId="1" shapeId="0" xr:uid="{9A04D0E9-1F3A-4B8D-B50E-69E9948B8B79}">
      <text>
        <r>
          <rPr>
            <sz val="9"/>
            <color indexed="81"/>
            <rFont val="宋体"/>
            <family val="3"/>
            <charset val="134"/>
          </rPr>
          <t>Added by 唐悦, on 2021/6/10, 18:38:23;</t>
        </r>
      </text>
    </comment>
    <comment ref="B35" authorId="1" shapeId="0" xr:uid="{DC5554F5-BF0A-4474-87F9-C553D6A01319}">
      <text>
        <r>
          <rPr>
            <sz val="9"/>
            <color indexed="81"/>
            <rFont val="宋体"/>
            <family val="3"/>
            <charset val="134"/>
          </rPr>
          <t>Added by 唐悦, on 2021/6/10, 18:38:23;</t>
        </r>
      </text>
    </comment>
    <comment ref="B36" authorId="1" shapeId="0" xr:uid="{CC64711F-1C26-4D04-A493-46F3AF3CDAE8}">
      <text>
        <r>
          <rPr>
            <sz val="9"/>
            <color indexed="81"/>
            <rFont val="宋体"/>
            <family val="3"/>
            <charset val="134"/>
          </rPr>
          <t>Added by 唐悦, on 2021/6/10, 18:38:23;</t>
        </r>
      </text>
    </comment>
    <comment ref="B37" authorId="1" shapeId="0" xr:uid="{C4191736-DC1F-47E7-916F-96C585F1542D}">
      <text>
        <r>
          <rPr>
            <sz val="9"/>
            <color indexed="81"/>
            <rFont val="宋体"/>
            <family val="3"/>
            <charset val="134"/>
          </rPr>
          <t>Added by 唐悦, on 2021/6/10, 18:38:23;</t>
        </r>
      </text>
    </comment>
    <comment ref="B38" authorId="1" shapeId="0" xr:uid="{5B50335A-EEE9-4600-8E9D-143E3C3E830A}">
      <text>
        <r>
          <rPr>
            <sz val="9"/>
            <color indexed="81"/>
            <rFont val="宋体"/>
            <family val="3"/>
            <charset val="134"/>
          </rPr>
          <t>Added by 唐悦, on 2021/6/10, 18:38:23;</t>
        </r>
      </text>
    </comment>
    <comment ref="B39" authorId="1" shapeId="0" xr:uid="{770D9403-2D45-4E1C-8431-F0B8F9EFA0FE}">
      <text>
        <r>
          <rPr>
            <sz val="9"/>
            <color indexed="81"/>
            <rFont val="宋体"/>
            <family val="3"/>
            <charset val="134"/>
          </rPr>
          <t>Added by 唐悦, on 2021/6/10, 18:38:23;</t>
        </r>
      </text>
    </comment>
    <comment ref="B40" authorId="1" shapeId="0" xr:uid="{B41A8F25-FB8A-4880-AF88-4BA8A7DFC231}">
      <text>
        <r>
          <rPr>
            <sz val="9"/>
            <color indexed="81"/>
            <rFont val="宋体"/>
            <family val="3"/>
            <charset val="134"/>
          </rPr>
          <t>Added by 唐悦, on 2021/6/10, 18:38:23;</t>
        </r>
      </text>
    </comment>
    <comment ref="B41" authorId="1" shapeId="0" xr:uid="{92129EC0-16C2-4B89-8892-09B89D15A10A}">
      <text>
        <r>
          <rPr>
            <sz val="9"/>
            <color indexed="81"/>
            <rFont val="宋体"/>
            <family val="3"/>
            <charset val="134"/>
          </rPr>
          <t>Added by 唐悦, on 2021/6/10, 18:38:23;</t>
        </r>
      </text>
    </comment>
    <comment ref="B42" authorId="1" shapeId="0" xr:uid="{6DD9D0AF-7FD6-4821-ADA1-34757EC40939}">
      <text>
        <r>
          <rPr>
            <sz val="9"/>
            <color indexed="81"/>
            <rFont val="宋体"/>
            <family val="3"/>
            <charset val="134"/>
          </rPr>
          <t>Added by 唐悦, on 2021/6/10, 18:38:23;</t>
        </r>
      </text>
    </comment>
    <comment ref="B43" authorId="1" shapeId="0" xr:uid="{07994E00-F9CA-40C9-ABFA-EB736869114E}">
      <text>
        <r>
          <rPr>
            <sz val="9"/>
            <color indexed="81"/>
            <rFont val="宋体"/>
            <family val="3"/>
            <charset val="134"/>
          </rPr>
          <t>Added by 唐悦, on 2021/6/10, 18:38:23;</t>
        </r>
      </text>
    </comment>
    <comment ref="B44" authorId="1" shapeId="0" xr:uid="{45EECE11-DE1C-4F89-B89A-EDDAEA9ED5FF}">
      <text>
        <r>
          <rPr>
            <sz val="9"/>
            <color indexed="81"/>
            <rFont val="宋体"/>
            <family val="3"/>
            <charset val="134"/>
          </rPr>
          <t>Added by 唐悦, on 2021/6/10, 18:38:23;</t>
        </r>
      </text>
    </comment>
    <comment ref="B45" authorId="1" shapeId="0" xr:uid="{E8B090F9-FF1E-4AB7-9097-76EE26B03E7F}">
      <text>
        <r>
          <rPr>
            <sz val="9"/>
            <color indexed="81"/>
            <rFont val="宋体"/>
            <family val="3"/>
            <charset val="134"/>
          </rPr>
          <t>Added by 唐悦, on 2021/6/10, 18:38:23;</t>
        </r>
      </text>
    </comment>
    <comment ref="B46" authorId="1" shapeId="0" xr:uid="{F936BF27-A865-4126-9BFA-1410BA194DDA}">
      <text>
        <r>
          <rPr>
            <sz val="9"/>
            <color indexed="81"/>
            <rFont val="宋体"/>
            <family val="3"/>
            <charset val="134"/>
          </rPr>
          <t>Added by 唐悦, on 2021/6/10, 18:38:23;</t>
        </r>
      </text>
    </comment>
    <comment ref="B47" authorId="1" shapeId="0" xr:uid="{9E59B444-BBA0-4E0A-90BF-D027E8626233}">
      <text>
        <r>
          <rPr>
            <sz val="9"/>
            <color indexed="81"/>
            <rFont val="宋体"/>
            <family val="3"/>
            <charset val="134"/>
          </rPr>
          <t>Added by 唐悦, on 2021/6/10, 18:38:23;</t>
        </r>
      </text>
    </comment>
    <comment ref="B48" authorId="1" shapeId="0" xr:uid="{14783F61-25DA-4B0C-846B-1873E206FA01}">
      <text>
        <r>
          <rPr>
            <sz val="9"/>
            <color indexed="81"/>
            <rFont val="宋体"/>
            <family val="3"/>
            <charset val="134"/>
          </rPr>
          <t>Added by 唐悦, on 2021/6/10, 18:38:23;</t>
        </r>
      </text>
    </comment>
    <comment ref="B49" authorId="1" shapeId="0" xr:uid="{EC6E9FDE-46C0-4B1E-972A-6EC5FBD02F2C}">
      <text>
        <r>
          <rPr>
            <sz val="9"/>
            <color indexed="81"/>
            <rFont val="宋体"/>
            <family val="3"/>
            <charset val="134"/>
          </rPr>
          <t>Added by 唐悦, on 2021/6/10, 18:38:23;</t>
        </r>
      </text>
    </comment>
    <comment ref="B50" authorId="1" shapeId="0" xr:uid="{FF4F654E-5F4F-4C95-AA23-9CB882B3EEBD}">
      <text>
        <r>
          <rPr>
            <sz val="9"/>
            <color indexed="81"/>
            <rFont val="宋体"/>
            <family val="3"/>
            <charset val="134"/>
          </rPr>
          <t>Added by 唐悦, on 2021/6/10, 18:38:23;</t>
        </r>
      </text>
    </comment>
    <comment ref="B51" authorId="1" shapeId="0" xr:uid="{8560BBC1-ADD4-4FC4-88A1-8B9E2542A209}">
      <text>
        <r>
          <rPr>
            <sz val="9"/>
            <color indexed="81"/>
            <rFont val="宋体"/>
            <family val="3"/>
            <charset val="134"/>
          </rPr>
          <t>Added by 唐悦, on 2021/6/10, 18:38:23;</t>
        </r>
      </text>
    </comment>
    <comment ref="B52" authorId="1" shapeId="0" xr:uid="{43308265-40FB-4845-8580-3CAD207A78FC}">
      <text>
        <r>
          <rPr>
            <sz val="9"/>
            <color indexed="81"/>
            <rFont val="宋体"/>
            <family val="3"/>
            <charset val="134"/>
          </rPr>
          <t>Added by 唐悦, on 2021/6/10, 18:38:23;</t>
        </r>
      </text>
    </comment>
    <comment ref="B53" authorId="1" shapeId="0" xr:uid="{90DC4A7A-F282-49F3-BFC5-6261D34726E1}">
      <text>
        <r>
          <rPr>
            <sz val="9"/>
            <color indexed="81"/>
            <rFont val="宋体"/>
            <family val="3"/>
            <charset val="134"/>
          </rPr>
          <t>Added by 唐悦, on 2021/6/10, 18:38:23;</t>
        </r>
      </text>
    </comment>
    <comment ref="B54" authorId="1" shapeId="0" xr:uid="{036FB580-DCC2-4CA5-AC68-E954AFECD906}">
      <text>
        <r>
          <rPr>
            <sz val="9"/>
            <color indexed="81"/>
            <rFont val="宋体"/>
            <family val="3"/>
            <charset val="134"/>
          </rPr>
          <t>Added by 唐悦, on 2021/6/10, 18:38:23;</t>
        </r>
      </text>
    </comment>
    <comment ref="B55" authorId="1" shapeId="0" xr:uid="{9A867980-86F4-491D-915E-3509B91741D2}">
      <text>
        <r>
          <rPr>
            <sz val="9"/>
            <color indexed="81"/>
            <rFont val="宋体"/>
            <family val="3"/>
            <charset val="134"/>
          </rPr>
          <t>Added by 唐悦, on 2021/6/10, 18:38:23;</t>
        </r>
      </text>
    </comment>
    <comment ref="B56" authorId="1" shapeId="0" xr:uid="{6488EF99-A71E-43FC-8BDE-60F9CA17D60C}">
      <text>
        <r>
          <rPr>
            <sz val="9"/>
            <color indexed="81"/>
            <rFont val="宋体"/>
            <family val="3"/>
            <charset val="134"/>
          </rPr>
          <t>Added by 唐悦, on 2021/6/10, 18:38:23;</t>
        </r>
      </text>
    </comment>
    <comment ref="B57" authorId="1" shapeId="0" xr:uid="{63531CD8-BE65-40A0-8EE4-1BD0648D4775}">
      <text>
        <r>
          <rPr>
            <sz val="9"/>
            <color indexed="81"/>
            <rFont val="宋体"/>
            <family val="3"/>
            <charset val="134"/>
          </rPr>
          <t>Added by 唐悦, on 2021/6/10, 18:38:23;</t>
        </r>
      </text>
    </comment>
    <comment ref="B58" authorId="1" shapeId="0" xr:uid="{D86455FE-FBA7-4ACA-AD14-2B208F990F59}">
      <text>
        <r>
          <rPr>
            <sz val="9"/>
            <color indexed="81"/>
            <rFont val="宋体"/>
            <family val="3"/>
            <charset val="134"/>
          </rPr>
          <t>Added by 唐悦, on 2021/6/10, 18:38:23;</t>
        </r>
      </text>
    </comment>
    <comment ref="B59" authorId="1" shapeId="0" xr:uid="{DD2B2ED7-67AB-46B9-9B62-FFF153FA224A}">
      <text>
        <r>
          <rPr>
            <sz val="9"/>
            <color indexed="81"/>
            <rFont val="宋体"/>
            <family val="3"/>
            <charset val="134"/>
          </rPr>
          <t>Added by 唐悦, on 2021/6/10, 18:38:23;</t>
        </r>
      </text>
    </comment>
    <comment ref="B60" authorId="1" shapeId="0" xr:uid="{0987513C-F8D4-4C8F-AD89-7C84FC583A6E}">
      <text>
        <r>
          <rPr>
            <sz val="9"/>
            <color indexed="81"/>
            <rFont val="宋体"/>
            <family val="3"/>
            <charset val="134"/>
          </rPr>
          <t>Added by 唐悦, on 2021/6/10, 18:38:23;</t>
        </r>
      </text>
    </comment>
    <comment ref="B61" authorId="1" shapeId="0" xr:uid="{666B463A-F93C-40DF-A786-D1ACB1574B81}">
      <text>
        <r>
          <rPr>
            <sz val="9"/>
            <color indexed="81"/>
            <rFont val="宋体"/>
            <family val="3"/>
            <charset val="134"/>
          </rPr>
          <t>Added by 唐悦, on 2021/6/10, 18:38:23;</t>
        </r>
      </text>
    </comment>
  </commentList>
</comments>
</file>

<file path=xl/comments2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  <author>Windows 用户</author>
    <author>conan</author>
    <author>lenovo</author>
  </authors>
  <commentList>
    <comment ref="B2" authorId="0" shapeId="0" xr:uid="{ACA92273-90A2-4498-B19D-3F0E28E5FA93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地图ID
总地图顺序在ConfigValue表
关卡页签内
以数组形式保存</t>
        </r>
      </text>
    </comment>
    <comment ref="C2" authorId="1" shapeId="0" xr:uid="{640EE2F1-5FF4-4D4F-BA4A-DD046CD4967A}">
      <text>
        <r>
          <rPr>
            <b/>
            <sz val="9"/>
            <rFont val="宋体"/>
            <family val="3"/>
            <charset val="134"/>
          </rPr>
          <t>程航:</t>
        </r>
        <r>
          <rPr>
            <sz val="9"/>
            <rFont val="宋体"/>
            <family val="3"/>
            <charset val="134"/>
          </rPr>
          <t xml:space="preserve">
链接translate</t>
        </r>
      </text>
    </comment>
    <comment ref="E2" authorId="1" shapeId="0" xr:uid="{F4F3A8E1-F31D-4683-B42B-2311ECC231C7}">
      <text>
        <r>
          <rPr>
            <b/>
            <sz val="9"/>
            <rFont val="宋体"/>
            <family val="3"/>
            <charset val="134"/>
          </rPr>
          <t>程航:</t>
        </r>
        <r>
          <rPr>
            <sz val="9"/>
            <rFont val="宋体"/>
            <family val="3"/>
            <charset val="134"/>
          </rPr>
          <t xml:space="preserve">
NORMAL：普通
ELITE：精英</t>
        </r>
      </text>
    </comment>
    <comment ref="F2" authorId="2" shapeId="0" xr:uid="{55D19F9E-0949-4392-9223-07D090883D5A}">
      <text>
        <r>
          <rPr>
            <b/>
            <sz val="9"/>
            <rFont val="宋体"/>
            <family val="3"/>
            <charset val="134"/>
          </rPr>
          <t>conan:</t>
        </r>
        <r>
          <rPr>
            <sz val="9"/>
            <rFont val="宋体"/>
            <family val="3"/>
            <charset val="134"/>
          </rPr>
          <t xml:space="preserve">
关卡中战斗的场景图，填写BackGroundPicture表内ID
</t>
        </r>
      </text>
    </comment>
    <comment ref="G2" authorId="0" shapeId="0" xr:uid="{F6C852AA-FD76-425C-BBCD-9C65DD817F94}">
      <text>
        <r>
          <rPr>
            <b/>
            <sz val="9"/>
            <rFont val="宋体"/>
            <family val="3"/>
            <charset val="134"/>
          </rPr>
          <t>作者：
美术图长度</t>
        </r>
      </text>
    </comment>
    <comment ref="I2" authorId="0" shapeId="0" xr:uid="{232D32AF-EF4A-4511-A470-34269799BBDE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包含哪些点
链接到BlockPoint表
必须从01开始按顺序排列
</t>
        </r>
      </text>
    </comment>
    <comment ref="J2" authorId="0" shapeId="0" xr:uid="{C4FE79E4-706A-4B5E-B7BD-8ED1F22A836A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包含哪些点
链接到BlockPoint表
必须从01开始按顺序排列
唐悦：
不可以跟SubPoint字段同时拥有配置内容
</t>
        </r>
      </text>
    </comment>
    <comment ref="K2" authorId="0" shapeId="0" xr:uid="{AAD8DA2C-DDAE-47AD-A3E7-148071DF6D14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包含哪些点
链接到BlockPoint表
必须从01开始按顺序排列
</t>
        </r>
      </text>
    </comment>
    <comment ref="L2" authorId="0" shapeId="0" xr:uid="{6D75651E-55C1-4B11-9D0E-965419FE3C33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形式为Jason
"a":"b"
a代表星星数
b代表奖励ID
表示玩家该地图获得星星数达到a时获得奖励b
关联RewardConfig表</t>
        </r>
      </text>
    </comment>
    <comment ref="J5" authorId="3" shapeId="0" xr:uid="{92DC09BD-3E02-452C-9D48-28DBC5A0E537}">
      <text>
        <r>
          <rPr>
            <sz val="9"/>
            <color indexed="81"/>
            <rFont val="宋体"/>
            <family val="3"/>
            <charset val="134"/>
          </rPr>
          <t>Added by 唐悦, on 2021/5/11, 10:22:53;</t>
        </r>
      </text>
    </comment>
  </commentList>
</comments>
</file>

<file path=xl/comments2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Windows 用户</author>
    <author>conan</author>
    <author>袁梓真</author>
    <author>作者</author>
  </authors>
  <commentList>
    <comment ref="C2" authorId="0" shapeId="0" xr:uid="{CD42E028-A00B-439E-BCA3-BC3DCB55DDDC}">
      <text>
        <r>
          <rPr>
            <b/>
            <sz val="9"/>
            <rFont val="宋体"/>
            <family val="3"/>
            <charset val="134"/>
          </rPr>
          <t>程航:</t>
        </r>
        <r>
          <rPr>
            <sz val="9"/>
            <rFont val="宋体"/>
            <family val="3"/>
            <charset val="134"/>
          </rPr>
          <t xml:space="preserve">
Translate表</t>
        </r>
      </text>
    </comment>
    <comment ref="D2" authorId="1" shapeId="0" xr:uid="{6B01367A-3436-418A-8875-BBCB013929E2}">
      <text>
        <r>
          <rPr>
            <b/>
            <sz val="9"/>
            <rFont val="宋体"/>
            <family val="3"/>
            <charset val="134"/>
          </rPr>
          <t>conan:</t>
        </r>
        <r>
          <rPr>
            <sz val="9"/>
            <rFont val="宋体"/>
            <family val="3"/>
            <charset val="134"/>
          </rPr>
          <t xml:space="preserve">
NORMAL 普通
ELITE 精英
HARD 噩梦</t>
        </r>
      </text>
    </comment>
    <comment ref="E2" authorId="2" shapeId="0" xr:uid="{9BBCF753-223E-4BF3-B598-A2A04D8B960F}">
      <text>
        <r>
          <rPr>
            <sz val="9"/>
            <rFont val="宋体"/>
            <family val="3"/>
            <charset val="134"/>
          </rPr>
          <t>关卡类型
NORMAL：普通关卡
BOSS：Boss关卡，在地图上显示特殊头像
HIDE:隐藏关卡，可以和BOSS的形象切换</t>
        </r>
      </text>
    </comment>
    <comment ref="G2" authorId="0" shapeId="0" xr:uid="{7BF2977B-7706-42EF-9ADB-AC1AC202CAD0}">
      <text>
        <r>
          <rPr>
            <b/>
            <sz val="9"/>
            <color indexed="81"/>
            <rFont val="宋体"/>
            <family val="3"/>
            <charset val="134"/>
          </rPr>
          <t>唐悦:</t>
        </r>
        <r>
          <rPr>
            <sz val="9"/>
            <color indexed="81"/>
            <rFont val="宋体"/>
            <family val="3"/>
            <charset val="134"/>
          </rPr>
          <t xml:space="preserve">
等级：LEVEL
通关：Pass 通关某个关卡点
固定时间：具体时间
Start：累积星数</t>
        </r>
      </text>
    </comment>
    <comment ref="H2" authorId="0" shapeId="0" xr:uid="{F48D58C1-10C5-4946-BC3B-E7B6B44868F1}">
      <text>
        <r>
          <rPr>
            <b/>
            <sz val="9"/>
            <color indexed="81"/>
            <rFont val="宋体"/>
            <family val="3"/>
            <charset val="134"/>
          </rPr>
          <t>唐悦</t>
        </r>
        <r>
          <rPr>
            <sz val="9"/>
            <color indexed="81"/>
            <rFont val="宋体"/>
            <family val="3"/>
            <charset val="134"/>
          </rPr>
          <t>:
等级：LEVEL
通关：Pass 通关某个关卡点
固定时间：start 具体时间</t>
        </r>
      </text>
    </comment>
    <comment ref="J2" authorId="3" shapeId="0" xr:uid="{0C72412D-94CB-49EC-B4CD-53A4665E6B97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开启条件之一，玩家等级大于等于该值后才能挑战
</t>
        </r>
      </text>
    </comment>
    <comment ref="K2" authorId="3" shapeId="0" xr:uid="{98B7A414-B8C5-43D2-B4B0-67989B81EB38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要开启此关卡需要先通过的关卡id</t>
        </r>
      </text>
    </comment>
    <comment ref="L2" authorId="3" shapeId="0" xr:uid="{79B62B17-5B28-4B7E-B731-5C510128EE17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通过此关后，开启的后续关卡id
有可能同时开启多个关卡(例如宝箱关)
隐藏关：此处的开启为玩家可以看到该关卡，挑战隐藏关还需要满足解锁条件，详见后面的“关卡开启条件”</t>
        </r>
      </text>
    </comment>
    <comment ref="M2" authorId="3" shapeId="0" xr:uid="{A57EB533-468D-444B-86D7-D15A7AE4D665}">
      <text>
        <r>
          <rPr>
            <b/>
            <sz val="9"/>
            <rFont val="宋体"/>
            <family val="3"/>
            <charset val="134"/>
          </rPr>
          <t>王东旭:</t>
        </r>
        <r>
          <rPr>
            <sz val="9"/>
            <rFont val="宋体"/>
            <family val="3"/>
            <charset val="134"/>
          </rPr>
          <t xml:space="preserve">
新增的列：前置剧情关卡
开启对应关卡需通过的剧情关ID</t>
        </r>
      </text>
    </comment>
  </commentList>
</comments>
</file>

<file path=xl/comments2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Windows 用户</author>
    <author>作者</author>
    <author>conan</author>
    <author>袁梓真</author>
    <author>余雨晗</author>
    <author>毛鹏宇</author>
    <author>LL26</author>
    <author>杨博番</author>
    <author>包明承</author>
    <author>L98</author>
    <author>程航</author>
    <author>庄晋升</author>
    <author>lenovo</author>
    <author>dpstorm</author>
  </authors>
  <commentList>
    <comment ref="C2" authorId="0" shapeId="0" xr:uid="{2AA58DE1-DE0B-4D1C-99C8-28A915B4833C}">
      <text>
        <r>
          <rPr>
            <b/>
            <sz val="9"/>
            <rFont val="宋体"/>
            <family val="3"/>
            <charset val="134"/>
          </rPr>
          <t>程航:</t>
        </r>
        <r>
          <rPr>
            <sz val="9"/>
            <rFont val="宋体"/>
            <family val="3"/>
            <charset val="134"/>
          </rPr>
          <t xml:space="preserve">
Translate表</t>
        </r>
      </text>
    </comment>
    <comment ref="E2" authorId="0" shapeId="0" xr:uid="{8C1A2CFA-C90D-4A79-8DE9-8F0DCA7C62F9}">
      <text>
        <r>
          <rPr>
            <b/>
            <sz val="9"/>
            <rFont val="宋体"/>
            <family val="3"/>
            <charset val="134"/>
          </rPr>
          <t>程航:</t>
        </r>
        <r>
          <rPr>
            <sz val="9"/>
            <rFont val="宋体"/>
            <family val="3"/>
            <charset val="134"/>
          </rPr>
          <t xml:space="preserve">
Translate表</t>
        </r>
      </text>
    </comment>
    <comment ref="J2" authorId="1" shapeId="0" xr:uid="{3E51C6D1-8143-4797-84F5-BB81F210D676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通过此关后，开启的后续关卡id
有可能同时开启多个关卡(例如宝箱关)
隐藏关：此处的开启为玩家可以看到该关卡，挑战隐藏关还需要满足解锁条件，详见后面的“关卡开启条件”</t>
        </r>
      </text>
    </comment>
    <comment ref="K2" authorId="2" shapeId="0" xr:uid="{F00904D8-E620-4145-BCDE-1EFC8AD0BB81}">
      <text>
        <r>
          <rPr>
            <b/>
            <sz val="9"/>
            <rFont val="宋体"/>
            <family val="3"/>
            <charset val="134"/>
          </rPr>
          <t>conan:</t>
        </r>
        <r>
          <rPr>
            <sz val="9"/>
            <rFont val="宋体"/>
            <family val="3"/>
            <charset val="134"/>
          </rPr>
          <t xml:space="preserve">
NORMAL 普通
ELITE 精英
HARD 噩梦</t>
        </r>
      </text>
    </comment>
    <comment ref="L2" authorId="3" shapeId="0" xr:uid="{D111956E-1783-47B0-B7F8-F3AAA19A9457}">
      <text>
        <r>
          <rPr>
            <sz val="9"/>
            <rFont val="宋体"/>
            <family val="3"/>
            <charset val="134"/>
          </rPr>
          <t>关卡类型
NORMAL：普通关卡
BOSS：Boss关卡，在地图上显示特殊头像
HIDE:隐藏关卡，可以和BOSS的形象切换</t>
        </r>
      </text>
    </comment>
    <comment ref="M2" authorId="0" shapeId="0" xr:uid="{11D4AA84-4B64-43FD-8B42-3C4858056FA5}">
      <text>
        <r>
          <rPr>
            <b/>
            <sz val="9"/>
            <rFont val="宋体"/>
            <family val="3"/>
            <charset val="134"/>
          </rPr>
          <t>Windows 用户:</t>
        </r>
        <r>
          <rPr>
            <sz val="9"/>
            <rFont val="宋体"/>
            <family val="3"/>
            <charset val="134"/>
          </rPr>
          <t xml:space="preserve">
战斗相关参数
链接BlockBattle表</t>
        </r>
      </text>
    </comment>
    <comment ref="N2" authorId="4" shapeId="0" xr:uid="{FD06D55E-0FFB-49E9-A7FF-15D5F36C142A}">
      <text>
        <r>
          <rPr>
            <b/>
            <sz val="9"/>
            <rFont val="宋体"/>
            <family val="3"/>
            <charset val="134"/>
          </rPr>
          <t>唐悦:</t>
        </r>
        <r>
          <rPr>
            <sz val="9"/>
            <rFont val="宋体"/>
            <family val="3"/>
            <charset val="134"/>
          </rPr>
          <t xml:space="preserve">
不配：不做特殊处理，不额外控制玩家编队
配置EnemyCard中的ID：玩家只能用此卡组中的角色，不可以自行编队
------------------------------------
具体的模式可以参照训练本的形式</t>
        </r>
      </text>
    </comment>
    <comment ref="O2" authorId="1" shapeId="0" xr:uid="{ADA24FE0-FCE3-412D-AB77-14E6C122F386}">
      <text>
        <r>
          <rPr>
            <b/>
            <sz val="9"/>
            <rFont val="宋体"/>
            <family val="3"/>
            <charset val="134"/>
          </rPr>
          <t>程航:</t>
        </r>
        <r>
          <rPr>
            <sz val="9"/>
            <rFont val="宋体"/>
            <family val="3"/>
            <charset val="134"/>
          </rPr>
          <t xml:space="preserve">
关卡点描述上方的人物气泡，如果不配则没有
格式：
title:标题
desc:描述
链接到Translate表</t>
        </r>
      </text>
    </comment>
    <comment ref="P2" authorId="1" shapeId="0" xr:uid="{0B79E6BA-4340-480B-AE21-B8ECC976C087}">
      <text>
        <r>
          <rPr>
            <b/>
            <sz val="9"/>
            <rFont val="宋体"/>
            <family val="3"/>
            <charset val="134"/>
          </rPr>
          <t>唐悦:</t>
        </r>
        <r>
          <rPr>
            <sz val="9"/>
            <rFont val="宋体"/>
            <family val="3"/>
            <charset val="134"/>
          </rPr>
          <t xml:space="preserve">
需要剔除的牌
Cost:费用为X的牌
{"Cost":[3,4,5]}
HeroType：指定职业的牌
{"HeroType":["Attack","Aoe"]}
HeroParty：指定势力的牌
{"HeroParty":["DWH","BSNCT"]}</t>
        </r>
      </text>
    </comment>
    <comment ref="Q2" authorId="1" shapeId="0" xr:uid="{7B8AADEE-1C67-4C3F-B318-DCBD687CA364}">
      <text>
        <r>
          <rPr>
            <b/>
            <sz val="9"/>
            <color rgb="FF000000"/>
            <rFont val="宋体"/>
            <family val="3"/>
            <charset val="134"/>
          </rPr>
          <t>作者:
暂时先用这个字段，之后要删除改用EnemyCard字段</t>
        </r>
        <r>
          <rPr>
            <sz val="9"/>
            <color rgb="FF000000"/>
            <rFont val="宋体"/>
            <family val="3"/>
            <charset val="134"/>
          </rPr>
          <t xml:space="preserve">
对应到EnemyMaster表</t>
        </r>
      </text>
    </comment>
    <comment ref="R2" authorId="0" shapeId="0" xr:uid="{364F9C53-105B-4289-9298-94D1260F5CD2}">
      <text>
        <r>
          <rPr>
            <b/>
            <sz val="9"/>
            <rFont val="宋体"/>
            <family val="3"/>
            <charset val="134"/>
          </rPr>
          <t>Windows 用户:
之后要使用的字段</t>
        </r>
        <r>
          <rPr>
            <sz val="9"/>
            <rFont val="宋体"/>
            <family val="3"/>
            <charset val="134"/>
          </rPr>
          <t xml:space="preserve">
敌方卡组库
链接到EnemyCard表
</t>
        </r>
      </text>
    </comment>
    <comment ref="S2" authorId="1" shapeId="0" xr:uid="{369D4F07-65AE-40B1-A7A4-B660C30DF66B}">
      <text>
        <r>
          <rPr>
            <b/>
            <sz val="9"/>
            <rFont val="宋体"/>
            <family val="3"/>
            <charset val="134"/>
          </rPr>
          <t>唐悦:</t>
        </r>
        <r>
          <rPr>
            <sz val="9"/>
            <rFont val="宋体"/>
            <family val="3"/>
            <charset val="134"/>
          </rPr>
          <t xml:space="preserve">
1.是否通关  {"type"="Pass"}
2.XX时间内通关  {"type"="Time", "value"=XX（秒）}
3.我方死亡英魂小于等于X  {"type"="MyDeath", "value"=X}
4.我方剩余血量百分比大于等于X  {"type"="MyHpRatio", "value"=百分比（例如85%填写85）}
5.敌方死亡英魂数量大于等于X {"type"="EnemyDeath", "value"=X}
6.敌方全灭 {"type"="AllKill"}
7.回合数小于等于X {"type"="Round", "value"=X}
</t>
        </r>
      </text>
    </comment>
    <comment ref="T2" authorId="1" shapeId="0" xr:uid="{1FE1C674-CE2F-4211-B90E-502DE843D8D7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通关一次获得的金币数量</t>
        </r>
      </text>
    </comment>
    <comment ref="U2" authorId="1" shapeId="0" xr:uid="{EFFED364-E0B3-45C9-BC2D-59C1F3B181A4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通关一次获得的金币数量</t>
        </r>
      </text>
    </comment>
    <comment ref="V2" authorId="1" shapeId="0" xr:uid="{B914A97A-31D4-4EF9-95E4-71639CDD765A}">
      <text>
        <r>
          <rPr>
            <b/>
            <sz val="9"/>
            <color rgb="FF000000"/>
            <rFont val="宋体"/>
            <family val="3"/>
            <charset val="134"/>
          </rPr>
          <t>程航:</t>
        </r>
        <r>
          <rPr>
            <sz val="9"/>
            <color rgb="FF000000"/>
            <rFont val="宋体"/>
            <family val="3"/>
            <charset val="134"/>
          </rPr>
          <t xml:space="preserve">
关卡首次击破掉落的奖励，替代掉正常掉落
填写Reward表Id</t>
        </r>
      </text>
    </comment>
    <comment ref="W2" authorId="0" shapeId="0" xr:uid="{06CE2704-D012-459B-8149-6A5AFB9490E4}">
      <text>
        <r>
          <rPr>
            <b/>
            <sz val="9"/>
            <rFont val="宋体"/>
            <family val="3"/>
            <charset val="134"/>
          </rPr>
          <t>Windows 用户:</t>
        </r>
        <r>
          <rPr>
            <sz val="9"/>
            <rFont val="宋体"/>
            <family val="3"/>
            <charset val="134"/>
          </rPr>
          <t xml:space="preserve">
正常掉落包
包含扫荡、首杀、正常通过</t>
        </r>
      </text>
    </comment>
    <comment ref="X2" authorId="1" shapeId="0" xr:uid="{2ADBFCFB-2B7D-4F4B-8F0A-D9D687BD79CB}">
      <text>
        <r>
          <rPr>
            <b/>
            <sz val="9"/>
            <color rgb="FF000000"/>
            <rFont val="宋体"/>
            <family val="3"/>
            <charset val="134"/>
          </rPr>
          <t>作者:</t>
        </r>
        <r>
          <rPr>
            <sz val="9"/>
            <color rgb="FF000000"/>
            <rFont val="宋体"/>
            <family val="3"/>
            <charset val="134"/>
          </rPr>
          <t xml:space="preserve">
关卡通关后宠物获得经验
由reward配置
关联到表Reward</t>
        </r>
      </text>
    </comment>
    <comment ref="Y2" authorId="2" shapeId="0" xr:uid="{E87C167D-5457-4A63-9AAE-606F9D1BE9F7}">
      <text>
        <r>
          <rPr>
            <b/>
            <sz val="9"/>
            <rFont val="宋体"/>
            <family val="3"/>
            <charset val="134"/>
          </rPr>
          <t>conan:</t>
        </r>
        <r>
          <rPr>
            <sz val="9"/>
            <rFont val="宋体"/>
            <family val="3"/>
            <charset val="134"/>
          </rPr>
          <t xml:space="preserve">
每个关卡有一个主要道具
主要用于扫荡时统计扫荡到的主要奖励数量</t>
        </r>
      </text>
    </comment>
    <comment ref="Z2" authorId="1" shapeId="0" xr:uid="{C0B3803C-7D45-47B3-8597-F3B579C40FB0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链接到
Reward表
数组形式，
最大不会超过6个，配合界面</t>
        </r>
      </text>
    </comment>
    <comment ref="AA2" authorId="5" shapeId="0" xr:uid="{7F877C4B-8A12-4762-B769-DADAA781E694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进行扫荡时额外获得的奖励</t>
        </r>
      </text>
    </comment>
    <comment ref="AB2" authorId="1" shapeId="0" xr:uid="{002171A8-D4AB-4DA4-BFF2-A72585B0D536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进入该关卡，需要消耗的体力值</t>
        </r>
      </text>
    </comment>
    <comment ref="AC2" authorId="1" shapeId="0" xr:uid="{8CD4F199-852E-4EED-947E-EC89B12501CF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战斗失败时返还的体力</t>
        </r>
      </text>
    </comment>
    <comment ref="AD2" authorId="1" shapeId="0" xr:uid="{75D60252-28A3-4253-974B-9AF096BAA49E}">
      <text>
        <r>
          <rPr>
            <b/>
            <sz val="9"/>
            <rFont val="宋体"/>
            <family val="3"/>
            <charset val="134"/>
          </rPr>
          <t>唐悦:</t>
        </r>
        <r>
          <rPr>
            <sz val="9"/>
            <rFont val="宋体"/>
            <family val="3"/>
            <charset val="134"/>
          </rPr>
          <t xml:space="preserve">
首次通关后再次挑战关卡是否消耗体力
1：消耗体力
0：不消耗体力
</t>
        </r>
      </text>
    </comment>
    <comment ref="AE2" authorId="2" shapeId="0" xr:uid="{A994FC8B-4D7C-4247-8322-034AC4561A8B}">
      <text>
        <r>
          <rPr>
            <b/>
            <sz val="9"/>
            <rFont val="宋体"/>
            <family val="3"/>
            <charset val="134"/>
          </rPr>
          <t>conan:</t>
        </r>
        <r>
          <rPr>
            <sz val="9"/>
            <rFont val="宋体"/>
            <family val="3"/>
            <charset val="134"/>
          </rPr>
          <t xml:space="preserve">
关卡中的技能效果
详情见备注</t>
        </r>
      </text>
    </comment>
    <comment ref="AF2" authorId="2" shapeId="0" xr:uid="{954EED6F-DE4D-427E-854B-A25DE39C5E50}">
      <text>
        <r>
          <rPr>
            <b/>
            <sz val="9"/>
            <rFont val="宋体"/>
            <family val="3"/>
            <charset val="134"/>
          </rPr>
          <t>conan:</t>
        </r>
        <r>
          <rPr>
            <sz val="9"/>
            <rFont val="宋体"/>
            <family val="3"/>
            <charset val="134"/>
          </rPr>
          <t xml:space="preserve">
战斗中上方血条栏，敌人的名称
Translate</t>
        </r>
      </text>
    </comment>
    <comment ref="AG2" authorId="2" shapeId="0" xr:uid="{A9016395-FA2F-4B30-BEEB-4ADB0CBC2F9F}">
      <text>
        <r>
          <rPr>
            <b/>
            <sz val="9"/>
            <rFont val="宋体"/>
            <family val="3"/>
            <charset val="134"/>
          </rPr>
          <t>conan:</t>
        </r>
        <r>
          <rPr>
            <sz val="9"/>
            <rFont val="宋体"/>
            <family val="3"/>
            <charset val="134"/>
          </rPr>
          <t xml:space="preserve">
链接到Translate表</t>
        </r>
      </text>
    </comment>
    <comment ref="AH2" authorId="1" shapeId="0" xr:uid="{F7FB4489-A1E9-4D32-8C65-02577B5C222B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[
(超时){"type":"TimeOut","winner":"SideB"},
(带有tag的单位死亡){"type":"KeyUnitsDied","factor":{"unitTag":"xyz","count":2} ,"winner":"SideB"},
（一方的角色死亡）{"type":"SingleSideDeathsReached","factor":{"side":"SideA","count":2}, "winner":"SideB"},
（一个玩家的角色死亡）{"type":"PlayerDeathsReached","factor":{"side":"SideA","count":2}, "winner":"SideB"},
（玩家能量用光）{"type":"PlayerRunOutOfEnergy","factor":{"side":"SideA"}, "winner":"SideB"},
(击杀指定数量角色[带表现]){"type":"KillNum","factor":{"killtype":"Glass","count":16,"side":"All"},"winner":"SideA"}
]（side可以为 SideA,SideB,All，killtype分为Hero Summoned _Tag）
注: [{规则枚举, 参数/条件, 结果},{规则枚举, 参数/条件, 结果}]
举例：
[
{"type":"TimeOut","winner":"SideB"},
{"type":"KeyUnitsDied","factor":{"unitTag":"xyz","count":2},"winner":"SideB"},
{"type":"SingleSideDeathsReached","factor":{"side":"SideA","count":2}, "winner":"SideB"},
{"type":"PlayerDeathsReached","factor":{"side":"SideA","count":2},"winner":"SideB"},
{"type":"PlayerRunOutOfEnergy","factor":{"side":"SideA"},"winner":"SideB"}
]</t>
        </r>
      </text>
    </comment>
    <comment ref="AI2" authorId="1" shapeId="0" xr:uid="{3ABCB214-6C8E-4F63-8C67-D3081FDAD1B4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1.普通点
2.小boss点
3.大boss点
4.宝箱关</t>
        </r>
      </text>
    </comment>
    <comment ref="AK2" authorId="1" shapeId="0" xr:uid="{A650B38F-2B20-4C94-BB68-2E1068909DF7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有些关卡，需要显示BOSS头像，空代表没有。
如无特殊配置，本大关的BOSS头像都配置为最后一个小关的BOSS形象。</t>
        </r>
      </text>
    </comment>
    <comment ref="AL2" authorId="2" shapeId="0" xr:uid="{56E1D0F2-97F8-485E-80CB-D15F91C3B8E7}">
      <text>
        <r>
          <rPr>
            <b/>
            <sz val="9"/>
            <rFont val="宋体"/>
            <family val="3"/>
            <charset val="134"/>
          </rPr>
          <t>conan:</t>
        </r>
        <r>
          <rPr>
            <sz val="9"/>
            <rFont val="宋体"/>
            <family val="3"/>
            <charset val="134"/>
          </rPr>
          <t xml:space="preserve">
在地图上关卡点的目标小提示，不配则不显示</t>
        </r>
      </text>
    </comment>
    <comment ref="AM2" authorId="3" shapeId="0" xr:uid="{BB10ECD1-E958-4911-A2BF-5E2C0FC362C1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不使用Url形式
改为适用固定标识</t>
        </r>
      </text>
    </comment>
    <comment ref="AN2" authorId="2" shapeId="0" xr:uid="{56C52675-69A3-4E3F-B824-635030770F71}">
      <text>
        <r>
          <rPr>
            <b/>
            <sz val="9"/>
            <rFont val="宋体"/>
            <family val="3"/>
            <charset val="134"/>
          </rPr>
          <t>conan:</t>
        </r>
        <r>
          <rPr>
            <sz val="9"/>
            <rFont val="宋体"/>
            <family val="3"/>
            <charset val="134"/>
          </rPr>
          <t xml:space="preserve">
普通显示头像，BOSS显示立绘</t>
        </r>
      </text>
    </comment>
    <comment ref="AO2" authorId="2" shapeId="0" xr:uid="{E9E39D0C-79D9-435F-AFC0-5A6DDEC3718E}">
      <text>
        <r>
          <rPr>
            <b/>
            <sz val="9"/>
            <rFont val="宋体"/>
            <family val="3"/>
            <charset val="134"/>
          </rPr>
          <t>conan:</t>
        </r>
        <r>
          <rPr>
            <sz val="9"/>
            <rFont val="宋体"/>
            <family val="3"/>
            <charset val="134"/>
          </rPr>
          <t xml:space="preserve">
关卡中战斗的场景图，填写BackGroundPicture表内ID
</t>
        </r>
      </text>
    </comment>
    <comment ref="AQ2" authorId="6" shapeId="0" xr:uid="{1B31EC0B-2F1B-462C-8C89-5B0248DE28C1}">
      <text>
        <r>
          <rPr>
            <b/>
            <sz val="9"/>
            <rFont val="宋体"/>
            <family val="3"/>
            <charset val="134"/>
          </rPr>
          <t>丁:</t>
        </r>
        <r>
          <rPr>
            <sz val="9"/>
            <rFont val="宋体"/>
            <family val="3"/>
            <charset val="134"/>
          </rPr>
          <t xml:space="preserve">
enter：进入关卡时的剧情
win：关卡胜利时后的剧情
例：
{"enter":["chapter1_1a"],"win":["chapter1_1b"]}
不填没有剧情。</t>
        </r>
      </text>
    </comment>
    <comment ref="AR2" authorId="0" shapeId="0" xr:uid="{5A201283-6199-4F96-A7B4-065E3717D3A9}">
      <text>
        <r>
          <rPr>
            <b/>
            <sz val="9"/>
            <rFont val="宋体"/>
            <family val="3"/>
            <charset val="134"/>
          </rPr>
          <t>Windows 用户:</t>
        </r>
        <r>
          <rPr>
            <sz val="9"/>
            <rFont val="宋体"/>
            <family val="3"/>
            <charset val="134"/>
          </rPr>
          <t xml:space="preserve">
待定</t>
        </r>
      </text>
    </comment>
    <comment ref="AS2" authorId="7" shapeId="0" xr:uid="{5CBFD0B7-D362-4EE9-B850-13652EF813A2}">
      <text>
        <r>
          <rPr>
            <b/>
            <sz val="9"/>
            <rFont val="宋体"/>
            <family val="3"/>
            <charset val="134"/>
          </rPr>
          <t xml:space="preserve">程航:
待定
</t>
        </r>
        <r>
          <rPr>
            <sz val="9"/>
            <rFont val="宋体"/>
            <family val="3"/>
            <charset val="134"/>
          </rPr>
          <t xml:space="preserve">
0为通用板子
1为特殊板子
具体细节见系统文档
</t>
        </r>
      </text>
    </comment>
    <comment ref="AT2" authorId="7" shapeId="0" xr:uid="{1EEDA075-5931-4FBE-8FEC-8782911FB3C0}">
      <text>
        <r>
          <rPr>
            <b/>
            <sz val="9"/>
            <rFont val="宋体"/>
            <family val="3"/>
            <charset val="134"/>
          </rPr>
          <t>程航:
待定</t>
        </r>
        <r>
          <rPr>
            <sz val="9"/>
            <rFont val="宋体"/>
            <family val="3"/>
            <charset val="134"/>
          </rPr>
          <t xml:space="preserve">
在主线副本界面点击关卡后弹出的板子，
配置即使用特殊板子
不配则使用普通板子
boss：当前关卡展示板的boss数量，用于读取面板信息和判断板子类型，1项使用单人板子，2项和3项使用多人板子，策划保证不出现4项的情况，如出现则只去前三项
word：板子上的战队宣言，读translate表的id
teamName：当boss配置2项和3项时才配置，展示队伍名字而不是角色名字，</t>
        </r>
      </text>
    </comment>
    <comment ref="AU2" authorId="7" shapeId="0" xr:uid="{DC1DF44D-FC61-415A-B625-4B4D26AD9525}">
      <text>
        <r>
          <rPr>
            <b/>
            <sz val="9"/>
            <rFont val="宋体"/>
            <family val="3"/>
            <charset val="134"/>
          </rPr>
          <t>杨博番:</t>
        </r>
        <r>
          <rPr>
            <sz val="9"/>
            <rFont val="宋体"/>
            <family val="3"/>
            <charset val="134"/>
          </rPr>
          <t xml:space="preserve">
Loading板子用哪个
数组中自然随机取
不配则从所有Loading中自然随机一个</t>
        </r>
      </text>
    </comment>
    <comment ref="AW2" authorId="8" shapeId="0" xr:uid="{05B56BA1-B6C2-4E93-89E2-18E7380FBD64}">
      <text>
        <r>
          <rPr>
            <b/>
            <sz val="9"/>
            <rFont val="宋体"/>
            <family val="3"/>
            <charset val="134"/>
          </rPr>
          <t>包明承:</t>
        </r>
        <r>
          <rPr>
            <sz val="9"/>
            <rFont val="宋体"/>
            <family val="3"/>
            <charset val="134"/>
          </rPr>
          <t xml:space="preserve">
此关卡内的战斗成就列表
[BlockChallengeID1,……]</t>
        </r>
      </text>
    </comment>
    <comment ref="AX2" authorId="1" shapeId="0" xr:uid="{CBECB540-ADCA-4787-B80D-E5E34D6C6633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关卡的特殊机制弹窗显示内容</t>
        </r>
      </text>
    </comment>
    <comment ref="AY2" authorId="9" shapeId="0" xr:uid="{D0671BE2-C8D7-456B-95BE-8AD0FA70432F}">
      <text>
        <r>
          <rPr>
            <b/>
            <sz val="9"/>
            <rFont val="宋体"/>
            <family val="3"/>
            <charset val="134"/>
          </rPr>
          <t>ny:</t>
        </r>
        <r>
          <rPr>
            <sz val="9"/>
            <rFont val="宋体"/>
            <family val="3"/>
            <charset val="134"/>
          </rPr>
          <t xml:space="preserve">
用以显示PVE关卡中敌方大血条下方展示的特殊技能，填写Skill ID，该Skill只承载短描述内容，具体效果写在人物技能里</t>
        </r>
      </text>
    </comment>
    <comment ref="AZ2" authorId="10" shapeId="0" xr:uid="{59EBEF2C-6F9B-49DB-A2BA-FBC70CE82961}">
      <text>
        <r>
          <rPr>
            <b/>
            <sz val="9"/>
            <rFont val="宋体"/>
            <family val="3"/>
            <charset val="134"/>
          </rPr>
          <t>程航:</t>
        </r>
        <r>
          <rPr>
            <sz val="9"/>
            <rFont val="宋体"/>
            <family val="3"/>
            <charset val="134"/>
          </rPr>
          <t xml:space="preserve">
填写富文本
不可换行</t>
        </r>
      </text>
    </comment>
    <comment ref="BB2" authorId="0" shapeId="0" xr:uid="{CAC048B0-3B44-4DB5-AD97-0624D27AE702}">
      <text>
        <r>
          <rPr>
            <b/>
            <sz val="9"/>
            <rFont val="宋体"/>
            <family val="3"/>
            <charset val="134"/>
          </rPr>
          <t>王东旭:</t>
        </r>
        <r>
          <rPr>
            <sz val="9"/>
            <rFont val="宋体"/>
            <family val="3"/>
            <charset val="134"/>
          </rPr>
          <t xml:space="preserve">
关卡详情界面是否自动弹出
1为通关上一关或剧情关后自动弹出
0为不自动弹出</t>
        </r>
      </text>
    </comment>
    <comment ref="BD2" authorId="1" shapeId="0" xr:uid="{966BE420-8476-47A9-BD16-EFF039031B01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1开启
0不开启</t>
        </r>
      </text>
    </comment>
    <comment ref="BG2" authorId="1" shapeId="0" xr:uid="{F82B0F22-6F21-458E-9FF8-66102B668D16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"英魂Id":{"道具Id":加成数量}
支持配置多人多道具</t>
        </r>
      </text>
    </comment>
    <comment ref="BH2" authorId="1" shapeId="0" xr:uid="{A7233A66-EBF0-4A13-A934-FC24AF8092A6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每个关卡的单独开启时间
</t>
        </r>
      </text>
    </comment>
    <comment ref="BI2" authorId="11" shapeId="0" xr:uid="{DC1256E4-0CEC-4E0E-9FC0-25AC5D55EA2B}">
      <text>
        <r>
          <rPr>
            <b/>
            <sz val="9"/>
            <color indexed="81"/>
            <rFont val="宋体"/>
            <family val="3"/>
            <charset val="134"/>
          </rPr>
          <t>庄晋升:</t>
        </r>
        <r>
          <rPr>
            <sz val="9"/>
            <color indexed="81"/>
            <rFont val="宋体"/>
            <family val="3"/>
            <charset val="134"/>
          </rPr>
          <t xml:space="preserve">
1：可扫荡
0：不可扫荡
默认不可扫荡</t>
        </r>
      </text>
    </comment>
    <comment ref="BJ2" authorId="1" shapeId="0" xr:uid="{09D06518-904C-4A7B-B7EA-1378AB65D3E8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实际战力压制生效=公式计算值*此系数，再判断是否超出上下限</t>
        </r>
      </text>
    </comment>
    <comment ref="BO2" authorId="1" shapeId="0" xr:uid="{4983D909-56B6-4B23-98C2-E7EF989853F4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{"YSTLu":{"4":"Buff_Star4","5":"Buff_Star5","6":"Buff_Star6","Awaken":"Buff_Star7"},"BBLMa":{"4":"Buff_Star4","5":"Buff_Star5","6":"Buff_Star6","Awaken":"Buff_Star7"}}
表示当上阵队伍中的YSTLu到达4星时，通关或者扫荡副本1次，额外进行一个Buff_Star4的掉落 Awaken表示觉醒
</t>
        </r>
      </text>
    </comment>
    <comment ref="BP2" authorId="12" shapeId="0" xr:uid="{6D5624E6-E657-496B-A608-3F1F725E16A0}">
      <text>
        <r>
          <rPr>
            <b/>
            <sz val="9"/>
            <color indexed="81"/>
            <rFont val="宋体"/>
            <family val="3"/>
            <charset val="134"/>
          </rPr>
          <t>唐悦:</t>
        </r>
        <r>
          <rPr>
            <sz val="9"/>
            <color indexed="81"/>
            <rFont val="宋体"/>
            <family val="3"/>
            <charset val="134"/>
          </rPr>
          <t xml:space="preserve">
配置的ID为EnemyMaster中的角色ID，技能及相关属性都用配置内容
配置为[]则判定为不限制玩家可用主角</t>
        </r>
      </text>
    </comment>
    <comment ref="BS2" authorId="12" shapeId="0" xr:uid="{72B2B0A4-B982-41EC-90BF-F5278218A1EA}">
      <text>
        <r>
          <rPr>
            <b/>
            <sz val="9"/>
            <color indexed="81"/>
            <rFont val="宋体"/>
            <family val="3"/>
            <charset val="134"/>
          </rPr>
          <t>张焕新:</t>
        </r>
        <r>
          <rPr>
            <sz val="9"/>
            <color indexed="81"/>
            <rFont val="宋体"/>
            <family val="3"/>
            <charset val="134"/>
          </rPr>
          <t xml:space="preserve">
type:
卡牌类型 1.英魂卡,2.技能卡
link:
链接检索的主键id
type为1时link字段为EnemyHero表内配置的数据
type为2时link字段为Skill表内配置的数据</t>
        </r>
      </text>
    </comment>
    <comment ref="BM5" authorId="12" shapeId="0" xr:uid="{66589961-E510-42CE-8774-285CC8532669}">
      <text>
        <r>
          <rPr>
            <sz val="9"/>
            <color indexed="81"/>
            <rFont val="宋体"/>
            <family val="3"/>
            <charset val="134"/>
          </rPr>
          <t>Added by 唐悦, on 2021/2/4, 19:11:05;</t>
        </r>
      </text>
    </comment>
    <comment ref="BN5" authorId="12" shapeId="0" xr:uid="{F807D1FF-35B0-4AF3-A2EB-A961DA0378FB}">
      <text>
        <r>
          <rPr>
            <sz val="9"/>
            <color indexed="81"/>
            <rFont val="宋体"/>
            <family val="3"/>
            <charset val="134"/>
          </rPr>
          <t>Added by 唐悦, on 2021/2/4, 19:11:06;</t>
        </r>
      </text>
    </comment>
    <comment ref="BO5" authorId="12" shapeId="0" xr:uid="{504330A2-5B77-4DF6-98E1-3A13AFDAB57A}">
      <text>
        <r>
          <rPr>
            <sz val="9"/>
            <color indexed="81"/>
            <rFont val="宋体"/>
            <family val="3"/>
            <charset val="134"/>
          </rPr>
          <t>Added by 唐悦, on 2021/2/4, 19:11:07;</t>
        </r>
      </text>
    </comment>
    <comment ref="BP5" authorId="12" shapeId="0" xr:uid="{2A16DD7A-DCE2-4503-B5F6-15ABE081E05B}">
      <text>
        <r>
          <rPr>
            <sz val="9"/>
            <color indexed="81"/>
            <rFont val="宋体"/>
            <family val="3"/>
            <charset val="134"/>
          </rPr>
          <t>Added by 唐悦, on 2021/4/19, 20:57:34;</t>
        </r>
      </text>
    </comment>
    <comment ref="BS5" authorId="13" shapeId="0" xr:uid="{E83D6E42-A12B-4E52-94DB-63D64B35E66A}">
      <text>
        <r>
          <rPr>
            <sz val="9"/>
            <color indexed="81"/>
            <rFont val="宋体"/>
            <family val="3"/>
            <charset val="134"/>
          </rPr>
          <t>Added by 张焕新, on 2021/6/29, 14:49:06;</t>
        </r>
      </text>
    </comment>
  </commentList>
</comments>
</file>

<file path=xl/comments2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  <author>Windows 用户</author>
  </authors>
  <commentList>
    <comment ref="B2" authorId="0" shapeId="0" xr:uid="{5581546D-DF80-4CC9-B876-3358D9AE1BCC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主键ID</t>
        </r>
      </text>
    </comment>
    <comment ref="C2" authorId="0" shapeId="0" xr:uid="{093CE5FA-C100-48EC-8ACE-1A9BDE83CB92}">
      <text>
        <r>
          <rPr>
            <b/>
            <sz val="9"/>
            <rFont val="宋体"/>
            <family val="3"/>
            <charset val="134"/>
          </rPr>
          <t>作者:
格式：</t>
        </r>
        <r>
          <rPr>
            <sz val="9"/>
            <rFont val="宋体"/>
            <family val="3"/>
            <charset val="134"/>
          </rPr>
          <t xml:space="preserve">
{"pattern":"COVER/ADD","value":100 }  初始怒气
cover：覆盖  add：叠加 
主角的初始怒气，特殊关卡用
若不填写，则不对主角初始怒气做额外修正</t>
        </r>
      </text>
    </comment>
    <comment ref="D2" authorId="0" shapeId="0" xr:uid="{8EAB6CC0-E5A8-41A1-A421-CB41C87ED921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作者:
{"pattern":"COVER/ADD","value":100 }  初始怒气
cover：覆盖  add：叠加 
宠物的初始怒气，布阵类玩法用
若不填，则不对宠物初始怒气做额外修正</t>
        </r>
      </text>
    </comment>
    <comment ref="E2" authorId="0" shapeId="0" xr:uid="{FD15352C-4C4D-4C51-83E1-53268DB0327F}">
      <text>
        <r>
          <rPr>
            <sz val="9"/>
            <rFont val="宋体"/>
            <family val="3"/>
            <charset val="134"/>
          </rPr>
          <t>作者:
a1.       受伤回复，方式为：固定值+伤害百分比*怒气转化率
a2.       行动后回复，方式为固定值
a3.       击杀回复，方式为固定值
a4:       时间回复，方式为每秒回复的固定值
例如：某单位回复类型为1，则配置方式为{"m1":{"a1":0,"a2":0}}
若回复类型为2，则配置方式为{"m2":{"a1":0}}
标准模型为：
1.受伤回复，方式为：10+伤害百分比*1000
2.攻击回复，100
3.击杀回复，400</t>
        </r>
      </text>
    </comment>
    <comment ref="F2" authorId="0" shapeId="0" xr:uid="{5466D360-E379-4AB6-AE34-9FEFA848AFA8}">
      <text>
        <r>
          <rPr>
            <sz val="9"/>
            <rFont val="宋体"/>
            <family val="3"/>
            <charset val="134"/>
          </rPr>
          <t>作者:
a1.       受伤回复，方式为：固定值+伤害百分比*怒气转化率
a2.       行动后回复，方式为固定值
a3.       击杀回复，方式为固定值
a4:       时间回复，方式为每秒回复的固定值
例如：某单位回复类型为1，则配置方式为{"m1":{"a1":0,"a2":0}}
若回复类型为2，则配置方式为{"m2":{"a1":0}}
数码兽标准模型为：
1.受伤回复，方式为：10+伤害百分比*1000
2.攻击回复，100
3.击杀回复，400</t>
        </r>
      </text>
    </comment>
    <comment ref="G2" authorId="0" shapeId="0" xr:uid="{EF9E1A0D-BA80-4590-9520-DD9BD266B03F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格式：
{"pattern":"COVER/ADD","value":1.5}
COVER:覆盖（如果是给敌方怪物配的话，直接用这个设置初始水晶）
ADD:添加
VALUE：填写小数
不配置表示不对其进行影响
默认值为{}
初始默认水晶在ConfigValue表中配置
</t>
        </r>
      </text>
    </comment>
    <comment ref="H2" authorId="0" shapeId="0" xr:uid="{9CF9D7C1-7E94-4150-992B-0F93F2876D5D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格式：
{"pattern":"COVER/ADD","value":1.5}
COVER:覆盖（如果是给敌方怪物配的话，直接用这个设置初始水晶）
ADD:添加
VALUE：填写小数
不配置表示不对其进行影响
默认值为{}
初始默认水晶在ConfigValue表中配置
</t>
        </r>
      </text>
    </comment>
    <comment ref="I2" authorId="0" shapeId="0" xr:uid="{8BEA7CDA-B4F6-4EE2-9585-301F24419EDC}">
      <text>
        <r>
          <rPr>
            <b/>
            <sz val="9"/>
            <rFont val="宋体"/>
            <family val="3"/>
            <charset val="134"/>
          </rPr>
          <t>程航:</t>
        </r>
        <r>
          <rPr>
            <sz val="9"/>
            <rFont val="宋体"/>
            <family val="3"/>
            <charset val="134"/>
          </rPr>
          <t xml:space="preserve">
格式：
[[{"duration":60000,"EnergySpeed":0.5,"EnemyEnergySpeed:0.5},{"duration":60000,"EnergySpeed":0.5,"EnemyEnergySpeed:0.5},{"duration":90000,"EnergySpeed":0.5,"EnemyEnergySpeed:0.5}]]
说明
[[{A},{B},{C}]]
表示单个player下每个阶段，适用于</t>
        </r>
        <r>
          <rPr>
            <b/>
            <sz val="9"/>
            <rFont val="宋体"/>
            <family val="3"/>
            <charset val="134"/>
          </rPr>
          <t>金币副本以外</t>
        </r>
        <r>
          <rPr>
            <sz val="9"/>
            <rFont val="宋体"/>
            <family val="3"/>
            <charset val="134"/>
          </rPr>
          <t>的其他玩法，阶段最多为3
[[{A}],[{B}],[{C}]....]
[{A}]表示第一player下每个阶段的信息，以此类推，目前</t>
        </r>
        <r>
          <rPr>
            <b/>
            <sz val="9"/>
            <rFont val="宋体"/>
            <family val="3"/>
            <charset val="134"/>
          </rPr>
          <t>只用于金币本</t>
        </r>
        <r>
          <rPr>
            <sz val="9"/>
            <rFont val="宋体"/>
            <family val="3"/>
            <charset val="134"/>
          </rPr>
          <t>，并且只有一个阶段，战斗中切换player时，时间重置
duration:阶段1持续时间，单位毫秒
EnergySpeed:我方能量恢复速度
EnemyEnergySpeed：敌方能量恢复速度</t>
        </r>
      </text>
    </comment>
    <comment ref="J2" authorId="0" shapeId="0" xr:uid="{B9C319F9-EDF4-411C-8DE4-35DE73F99878}">
      <text>
        <r>
          <rPr>
            <b/>
            <sz val="9"/>
            <rFont val="宋体"/>
            <family val="3"/>
            <charset val="134"/>
          </rPr>
          <t>程航:</t>
        </r>
        <r>
          <rPr>
            <sz val="9"/>
            <rFont val="宋体"/>
            <family val="3"/>
            <charset val="134"/>
          </rPr>
          <t xml:space="preserve">
水晶槽增长上限值，前端UI要根据该值改变水晶槽UI显示
敌方上限，我方上限</t>
        </r>
      </text>
    </comment>
    <comment ref="K2" authorId="0" shapeId="0" xr:uid="{CFF34AE7-3847-4FCB-8789-A583047773A4}">
      <text>
        <r>
          <rPr>
            <b/>
            <sz val="9"/>
            <rFont val="宋体"/>
            <family val="3"/>
            <charset val="134"/>
          </rPr>
          <t xml:space="preserve">程航:
</t>
        </r>
        <r>
          <rPr>
            <sz val="9"/>
            <rFont val="宋体"/>
            <family val="3"/>
            <charset val="134"/>
          </rPr>
          <t>单位：秒
-1：不可跳过
0：可直接跳过
XX：经过XX秒后可跳过</t>
        </r>
      </text>
    </comment>
    <comment ref="L2" authorId="0" shapeId="0" xr:uid="{9BFC84E6-70BF-4D37-A9B3-E891BF634B22}">
      <text>
        <r>
          <rPr>
            <sz val="9"/>
            <rFont val="宋体"/>
            <family val="3"/>
            <charset val="134"/>
          </rPr>
          <t xml:space="preserve">作者:
对应到Skill表
里面的元素排列顺序和解锁顺序相关，不能随便填写
</t>
        </r>
      </text>
    </comment>
    <comment ref="M2" authorId="0" shapeId="0" xr:uid="{2EC2CB5F-18E2-46F6-8E77-8E06B2B18A90}">
      <text>
        <r>
          <rPr>
            <sz val="9"/>
            <rFont val="宋体"/>
            <family val="3"/>
            <charset val="134"/>
          </rPr>
          <t xml:space="preserve">作者:
对应到Skill表
里面的元素排列顺序和解锁顺序相关，不能随便填写
</t>
        </r>
      </text>
    </comment>
    <comment ref="N2" authorId="0" shapeId="0" xr:uid="{08D0457C-C35A-4F78-80E9-F758E34A4159}">
      <text>
        <r>
          <rPr>
            <b/>
            <sz val="9"/>
            <rFont val="宋体"/>
            <family val="3"/>
            <charset val="134"/>
          </rPr>
          <t xml:space="preserve">聂祎:
</t>
        </r>
        <r>
          <rPr>
            <sz val="9"/>
            <rFont val="宋体"/>
            <family val="3"/>
            <charset val="134"/>
          </rPr>
          <t>0:不等待，不暂停
1：等待且暂停时间（训练本）；
2：等待且不暂停时间（正常战斗）；</t>
        </r>
      </text>
    </comment>
    <comment ref="O2" authorId="0" shapeId="0" xr:uid="{ECE979BC-B887-4289-9D40-68B2AB1BA646}">
      <text>
        <r>
          <rPr>
            <b/>
            <sz val="9"/>
            <rFont val="宋体"/>
            <family val="3"/>
            <charset val="134"/>
          </rPr>
          <t>聂祎:
1.上限时间只对等待模式1&amp;2生效；
2.单位毫秒；
3.填3000意味着，开始战斗后，敌方会在3秒后开始出牌；</t>
        </r>
      </text>
    </comment>
    <comment ref="P2" authorId="1" shapeId="0" xr:uid="{858CF707-3FF7-4C07-A6C4-13A0FF1A13D7}">
      <text>
        <r>
          <rPr>
            <b/>
            <sz val="9"/>
            <rFont val="宋体"/>
            <family val="3"/>
            <charset val="134"/>
          </rPr>
          <t>Windows 用户:</t>
        </r>
        <r>
          <rPr>
            <sz val="9"/>
            <rFont val="宋体"/>
            <family val="3"/>
            <charset val="134"/>
          </rPr>
          <t xml:space="preserve">
1:任何情况下满怒不会直接放大，等待轮到他
2.正常模式，满怒直接插入大
10.圣十模式，初始预布阵的满怒卡不会直接放大，等待轮到他才放大。不影响后续满怒直接插入大</t>
        </r>
      </text>
    </comment>
    <comment ref="R2" authorId="0" shapeId="0" xr:uid="{244C42DB-2A54-4736-96BF-9C1EA200CEFD}">
      <text>
        <r>
          <rPr>
            <sz val="9"/>
            <rFont val="宋体"/>
            <family val="3"/>
            <charset val="134"/>
          </rPr>
          <t xml:space="preserve">作者:
对应到Skill表
目前用以填写王尔德、三个火枪手的特殊被动
</t>
        </r>
      </text>
    </comment>
    <comment ref="S2" authorId="0" shapeId="0" xr:uid="{C194927D-0674-49AD-B4A6-2EBF8C68EF2F}">
      <text>
        <r>
          <rPr>
            <sz val="9"/>
            <rFont val="宋体"/>
            <family val="3"/>
            <charset val="134"/>
          </rPr>
          <t xml:space="preserve">作者:
对应到Skill表
目前用以填写王尔德、三个火枪手的特殊被动
</t>
        </r>
      </text>
    </comment>
    <comment ref="T2" authorId="0" shapeId="0" xr:uid="{C7688764-F73D-48D4-B52D-92414EEBCCF5}">
      <text>
        <r>
          <rPr>
            <sz val="9"/>
            <rFont val="宋体"/>
            <family val="3"/>
            <charset val="134"/>
          </rPr>
          <t>前面skill的参数，type1表示攻击buff，type2表示防御buff，type3表示怒气buff  攻击和防御buff只有一个value1，怒气buff的value1代表时间，value2代表间隔时间回复的怒气
一个格子可以配多个buff，走同一个skill id
count表示最大生效次数
{"cellcfg":[{"cell":1,"type":3,"value1":1,"value2":50,"count":99},{"cell":2,"type":3,"value1":1,"value2":50,"count":99}]}</t>
        </r>
      </text>
    </comment>
    <comment ref="U2" authorId="0" shapeId="0" xr:uid="{67B967A9-E519-44AB-BBF8-E20D3F04B195}">
      <text>
        <r>
          <rPr>
            <sz val="9"/>
            <rFont val="宋体"/>
            <family val="3"/>
            <charset val="134"/>
          </rPr>
          <t>前面skill的参数，type1表示攻击buff，type2表示防御buff，type3表示怒气buff  攻击和防御buff只有一个value1，怒气buff的value1代表时间，value2代表间隔时间回复的怒气
一个格子可以配多个buff，走同一个skill id
count表示最大生效次数</t>
        </r>
      </text>
    </comment>
    <comment ref="T5" authorId="1" shapeId="0" xr:uid="{9990145D-4A4D-48D6-A5A2-648C10F0EEB4}">
      <text>
        <r>
          <rPr>
            <sz val="9"/>
            <color indexed="81"/>
            <rFont val="宋体"/>
            <family val="3"/>
            <charset val="134"/>
          </rPr>
          <t>Added by 李浙鹏, on 2021/7/14, 14:50:13;</t>
        </r>
      </text>
    </comment>
    <comment ref="U5" authorId="1" shapeId="0" xr:uid="{8BB895EF-3DEF-4F2E-BCEB-932EA582BEE4}">
      <text>
        <r>
          <rPr>
            <sz val="9"/>
            <color indexed="81"/>
            <rFont val="宋体"/>
            <family val="3"/>
            <charset val="134"/>
          </rPr>
          <t>Added by 李浙鹏, on 2021/7/14, 14:50:26;</t>
        </r>
      </text>
    </comment>
  </commentList>
</comments>
</file>

<file path=xl/comments2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  <author>包明承</author>
  </authors>
  <commentList>
    <comment ref="B2" authorId="0" shapeId="0" xr:uid="{AB56FE76-E56F-467C-8F10-A3C34C63C752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关卡地图上的关卡点
为BlockMap表的分支</t>
        </r>
      </text>
    </comment>
    <comment ref="C2" authorId="0" shapeId="0" xr:uid="{5F749822-B6E0-497E-BC4E-63088497B8BE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有可能是美术字，看实际情况，关联Translate表关卡页签</t>
        </r>
      </text>
    </comment>
    <comment ref="G2" authorId="0" shapeId="0" xr:uid="{C57163A5-5884-4584-9A83-7B51F85EF2BC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要开启此关卡需要先通过的关卡id</t>
        </r>
      </text>
    </comment>
    <comment ref="H2" authorId="0" shapeId="0" xr:uid="{813A1CBC-333B-485C-A73E-301746EB9D2C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要开启此关卡需要先通过的关卡id</t>
        </r>
      </text>
    </comment>
    <comment ref="I2" authorId="0" shapeId="0" xr:uid="{7C4E3053-D23C-48BB-8D8D-D194E8676D52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通过此关后，开启的后续关卡id
有可能同时开启多个关卡(例如宝箱关)
隐藏关：此处的开启为玩家可以看到该关卡，挑战隐藏关还需要满足解锁条件，详见后面的“关卡开启条件”</t>
        </r>
      </text>
    </comment>
    <comment ref="J2" authorId="0" shapeId="0" xr:uid="{8E6D8111-618C-4B93-8CD4-4FF20B43F3F5}">
      <text>
        <r>
          <rPr>
            <b/>
            <sz val="9"/>
            <color rgb="FF000000"/>
            <rFont val="宋体"/>
            <family val="3"/>
            <charset val="134"/>
          </rPr>
          <t>程航:</t>
        </r>
        <r>
          <rPr>
            <sz val="9"/>
            <color rgb="FF000000"/>
            <rFont val="宋体"/>
            <family val="3"/>
            <charset val="134"/>
          </rPr>
          <t xml:space="preserve">
关卡首次击破给的特殊奖励，用来特殊用处
填写Reward表Id</t>
        </r>
      </text>
    </comment>
    <comment ref="K2" authorId="0" shapeId="0" xr:uid="{9BFEF9FE-92DD-46B0-87CB-CBE241E8FF10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1：隐藏
正常显示
（不在副本列表显示，解锁直接在界面显示剧情点）</t>
        </r>
      </text>
    </comment>
    <comment ref="L2" authorId="0" shapeId="0" xr:uid="{7AD5E3F9-B954-4EB8-A592-A448D19017F1}">
      <text>
        <r>
          <rPr>
            <b/>
            <sz val="9"/>
            <rFont val="宋体"/>
            <family val="3"/>
            <charset val="134"/>
          </rPr>
          <t xml:space="preserve">作者:
</t>
        </r>
        <r>
          <rPr>
            <sz val="9"/>
            <rFont val="宋体"/>
            <family val="3"/>
            <charset val="134"/>
          </rPr>
          <t>1：自动播放
（只有通过副本战斗胜利返回关卡界面，才会自动播放）</t>
        </r>
      </text>
    </comment>
    <comment ref="O2" authorId="0" shapeId="0" xr:uid="{B6356299-FEA2-419F-A8A8-987FDB5DDAD3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填写图片Id</t>
        </r>
      </text>
    </comment>
    <comment ref="P2" authorId="1" shapeId="0" xr:uid="{1D43F276-469B-4F31-994D-61E324D8261C}">
      <text>
        <r>
          <rPr>
            <b/>
            <sz val="9"/>
            <rFont val="宋体"/>
            <family val="3"/>
            <charset val="134"/>
          </rPr>
          <t>包明承:</t>
        </r>
        <r>
          <rPr>
            <sz val="9"/>
            <rFont val="宋体"/>
            <family val="3"/>
            <charset val="134"/>
          </rPr>
          <t xml:space="preserve">
主线界面内剧情点所使用的图标
填写图片名组（带后缀名，2个为一组）
图片名第一个为上部，第2个为背景。注意顺序不能反
</t>
        </r>
      </text>
    </comment>
  </commentList>
</comments>
</file>

<file path=xl/comments2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  <author>conan</author>
    <author>余雨晗</author>
    <author>杨博番</author>
    <author>袁梓真</author>
    <author>Windows 用户</author>
    <author>LL26</author>
    <author>包明承</author>
    <author>L98</author>
  </authors>
  <commentList>
    <comment ref="F2" authorId="0" shapeId="0" xr:uid="{3611A079-B580-4D06-B6E8-48E0ACE0BB5F}">
      <text>
        <r>
          <rPr>
            <sz val="9"/>
            <rFont val="宋体"/>
            <family val="3"/>
            <charset val="134"/>
          </rPr>
          <t xml:space="preserve">作者:
1: 男
0：女
</t>
        </r>
      </text>
    </comment>
    <comment ref="G2" authorId="0" shapeId="0" xr:uid="{00E51D53-EE97-4054-AB60-913DF1A5F044}">
      <text>
        <r>
          <rPr>
            <sz val="9"/>
            <rFont val="宋体"/>
            <family val="3"/>
            <charset val="134"/>
          </rPr>
          <t xml:space="preserve">作者:
进入战斗公式计算
</t>
        </r>
      </text>
    </comment>
    <comment ref="H2" authorId="0" shapeId="0" xr:uid="{F0AE75B4-7669-4906-8704-8D4A5136F84A}">
      <text>
        <r>
          <rPr>
            <b/>
            <sz val="9"/>
            <rFont val="宋体"/>
            <family val="3"/>
            <charset val="134"/>
          </rPr>
          <t>ny:</t>
        </r>
        <r>
          <rPr>
            <sz val="9"/>
            <rFont val="宋体"/>
            <family val="3"/>
            <charset val="134"/>
          </rPr>
          <t xml:space="preserve">
职业——职业Flags
Defense:守御——”WARRIOR”
Attack:攻袭——”ASSASSIN”
Support:祈梦——”LIGHT”
Summon:召唤——”SUMMONER”
Aoe：群攻——”MAGE”
Curse：诅咒——”DARK”
Cure：治愈——”HEALER”
会根据职业类型自动添加职业Flags。
受职业克制影响，慎填！！！！！！
</t>
        </r>
      </text>
    </comment>
    <comment ref="I2" authorId="0" shapeId="0" xr:uid="{4925E905-CC3B-4D5C-8BA6-6B716EDB3507}">
      <text>
        <r>
          <rPr>
            <sz val="9"/>
            <rFont val="宋体"/>
            <family val="3"/>
            <charset val="134"/>
          </rPr>
          <t xml:space="preserve">作者:
链接到品质表！！
对应品质表ID
关联到HeroQualityRate表
</t>
        </r>
      </text>
    </comment>
    <comment ref="J2" authorId="0" shapeId="0" xr:uid="{938689AA-BF9A-43AB-8E96-CE5F9CC7FE22}">
      <text>
        <r>
          <rPr>
            <sz val="9"/>
            <rFont val="宋体"/>
            <family val="3"/>
            <charset val="134"/>
          </rPr>
          <t>作者:
格斗家星级
关联到HeroStarRate表</t>
        </r>
      </text>
    </comment>
    <comment ref="L2" authorId="1" shapeId="0" xr:uid="{64F817A2-175F-4553-89ED-BE13B7E8E08C}">
      <text>
        <r>
          <rPr>
            <b/>
            <sz val="9"/>
            <rFont val="宋体"/>
            <family val="3"/>
            <charset val="134"/>
          </rPr>
          <t>conan:</t>
        </r>
        <r>
          <rPr>
            <sz val="9"/>
            <rFont val="宋体"/>
            <family val="3"/>
            <charset val="134"/>
          </rPr>
          <t xml:space="preserve">
见StageEnemyAI表</t>
        </r>
      </text>
    </comment>
    <comment ref="N2" authorId="2" shapeId="0" xr:uid="{230E1E44-47C4-43D2-9935-F01F60EE5F75}">
      <text>
        <r>
          <rPr>
            <b/>
            <sz val="9"/>
            <rFont val="宋体"/>
            <family val="3"/>
            <charset val="134"/>
          </rPr>
          <t>程航:</t>
        </r>
        <r>
          <rPr>
            <sz val="9"/>
            <rFont val="宋体"/>
            <family val="3"/>
            <charset val="134"/>
          </rPr>
          <t xml:space="preserve">
该怪物继承某英魂或者主角的标记
如果这里有值，则怪物的标记=对应英魂或者主角的标记+此表配的标记
如果没有值，则怪物的标记=此表配的标记
{"Chart":"HeroBase/MasterBase","Id":"对应表的主键"}</t>
        </r>
      </text>
    </comment>
    <comment ref="O2" authorId="0" shapeId="0" xr:uid="{E1E6993D-D2F3-47E3-B9B4-A4916779BCDD}">
      <text>
        <r>
          <rPr>
            <sz val="9"/>
            <rFont val="宋体"/>
            <family val="3"/>
            <charset val="134"/>
          </rPr>
          <t>作者:
a1.       受伤回复，方式为：固定值+伤害百分比*怒气转化率
a2.       行动后回复，方式为固定值
a3.       击杀回复，方式为固定值
a4:       每秒回复，方式是每秒回复固定数值
例如：某单位回复类型为1，则配置方式为{"m1":{"a1":0,"a2":0}}
若回复类型为2，则配置方式为{"m2":{"a1":0}}
数码兽标准模型为：
1.受伤回复，方式为：10+伤害百分比*1000
2.攻击回复，100
3.击杀回复，400</t>
        </r>
      </text>
    </comment>
    <comment ref="Q2" authorId="3" shapeId="0" xr:uid="{06E9D9A5-CD7A-4703-8437-D7ECE35FDEA9}">
      <text>
        <r>
          <rPr>
            <b/>
            <sz val="9"/>
            <rFont val="宋体"/>
            <family val="3"/>
            <charset val="134"/>
          </rPr>
          <t xml:space="preserve">程航：
资质取本行中的值，其他的描述HeroBase或者MasterBase中的描述
</t>
        </r>
        <r>
          <rPr>
            <sz val="9"/>
            <rFont val="宋体"/>
            <family val="3"/>
            <charset val="134"/>
          </rPr>
          <t>{"Chart":"HeroBase/MasterBase","Id":"对应表的主键"}</t>
        </r>
      </text>
    </comment>
    <comment ref="U2" authorId="4" shapeId="0" xr:uid="{C16DE4D8-5972-4EAF-A064-3E6D20B2084F}">
      <text>
        <r>
          <rPr>
            <b/>
            <sz val="9"/>
            <rFont val="宋体"/>
            <family val="3"/>
            <charset val="134"/>
          </rPr>
          <t>袁梓真:</t>
        </r>
        <r>
          <rPr>
            <sz val="9"/>
            <rFont val="宋体"/>
            <family val="3"/>
            <charset val="134"/>
          </rPr>
          <t xml:space="preserve">
数码兽克制属性，用于参与战斗计算
最多支持双属性，不做三属性</t>
        </r>
      </text>
    </comment>
    <comment ref="V2" authorId="0" shapeId="0" xr:uid="{5462A38F-7197-4BF8-86EC-F0203FF00F7E}">
      <text>
        <r>
          <rPr>
            <b/>
            <sz val="9"/>
            <color rgb="FF000000"/>
            <rFont val="宋体"/>
            <family val="3"/>
            <charset val="134"/>
          </rPr>
          <t>作者:</t>
        </r>
        <r>
          <rPr>
            <sz val="9"/>
            <color rgb="FF000000"/>
            <rFont val="宋体"/>
            <family val="3"/>
            <charset val="134"/>
          </rPr>
          <t xml:space="preserve">
普通小怪</t>
        </r>
        <r>
          <rPr>
            <sz val="9"/>
            <color rgb="FF000000"/>
            <rFont val="Tahoma"/>
            <family val="2"/>
          </rPr>
          <t xml:space="preserve"> : NORMAL
</t>
        </r>
        <r>
          <rPr>
            <sz val="9"/>
            <color rgb="FF000000"/>
            <rFont val="宋体"/>
            <family val="3"/>
            <charset val="134"/>
          </rPr>
          <t>稀有精英</t>
        </r>
        <r>
          <rPr>
            <sz val="9"/>
            <color rgb="FF000000"/>
            <rFont val="Tahoma"/>
            <family val="2"/>
          </rPr>
          <t xml:space="preserve"> : RARE
</t>
        </r>
        <r>
          <rPr>
            <sz val="9"/>
            <color rgb="FF000000"/>
            <rFont val="宋体"/>
            <family val="3"/>
            <charset val="134"/>
          </rPr>
          <t>通关</t>
        </r>
        <r>
          <rPr>
            <sz val="9"/>
            <color rgb="FF000000"/>
            <rFont val="Tahoma"/>
            <family val="2"/>
          </rPr>
          <t xml:space="preserve">BOSS : BOSS
</t>
        </r>
      </text>
    </comment>
    <comment ref="X2" authorId="0" shapeId="0" xr:uid="{62175BEB-4555-40B4-9EFF-20580142F7AB}">
      <text>
        <r>
          <rPr>
            <sz val="9"/>
            <rFont val="宋体"/>
            <family val="3"/>
            <charset val="134"/>
          </rPr>
          <t xml:space="preserve">作者:
对应到Skill表
</t>
        </r>
      </text>
    </comment>
    <comment ref="Y2" authorId="0" shapeId="0" xr:uid="{46305900-7A7A-4A08-BCB1-5E4EF7E73DC8}">
      <text>
        <r>
          <rPr>
            <sz val="9"/>
            <rFont val="宋体"/>
            <family val="3"/>
            <charset val="134"/>
          </rPr>
          <t xml:space="preserve">作者:
对应到Skill表
</t>
        </r>
      </text>
    </comment>
    <comment ref="Z2" authorId="0" shapeId="0" xr:uid="{66D3D9F1-731E-4298-AB88-91B4B8DBBB13}">
      <text>
        <r>
          <rPr>
            <sz val="9"/>
            <rFont val="宋体"/>
            <family val="3"/>
            <charset val="134"/>
          </rPr>
          <t xml:space="preserve">作者:
对应到Skill表
</t>
        </r>
      </text>
    </comment>
    <comment ref="AA2" authorId="0" shapeId="0" xr:uid="{7E76DBBA-8662-4E77-8C56-E495CDDB0633}">
      <text>
        <r>
          <rPr>
            <b/>
            <sz val="9"/>
            <color rgb="FF000000"/>
            <rFont val="宋体"/>
            <family val="3"/>
            <charset val="134"/>
          </rPr>
          <t xml:space="preserve">作者:
对应到Skill表
</t>
        </r>
      </text>
    </comment>
    <comment ref="AB2" authorId="0" shapeId="0" xr:uid="{53E69335-E12F-4133-919F-B40C59DB0B46}">
      <text>
        <r>
          <rPr>
            <b/>
            <sz val="9"/>
            <color rgb="FF000000"/>
            <rFont val="宋体"/>
            <family val="3"/>
            <charset val="134"/>
          </rPr>
          <t xml:space="preserve">作者:
对应到Skill表
</t>
        </r>
      </text>
    </comment>
    <comment ref="AC2" authorId="5" shapeId="0" xr:uid="{9946B626-770F-4ADD-A493-5BEBF3F714DA}">
      <text>
        <r>
          <rPr>
            <b/>
            <sz val="9"/>
            <rFont val="宋体"/>
            <family val="3"/>
            <charset val="134"/>
          </rPr>
          <t xml:space="preserve">作者:
对应到Skill表
</t>
        </r>
      </text>
    </comment>
    <comment ref="AD2" authorId="5" shapeId="0" xr:uid="{28757F0A-5C63-4E8A-9DF8-C73F717BB17B}">
      <text>
        <r>
          <rPr>
            <b/>
            <sz val="9"/>
            <rFont val="宋体"/>
            <family val="3"/>
            <charset val="134"/>
          </rPr>
          <t xml:space="preserve">作者:
对应到Skill表
</t>
        </r>
      </text>
    </comment>
    <comment ref="AE2" authorId="0" shapeId="0" xr:uid="{2FB13C0B-8B20-4804-89C9-7689DC1C4FB8}">
      <text>
        <r>
          <rPr>
            <sz val="9"/>
            <rFont val="宋体"/>
            <family val="3"/>
            <charset val="134"/>
          </rPr>
          <t xml:space="preserve">作者:
对应到Skill表
</t>
        </r>
      </text>
    </comment>
    <comment ref="AF2" authorId="0" shapeId="0" xr:uid="{2B332B9A-A115-4606-9893-3F35BBF98D16}">
      <text>
        <r>
          <rPr>
            <b/>
            <sz val="9"/>
            <color rgb="FF000000"/>
            <rFont val="宋体"/>
            <family val="3"/>
            <charset val="134"/>
          </rPr>
          <t xml:space="preserve">作者:
对应到Skill表
</t>
        </r>
      </text>
    </comment>
    <comment ref="AH2" authorId="0" shapeId="0" xr:uid="{7297EE7C-BEF6-40CA-9026-5B24324344B7}">
      <text>
        <r>
          <rPr>
            <sz val="9"/>
            <rFont val="宋体"/>
            <family val="3"/>
            <charset val="134"/>
          </rPr>
          <t>作者:
每次普通攻击触发小技能（a1）的概率。</t>
        </r>
      </text>
    </comment>
    <comment ref="AL2" authorId="4" shapeId="0" xr:uid="{7ADE3893-4D26-4FE6-BE24-BBA2B5382B37}">
      <text>
        <r>
          <rPr>
            <sz val="11"/>
            <color rgb="FF000000"/>
            <rFont val="宋体"/>
            <family val="3"/>
            <charset val="134"/>
          </rPr>
          <t>袁梓真:
怪物掉落的道具
hp：怪物血量掉到百分之多少后掉落，配0则为死亡后掉落0~1
type：gold/box
id：掉落道具的id
count：掉几个图标
unit：1个图标汇总后实际等于多少数量，不配则默认为1</t>
        </r>
      </text>
    </comment>
    <comment ref="AM2" authorId="0" shapeId="0" xr:uid="{1D0B0F39-4D5B-4A48-9792-06E28D4C5152}">
      <text>
        <r>
          <rPr>
            <b/>
            <sz val="9"/>
            <rFont val="宋体"/>
            <family val="3"/>
            <charset val="134"/>
          </rPr>
          <t>作者：</t>
        </r>
        <r>
          <rPr>
            <sz val="9"/>
            <rFont val="宋体"/>
            <family val="3"/>
            <charset val="134"/>
          </rPr>
          <t xml:space="preserve">
基础属性计算公式中的个体基础值</t>
        </r>
      </text>
    </comment>
    <comment ref="AP2" authorId="0" shapeId="0" xr:uid="{C639A061-8265-4C7D-9C22-343DDC56822A}">
      <text>
        <r>
          <rPr>
            <sz val="9"/>
            <rFont val="宋体"/>
            <family val="3"/>
            <charset val="134"/>
          </rPr>
          <t>作者:
默认值1</t>
        </r>
      </text>
    </comment>
    <comment ref="AQ2" authorId="0" shapeId="0" xr:uid="{82A2DA40-A096-4371-BD7E-EDC0FB27AA16}">
      <text>
        <r>
          <rPr>
            <sz val="9"/>
            <rFont val="宋体"/>
            <family val="3"/>
            <charset val="134"/>
          </rPr>
          <t>作者:
默认值1</t>
        </r>
      </text>
    </comment>
    <comment ref="AR2" authorId="0" shapeId="0" xr:uid="{52612E3E-3796-4E57-B1CC-570C97F26752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攻击时，伤害计算前忽略敌人最终防御力一定百分比</t>
        </r>
      </text>
    </comment>
    <comment ref="AS2" authorId="0" shapeId="0" xr:uid="{B37A6B77-F07D-4771-B701-BDF500D900F7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被攻击时，伤害计算前忽略敌人攻击力一定百分比</t>
        </r>
      </text>
    </comment>
    <comment ref="AU2" authorId="0" shapeId="0" xr:uid="{4648A26C-FD34-4146-8FFD-93D435287CBA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跟抗暴率互为对抗属性，最终触发暴击的概率=暴击率-抗暴率
先计算是否发生暴击，然后算是否格挡，如果暴击发生了就一定不会出现格挡</t>
        </r>
      </text>
    </comment>
    <comment ref="AV2" authorId="0" shapeId="0" xr:uid="{994F9103-443C-46C2-BF2D-3BEF4E72066C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跟暴击率互为对抗属性，最终触发暴击的概率=暴击率-抗暴率
</t>
        </r>
      </text>
    </comment>
    <comment ref="AW2" authorId="0" shapeId="0" xr:uid="{1D3F5C37-D690-4A14-BF6A-6B289C2A21B5}">
      <text>
        <r>
          <rPr>
            <b/>
            <sz val="9"/>
            <rFont val="宋体"/>
            <family val="3"/>
            <charset val="134"/>
          </rPr>
          <t xml:space="preserve">作者:
</t>
        </r>
      </text>
    </comment>
    <comment ref="BA2" authorId="0" shapeId="0" xr:uid="{707D05B4-C0F0-4ADF-AE02-87B69D18F75B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总伤害 = [基础伤害 * （1 + 攻击方.伤害率 - 防御方.免伤率）* 兵种相克修正系数 + factor3]*（1 + 是否触发暴击（是1，否0） * （暴击伤害+0.5）） * （1 - 是否触发格挡（是1，否0）*(格挡系数+0.3)）*连击系数</t>
        </r>
      </text>
    </comment>
    <comment ref="BB2" authorId="0" shapeId="0" xr:uid="{7782B1F7-4A52-4AA9-AEEA-E9B302C500A8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总伤害 = [基础伤害 * （1 + 攻击方.伤害率 - 防御方.免伤率）* 兵种相克修正系数 + factor3]*（1 + 是否触发暴击（是1，否0） * （暴击伤害+0.5）） * （1 - 是否触发格挡（是1，否0）*(格挡系数+0.3)）*连击系数</t>
        </r>
      </text>
    </comment>
    <comment ref="BC2" authorId="0" shapeId="0" xr:uid="{A81DACA4-5594-4286-8DFC-7F041CB75111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效果值 = 实际伤害值 * 吸血率 * （1+治疗率）
只有吸血和反弹用的实际伤害进行计算</t>
        </r>
      </text>
    </comment>
    <comment ref="BD2" authorId="0" shapeId="0" xr:uid="{A0C1FA87-7574-48E0-8278-F63E40D794CE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反弹伤害 = 实际造成的伤害*目标反弹率
对方剩100点血，我打了500点伤害，实际伤害为100
最终伤害为500</t>
        </r>
      </text>
    </comment>
    <comment ref="BH2" authorId="0" shapeId="0" xr:uid="{8A66C9CD-AA29-41BF-9667-8F29AA7BBBD2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受到的治疗量提升百分比。</t>
        </r>
      </text>
    </comment>
    <comment ref="BI2" authorId="0" shapeId="0" xr:uid="{BC1DFD8A-7E1C-44C9-90EE-156D99FFBD3B}">
      <text>
        <r>
          <rPr>
            <b/>
            <sz val="9"/>
            <rFont val="宋体"/>
            <family val="3"/>
            <charset val="134"/>
          </rPr>
          <t>作者:
受到致命伤害时，有一定几率保留1点hp不死</t>
        </r>
      </text>
    </comment>
    <comment ref="BL2" authorId="6" shapeId="0" xr:uid="{90421667-C1C6-4C6B-8517-E3B386678005}">
      <text>
        <r>
          <rPr>
            <b/>
            <sz val="9"/>
            <rFont val="宋体"/>
            <family val="3"/>
            <charset val="134"/>
          </rPr>
          <t>丁:</t>
        </r>
        <r>
          <rPr>
            <sz val="9"/>
            <rFont val="宋体"/>
            <family val="3"/>
            <charset val="134"/>
          </rPr>
          <t xml:space="preserve">
初始血量的百分比
初始血量必须大于0
初始血量必须小于等于1
默认为：1
</t>
        </r>
      </text>
    </comment>
    <comment ref="BN2" authorId="7" shapeId="0" xr:uid="{8658ADBD-A5C8-4911-AE1E-21D0E275C0AD}">
      <text>
        <r>
          <rPr>
            <b/>
            <sz val="9"/>
            <rFont val="宋体"/>
            <family val="3"/>
            <charset val="134"/>
          </rPr>
          <t>包明承:</t>
        </r>
        <r>
          <rPr>
            <sz val="9"/>
            <rFont val="宋体"/>
            <family val="3"/>
            <charset val="134"/>
          </rPr>
          <t xml:space="preserve">
敌方主角使用的团队技
外链到Skill表
如果不填则表示没有</t>
        </r>
      </text>
    </comment>
    <comment ref="BO2" authorId="7" shapeId="0" xr:uid="{4201B469-91D4-4EA6-8580-38B55D011DC0}">
      <text>
        <r>
          <rPr>
            <b/>
            <sz val="9"/>
            <rFont val="宋体"/>
            <family val="3"/>
            <charset val="134"/>
          </rPr>
          <t>包明承:</t>
        </r>
        <r>
          <rPr>
            <sz val="9"/>
            <rFont val="宋体"/>
            <family val="3"/>
            <charset val="134"/>
          </rPr>
          <t xml:space="preserve">
用以检测编队内的英魂条件是否可以触发团队技。
配置方式为:
[{"Tag":[["标签1","标签2",…],["标签3"]],"Scope":[A,B]},…]
说明：
Tag内配置需要满足的标签，底层数组配置多个表示同时满足。
二维数组内的表示满足其中一个数组的条件即可（外或里与）
Scope内表示需要满足的数量区间，A需要大于B，闭区间。
以上2个共同构成一个条件。
配置多个条件时，需要同时满足全部条件才能触发技能效果。
详细内容及例子见备注
不填写则默认生效</t>
        </r>
      </text>
    </comment>
    <comment ref="BP2" authorId="8" shapeId="0" xr:uid="{95CB601F-75E2-485B-A83B-691DE03EB903}">
      <text>
        <r>
          <rPr>
            <b/>
            <sz val="9"/>
            <rFont val="宋体"/>
            <family val="3"/>
            <charset val="134"/>
          </rPr>
          <t>ny:</t>
        </r>
        <r>
          <rPr>
            <sz val="9"/>
            <rFont val="宋体"/>
            <family val="3"/>
            <charset val="134"/>
          </rPr>
          <t xml:space="preserve">
用以控制击杀该单位时，是否有慢动作效果
TRUE：是过程Boss，没有击杀慢动作
FALSE：是最终Boss，有击杀慢动作</t>
        </r>
      </text>
    </comment>
    <comment ref="BQ2" authorId="8" shapeId="0" xr:uid="{00637AD9-C126-4C8E-B175-E90E4036DD10}">
      <text>
        <r>
          <rPr>
            <b/>
            <sz val="9"/>
            <rFont val="宋体"/>
            <family val="3"/>
            <charset val="134"/>
          </rPr>
          <t>唐悦：
对应herobase表中角色的surfacelist里的皮肤序列
第n个皮肤就填n-1
默认皮肤为空</t>
        </r>
      </text>
    </comment>
  </commentList>
</comments>
</file>

<file path=xl/comments3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Windows 用户</author>
    <author>作者</author>
    <author>袁梓真</author>
    <author>ZorK</author>
    <author>余雨晗</author>
    <author>杨博番</author>
    <author>LL26</author>
    <author>L98</author>
  </authors>
  <commentList>
    <comment ref="B2" authorId="0" shapeId="0" xr:uid="{193FA7AF-6599-43CD-945B-F5D7AA559F68}">
      <text>
        <r>
          <rPr>
            <b/>
            <sz val="9"/>
            <rFont val="宋体"/>
            <family val="3"/>
            <charset val="134"/>
          </rPr>
          <t>程航:</t>
        </r>
        <r>
          <rPr>
            <sz val="9"/>
            <rFont val="宋体"/>
            <family val="3"/>
            <charset val="134"/>
          </rPr>
          <t xml:space="preserve">
主键ID</t>
        </r>
      </text>
    </comment>
    <comment ref="C2" authorId="1" shapeId="0" xr:uid="{365BA799-85F3-4437-9EEA-BD6C9664DA1E}">
      <text>
        <r>
          <rPr>
            <sz val="9"/>
            <rFont val="宋体"/>
            <family val="3"/>
            <charset val="134"/>
          </rPr>
          <t>作者:
链接到RoleModel表
里面配置英雄各类模型、头像、声音资源等路径</t>
        </r>
      </text>
    </comment>
    <comment ref="D2" authorId="0" shapeId="0" xr:uid="{C627B5E8-B27B-43B4-8113-2BAEA4822544}">
      <text>
        <r>
          <rPr>
            <b/>
            <sz val="9"/>
            <rFont val="宋体"/>
            <family val="3"/>
            <charset val="134"/>
          </rPr>
          <t>程航:</t>
        </r>
        <r>
          <rPr>
            <sz val="9"/>
            <rFont val="宋体"/>
            <family val="3"/>
            <charset val="134"/>
          </rPr>
          <t xml:space="preserve">
怪物名称
Translate表
</t>
        </r>
      </text>
    </comment>
    <comment ref="G2" authorId="1" shapeId="0" xr:uid="{D047B545-DAB2-4E85-BC50-03B70225DB84}">
      <text>
        <r>
          <rPr>
            <sz val="9"/>
            <rFont val="宋体"/>
            <family val="3"/>
            <charset val="134"/>
          </rPr>
          <t xml:space="preserve">作者:
1: 男
0：女
</t>
        </r>
      </text>
    </comment>
    <comment ref="H2" authorId="1" shapeId="0" xr:uid="{60B3000B-8562-48F5-8E81-64F74762C623}">
      <text>
        <r>
          <rPr>
            <sz val="9"/>
            <rFont val="宋体"/>
            <family val="3"/>
            <charset val="134"/>
          </rPr>
          <t>作者:
进入战斗公式计算
11:N
12:R
13:SR
14：SSR
15：UR</t>
        </r>
      </text>
    </comment>
    <comment ref="J2" authorId="1" shapeId="0" xr:uid="{73CBB2A6-E1FB-40C4-A171-896D07E00A5B}">
      <text>
        <r>
          <rPr>
            <sz val="9"/>
            <rFont val="宋体"/>
            <family val="3"/>
            <charset val="134"/>
          </rPr>
          <t xml:space="preserve">作者:
链接到品质表！！
对应品质表ID
关联到HeroQualityRate表
</t>
        </r>
      </text>
    </comment>
    <comment ref="K2" authorId="1" shapeId="0" xr:uid="{DD85CC87-212C-4616-9544-861B6B013173}">
      <text>
        <r>
          <rPr>
            <sz val="9"/>
            <rFont val="宋体"/>
            <family val="3"/>
            <charset val="134"/>
          </rPr>
          <t>作者:
格斗家星级
关联到HeroStarRate表</t>
        </r>
      </text>
    </comment>
    <comment ref="M2" authorId="2" shapeId="0" xr:uid="{8AF1EE00-5274-4BB6-817E-CCDA63E7D932}">
      <text>
        <r>
          <rPr>
            <b/>
            <sz val="9"/>
            <rFont val="宋体"/>
            <family val="3"/>
            <charset val="134"/>
          </rPr>
          <t>袁梓真:</t>
        </r>
        <r>
          <rPr>
            <sz val="9"/>
            <rFont val="宋体"/>
            <family val="3"/>
            <charset val="134"/>
          </rPr>
          <t xml:space="preserve">
数码兽克制属性，用于参与战斗计算
最多支持双属性，不做三属性</t>
        </r>
      </text>
    </comment>
    <comment ref="N2" authorId="1" shapeId="0" xr:uid="{CB48755E-CD20-46DF-A085-152FB4557328}">
      <text>
        <r>
          <rPr>
            <b/>
            <sz val="9"/>
            <color rgb="FF000000"/>
            <rFont val="宋体"/>
            <family val="3"/>
            <charset val="134"/>
          </rPr>
          <t>作者:</t>
        </r>
        <r>
          <rPr>
            <sz val="9"/>
            <color rgb="FF000000"/>
            <rFont val="宋体"/>
            <family val="3"/>
            <charset val="134"/>
          </rPr>
          <t xml:space="preserve">
普通小怪</t>
        </r>
        <r>
          <rPr>
            <sz val="9"/>
            <color rgb="FF000000"/>
            <rFont val="Tahoma"/>
            <family val="2"/>
          </rPr>
          <t xml:space="preserve"> : NORMAL
</t>
        </r>
        <r>
          <rPr>
            <sz val="9"/>
            <color rgb="FF000000"/>
            <rFont val="宋体"/>
            <family val="3"/>
            <charset val="134"/>
          </rPr>
          <t>稀有精英</t>
        </r>
        <r>
          <rPr>
            <sz val="9"/>
            <color rgb="FF000000"/>
            <rFont val="Tahoma"/>
            <family val="2"/>
          </rPr>
          <t xml:space="preserve"> : RARE
</t>
        </r>
        <r>
          <rPr>
            <sz val="9"/>
            <color rgb="FF000000"/>
            <rFont val="宋体"/>
            <family val="3"/>
            <charset val="134"/>
          </rPr>
          <t>通关</t>
        </r>
        <r>
          <rPr>
            <sz val="9"/>
            <color rgb="FF000000"/>
            <rFont val="Tahoma"/>
            <family val="2"/>
          </rPr>
          <t xml:space="preserve">BOSS : BOSS
</t>
        </r>
      </text>
    </comment>
    <comment ref="O2" authorId="1" shapeId="0" xr:uid="{64FAED57-23A6-4635-BA3B-7F22D7622DF4}">
      <text>
        <r>
          <rPr>
            <sz val="9"/>
            <rFont val="宋体"/>
            <family val="3"/>
            <charset val="134"/>
          </rPr>
          <t xml:space="preserve">作者:
1: 男
0：女
</t>
        </r>
      </text>
    </comment>
    <comment ref="P2" authorId="1" shapeId="0" xr:uid="{BBA6C7D0-32AE-4EFA-8437-5B710F15082D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0=不显示
1=显示
不显示的数码兽仅在缘分中出现</t>
        </r>
      </text>
    </comment>
    <comment ref="Q2" authorId="1" shapeId="0" xr:uid="{84FBC18E-A04E-47BF-AEF3-2C07EAEC6011}">
      <text>
        <r>
          <rPr>
            <sz val="9"/>
            <rFont val="宋体"/>
            <family val="3"/>
            <charset val="134"/>
          </rPr>
          <t>作者:
对应到Skill表</t>
        </r>
      </text>
    </comment>
    <comment ref="S2" authorId="1" shapeId="0" xr:uid="{B2F73A20-8EAB-49DF-AF9F-5519CFDEEDE3}">
      <text>
        <r>
          <rPr>
            <sz val="9"/>
            <rFont val="宋体"/>
            <family val="3"/>
            <charset val="134"/>
          </rPr>
          <t xml:space="preserve">作者:
对应到Skill表
</t>
        </r>
      </text>
    </comment>
    <comment ref="U2" authorId="1" shapeId="0" xr:uid="{03213C74-5D3E-4228-9282-EE1E3F9DCFC1}">
      <text>
        <r>
          <rPr>
            <b/>
            <sz val="9"/>
            <color rgb="FF000000"/>
            <rFont val="宋体"/>
            <family val="3"/>
            <charset val="134"/>
          </rPr>
          <t>作者:
对应到Skill表</t>
        </r>
      </text>
    </comment>
    <comment ref="W2" authorId="0" shapeId="0" xr:uid="{DA0E17C3-6A90-461F-957C-4BD52E72F5A7}">
      <text>
        <r>
          <rPr>
            <b/>
            <sz val="9"/>
            <rFont val="宋体"/>
            <family val="3"/>
            <charset val="134"/>
          </rPr>
          <t>Windows 用户:</t>
        </r>
        <r>
          <rPr>
            <sz val="9"/>
            <rFont val="宋体"/>
            <family val="3"/>
            <charset val="134"/>
          </rPr>
          <t xml:space="preserve">
链接到Skill表</t>
        </r>
      </text>
    </comment>
    <comment ref="X2" authorId="0" shapeId="0" xr:uid="{901F6587-1688-4FFA-9601-04FE0027B3E1}">
      <text>
        <r>
          <rPr>
            <sz val="9"/>
            <rFont val="宋体"/>
            <family val="3"/>
            <charset val="134"/>
          </rPr>
          <t>作者:
对应到Skill表</t>
        </r>
      </text>
    </comment>
    <comment ref="Y2" authorId="1" shapeId="0" xr:uid="{A847ED62-6DC4-4720-BE99-B3A28E1670FA}">
      <text>
        <r>
          <rPr>
            <sz val="9"/>
            <rFont val="宋体"/>
            <family val="3"/>
            <charset val="134"/>
          </rPr>
          <t>作者:
对应到Skill表</t>
        </r>
      </text>
    </comment>
    <comment ref="AB2" authorId="1" shapeId="0" xr:uid="{4A0EFAEE-5E87-40E1-83F0-FB7655938379}">
      <text>
        <r>
          <rPr>
            <sz val="9"/>
            <rFont val="宋体"/>
            <family val="3"/>
            <charset val="134"/>
          </rPr>
          <t>作者:
每次普通攻击触发小技能（a1）的概率。</t>
        </r>
      </text>
    </comment>
    <comment ref="AD2" authorId="0" shapeId="0" xr:uid="{EE4A61F3-BD8A-4CFC-8D0E-8DF5DB711FC2}">
      <text>
        <r>
          <rPr>
            <b/>
            <sz val="9"/>
            <rFont val="宋体"/>
            <family val="3"/>
            <charset val="134"/>
          </rPr>
          <t>程航:</t>
        </r>
        <r>
          <rPr>
            <sz val="9"/>
            <rFont val="宋体"/>
            <family val="3"/>
            <charset val="134"/>
          </rPr>
          <t xml:space="preserve">
被击杀后给我方主角提供的怒气值
</t>
        </r>
      </text>
    </comment>
    <comment ref="AE2" authorId="3" shapeId="0" xr:uid="{9ED81525-8A6B-4537-B061-46F6616C68ED}">
      <text>
        <r>
          <rPr>
            <b/>
            <sz val="9"/>
            <rFont val="宋体"/>
            <family val="3"/>
            <charset val="134"/>
          </rPr>
          <t>ZorK:</t>
        </r>
        <r>
          <rPr>
            <sz val="9"/>
            <rFont val="宋体"/>
            <family val="3"/>
            <charset val="134"/>
          </rPr>
          <t xml:space="preserve">
登场后间隔一定秒数才能正式生效</t>
        </r>
      </text>
    </comment>
    <comment ref="AG2" authorId="4" shapeId="0" xr:uid="{1907561C-1A18-42D1-B83C-51BE3DC893ED}">
      <text>
        <r>
          <rPr>
            <b/>
            <sz val="9"/>
            <rFont val="宋体"/>
            <family val="3"/>
            <charset val="134"/>
          </rPr>
          <t>程航:</t>
        </r>
        <r>
          <rPr>
            <sz val="9"/>
            <rFont val="宋体"/>
            <family val="3"/>
            <charset val="134"/>
          </rPr>
          <t xml:space="preserve">
该怪物继承某格斗家的标记，链接到HeroBase表
如果这里有值，则怪物的标记=HeroBase中格斗家的标记+此表配的标记
如果没有值，则怪物的标记=此表配的标记</t>
        </r>
      </text>
    </comment>
    <comment ref="AH2" authorId="1" shapeId="0" xr:uid="{3FB684CC-7030-430A-9284-1ED4467C4BA1}">
      <text>
        <r>
          <rPr>
            <sz val="9"/>
            <rFont val="宋体"/>
            <family val="3"/>
            <charset val="134"/>
          </rPr>
          <t>作者:
a1.       受伤回复，方式为：固定值+伤害百分比*怒气转化率
a2.       行动后回复，方式为固定值
a3.       击杀回复，方式为固定值
a4:       每秒回复，方式是每秒回复固定数值
例如：某单位回复类型为1，则配置方式为{"m1":{"a1":0,"a2":0}}
若回复类型为2，则配置方式为{"m2":{"a1":0}}
数码兽标准模型为：
1.受伤回复，方式为：10+伤害百分比*1000
2.攻击回复，100
3.击杀回复，400</t>
        </r>
      </text>
    </comment>
    <comment ref="AJ2" authorId="5" shapeId="0" xr:uid="{5F81E492-BF6D-4432-A19D-89B8BC060D42}">
      <text>
        <r>
          <rPr>
            <b/>
            <sz val="9"/>
            <rFont val="宋体"/>
            <family val="3"/>
            <charset val="134"/>
          </rPr>
          <t>杨博番：
资质取本行中的值，其他的描述HeroBase中的描述</t>
        </r>
      </text>
    </comment>
    <comment ref="AK2" authorId="0" shapeId="0" xr:uid="{3C48C8CC-E35B-422F-BCAC-7CCB1D5AD048}">
      <text>
        <r>
          <rPr>
            <b/>
            <sz val="9"/>
            <rFont val="宋体"/>
            <family val="3"/>
            <charset val="134"/>
          </rPr>
          <t>Windows 用户:</t>
        </r>
        <r>
          <rPr>
            <sz val="9"/>
            <rFont val="宋体"/>
            <family val="3"/>
            <charset val="134"/>
          </rPr>
          <t xml:space="preserve">
显示战斗力</t>
        </r>
      </text>
    </comment>
    <comment ref="AL2" authorId="0" shapeId="0" xr:uid="{649C92D2-93BB-47A2-8E60-718D55FCD000}">
      <text>
        <r>
          <rPr>
            <b/>
            <sz val="9"/>
            <rFont val="宋体"/>
            <family val="3"/>
            <charset val="134"/>
          </rPr>
          <t>程航:</t>
        </r>
        <r>
          <rPr>
            <sz val="9"/>
            <rFont val="宋体"/>
            <family val="3"/>
            <charset val="134"/>
          </rPr>
          <t xml:space="preserve">
关联Translate表</t>
        </r>
      </text>
    </comment>
    <comment ref="AM2" authorId="0" shapeId="0" xr:uid="{D4EE550B-1B0E-4D21-A021-9B0EDEEA2860}">
      <text>
        <r>
          <rPr>
            <sz val="9"/>
            <rFont val="宋体"/>
            <family val="3"/>
            <charset val="134"/>
          </rPr>
          <t>程航:
关联Translate表</t>
        </r>
      </text>
    </comment>
    <comment ref="AQ2" authorId="2" shapeId="0" xr:uid="{E3EDACFE-673A-4AA9-9870-1F4EA4FA848D}">
      <text>
        <r>
          <rPr>
            <sz val="11"/>
            <color rgb="FF000000"/>
            <rFont val="宋体"/>
            <family val="3"/>
            <charset val="134"/>
          </rPr>
          <t>袁梓真:
怪物掉落的道具
hp：怪物血量掉到百分之多少后掉落，配0则为死亡后掉落0~1
type：gold/box
id：掉落道具的id
count：掉几个图标
unit：1个图标汇总后实际等于多少数量，不配则默认为1</t>
        </r>
      </text>
    </comment>
    <comment ref="AR2" authorId="1" shapeId="0" xr:uid="{CDC34DDD-6478-4CE7-90A9-4101C3635993}">
      <text>
        <r>
          <rPr>
            <b/>
            <sz val="9"/>
            <rFont val="宋体"/>
            <family val="3"/>
            <charset val="134"/>
          </rPr>
          <t>作者：</t>
        </r>
        <r>
          <rPr>
            <sz val="9"/>
            <rFont val="宋体"/>
            <family val="3"/>
            <charset val="134"/>
          </rPr>
          <t xml:space="preserve">
基础属性计算公式中的个体基础值</t>
        </r>
      </text>
    </comment>
    <comment ref="AU2" authorId="1" shapeId="0" xr:uid="{BFF4EB34-A157-47CB-B9FD-DEEDFAB3F9E4}">
      <text>
        <r>
          <rPr>
            <sz val="9"/>
            <rFont val="宋体"/>
            <family val="3"/>
            <charset val="134"/>
          </rPr>
          <t>作者:
默认值1</t>
        </r>
      </text>
    </comment>
    <comment ref="AV2" authorId="1" shapeId="0" xr:uid="{969B4A56-A534-4661-9A61-F94D111C73F3}">
      <text>
        <r>
          <rPr>
            <sz val="9"/>
            <rFont val="宋体"/>
            <family val="3"/>
            <charset val="134"/>
          </rPr>
          <t>作者:
默认值1</t>
        </r>
      </text>
    </comment>
    <comment ref="AW2" authorId="1" shapeId="0" xr:uid="{09B2764B-8928-4804-A74A-7287EB791EC7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攻击时，伤害计算前忽略敌人最终防御力一定百分比</t>
        </r>
      </text>
    </comment>
    <comment ref="AX2" authorId="1" shapeId="0" xr:uid="{FB379220-3DCC-40FD-8114-DAD61738D4E3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被攻击时，伤害计算前忽略敌人攻击力一定百分比</t>
        </r>
      </text>
    </comment>
    <comment ref="AY2" authorId="1" shapeId="0" xr:uid="{54A2E285-A1D5-4790-8EEC-63420C4E4689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跟抗暴率互为对抗属性，最终触发暴击的概率=暴击率-抗暴率
先计算是否发生暴击，然后算是否格挡，如果暴击发生了就一定不会出现格挡</t>
        </r>
      </text>
    </comment>
    <comment ref="AZ2" authorId="1" shapeId="0" xr:uid="{A5FE7EA2-A3B7-49A8-8585-1BD4C98817A9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跟暴击率互为对抗属性，最终触发暴击的概率=暴击率-抗暴率
</t>
        </r>
      </text>
    </comment>
    <comment ref="BA2" authorId="1" shapeId="0" xr:uid="{FF845CF7-DEB1-49DD-8F7A-EA894B1B190A}">
      <text>
        <r>
          <rPr>
            <b/>
            <sz val="9"/>
            <rFont val="宋体"/>
            <family val="3"/>
            <charset val="134"/>
          </rPr>
          <t xml:space="preserve">作者:
</t>
        </r>
      </text>
    </comment>
    <comment ref="BE2" authorId="1" shapeId="0" xr:uid="{F9445FEB-CB1D-4D34-9C46-AB2E5C3B0179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总伤害 = [基础伤害 * （1 + 攻击方.伤害率 - 防御方.免伤率）* 兵种相克修正系数 + factor3]*（1 + 是否触发暴击（是1，否0） * （暴击伤害+0.5）） * （1 - 是否触发格挡（是1，否0）*(格挡系数+0.3)）*连击系数</t>
        </r>
      </text>
    </comment>
    <comment ref="BF2" authorId="1" shapeId="0" xr:uid="{4F32E21F-C09B-4358-8FCC-D75EB4E6F62B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总伤害 = [基础伤害 * （1 + 攻击方.伤害率 - 防御方.免伤率）* 兵种相克修正系数 + factor3]*（1 + 是否触发暴击（是1，否0） * （暴击伤害+0.5）） * （1 - 是否触发格挡（是1，否0）*(格挡系数+0.3)）*连击系数</t>
        </r>
      </text>
    </comment>
    <comment ref="BG2" authorId="1" shapeId="0" xr:uid="{75CC916B-6C55-4A7C-8FBF-07D4A18B035C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效果值 = 实际伤害值 * 吸血率 * （1+治疗率）
只有吸血和反弹用的实际伤害进行计算</t>
        </r>
      </text>
    </comment>
    <comment ref="BH2" authorId="1" shapeId="0" xr:uid="{9F48EA7F-4D08-4C8C-967D-2216EFEEDE7C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反弹伤害 = 实际造成的伤害*目标反弹率
对方剩100点血，我打了500点伤害，实际伤害为100
最终伤害为500</t>
        </r>
      </text>
    </comment>
    <comment ref="BL2" authorId="1" shapeId="0" xr:uid="{36E4E239-49BD-49A9-B919-E000B77AFBE2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受到的治疗量提升百分比。</t>
        </r>
      </text>
    </comment>
    <comment ref="BM2" authorId="1" shapeId="0" xr:uid="{5275E187-1E55-47D6-A67D-0C45281D1687}">
      <text>
        <r>
          <rPr>
            <b/>
            <sz val="9"/>
            <rFont val="宋体"/>
            <family val="3"/>
            <charset val="134"/>
          </rPr>
          <t>作者:
受到致命伤害时，有一定几率保留1点hp不死</t>
        </r>
      </text>
    </comment>
    <comment ref="BP2" authorId="6" shapeId="0" xr:uid="{803E9ECD-ED16-4505-8C4D-C7A78334F4FD}">
      <text>
        <r>
          <rPr>
            <b/>
            <sz val="9"/>
            <rFont val="宋体"/>
            <family val="3"/>
            <charset val="134"/>
          </rPr>
          <t>丁:</t>
        </r>
        <r>
          <rPr>
            <sz val="9"/>
            <rFont val="宋体"/>
            <family val="3"/>
            <charset val="134"/>
          </rPr>
          <t xml:space="preserve">
初始血量的百分比
初始血量必须大于0
初始血量必须小于等于1
默认为：1
</t>
        </r>
      </text>
    </comment>
    <comment ref="BR2" authorId="7" shapeId="0" xr:uid="{5F682ED1-4977-4D04-80E0-06166F1E453E}">
      <text>
        <r>
          <rPr>
            <b/>
            <sz val="9"/>
            <rFont val="宋体"/>
            <family val="3"/>
            <charset val="134"/>
          </rPr>
          <t>唐悦：
对应herobase表中角色的surfacelist里的皮肤序列
第几个皮肤就填几
默认皮肤为空</t>
        </r>
      </text>
    </comment>
  </commentList>
</comments>
</file>

<file path=xl/comments3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B2" authorId="0" shapeId="0" xr:uid="{FC96B8CC-A710-41A8-8B28-D4A6CC519DE3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卡组标识
被个个副本表引用</t>
        </r>
      </text>
    </comment>
    <comment ref="C2" authorId="0" shapeId="0" xr:uid="{E8595C17-B1E2-4BF3-9BB6-6BE9C7A797EA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详见备注</t>
        </r>
      </text>
    </comment>
    <comment ref="D2" authorId="0" shapeId="0" xr:uid="{15EB58FA-9B0A-40DE-9267-D908B38B23D5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详见备注
</t>
        </r>
      </text>
    </comment>
    <comment ref="E2" authorId="0" shapeId="0" xr:uid="{4C506799-BD38-4DF3-A442-97613B6C6FAD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详见备注
</t>
        </r>
      </text>
    </comment>
  </commentList>
</comments>
</file>

<file path=xl/comments3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  <author>conan</author>
    <author>L98</author>
    <author>程航</author>
    <author>winm</author>
    <author>dpstorm</author>
    <author>lenovo</author>
    <author>admin</author>
  </authors>
  <commentList>
    <comment ref="C2" authorId="0" shapeId="0" xr:uid="{361BAB6D-91CC-46B4-A3C2-902EEA5671CC}">
      <text>
        <r>
          <rPr>
            <b/>
            <sz val="9"/>
            <rFont val="宋体"/>
            <family val="3"/>
            <charset val="134"/>
          </rPr>
          <t xml:space="preserve">庄晋升修改:
</t>
        </r>
        <r>
          <rPr>
            <sz val="9"/>
            <rFont val="宋体"/>
            <family val="3"/>
            <charset val="134"/>
          </rPr>
          <t xml:space="preserve">SKILL: 技能攻击
SUPER: 必杀技能
PASSIVE:被动技能
ULTRA:  超必杀
</t>
        </r>
        <r>
          <rPr>
            <b/>
            <sz val="9"/>
            <rFont val="宋体"/>
            <family val="3"/>
            <charset val="134"/>
          </rPr>
          <t>原设定</t>
        </r>
        <r>
          <rPr>
            <sz val="9"/>
            <rFont val="宋体"/>
            <family val="3"/>
            <charset val="134"/>
          </rPr>
          <t xml:space="preserve">
NORMAL: 普通攻击
SPECIAL:  小技能
SUPER：必杀技
PASSIVE：被动技能 </t>
        </r>
      </text>
    </comment>
    <comment ref="K2" authorId="0" shapeId="0" xr:uid="{3F449441-4580-4321-8D2D-DD8969E65C4E}">
      <text>
        <r>
          <rPr>
            <b/>
            <sz val="9"/>
            <rFont val="宋体"/>
            <family val="3"/>
            <charset val="134"/>
          </rPr>
          <t>作者:
技能图标命名规则范例</t>
        </r>
        <r>
          <rPr>
            <sz val="9"/>
            <rFont val="宋体"/>
            <family val="3"/>
            <charset val="134"/>
          </rPr>
          <t xml:space="preserve">
Skill_Iocn_Hero_100001_Proud   特殊技，有图标
Skill_Iocn_Hero_100001_Unique  必杀技，有图标
Skill_Iocn_Hero_100001_P1      被动技1，有图标</t>
        </r>
      </text>
    </comment>
    <comment ref="N2" authorId="1" shapeId="0" xr:uid="{433F9611-CBD1-4950-9FF5-C9EDE7077AC1}">
      <text>
        <r>
          <rPr>
            <b/>
            <sz val="9"/>
            <rFont val="宋体"/>
            <family val="3"/>
            <charset val="134"/>
          </rPr>
          <t>conan:</t>
        </r>
        <r>
          <rPr>
            <sz val="9"/>
            <rFont val="宋体"/>
            <family val="3"/>
            <charset val="134"/>
          </rPr>
          <t xml:space="preserve">
如果是需要升品的技能，则对每个品配置一个文本</t>
        </r>
      </text>
    </comment>
    <comment ref="P2" authorId="0" shapeId="0" xr:uid="{6232BFCE-D7D8-434D-9B4D-BE41575E7A98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技能对应效果，每个效果组对应一个品质
关联SkillAttrEffect表
若配置多项，则该技能有多个效果按顺序依次触发
多个数组之间是替换关系：例如白品配置的是攻击力+30，绿品攻击力+10，则角色升到绿品后攻击力+10</t>
        </r>
      </text>
    </comment>
    <comment ref="Q2" authorId="0" shapeId="0" xr:uid="{02B800C8-E939-407A-B8E7-D25411D6781E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当技能未解锁时判断技能提供的属性增益值是否生效
0:不生效
1:生效</t>
        </r>
      </text>
    </comment>
    <comment ref="R2" authorId="0" shapeId="0" xr:uid="{7A92C481-E670-4CB1-B5D5-CC2ED9C39461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当技能未解锁时判断技能提供的属性增益值是否生效
0:不生效
1:生效</t>
        </r>
      </text>
    </comment>
    <comment ref="W2" authorId="2" shapeId="0" xr:uid="{49CBD18B-3C6C-4392-93FA-6A8356C53001}">
      <text>
        <r>
          <rPr>
            <b/>
            <sz val="9"/>
            <rFont val="宋体"/>
            <family val="3"/>
            <charset val="134"/>
          </rPr>
          <t>ny:</t>
        </r>
        <r>
          <rPr>
            <sz val="9"/>
            <rFont val="宋体"/>
            <family val="3"/>
            <charset val="134"/>
          </rPr>
          <t xml:space="preserve">
控制流派技/key牌技是否在战斗中以图表形式显示（大血条下方）</t>
        </r>
      </text>
    </comment>
    <comment ref="X2" authorId="3" shapeId="0" xr:uid="{52D41FD5-4717-4E70-9137-50578355B6C6}">
      <text>
        <r>
          <rPr>
            <b/>
            <sz val="9"/>
            <rFont val="宋体"/>
            <family val="3"/>
            <charset val="134"/>
          </rPr>
          <t>程航:</t>
        </r>
        <r>
          <rPr>
            <sz val="9"/>
            <rFont val="宋体"/>
            <family val="3"/>
            <charset val="134"/>
          </rPr>
          <t xml:space="preserve">
用于在技能预留和升星中显示EX标识</t>
        </r>
      </text>
    </comment>
    <comment ref="Y2" authorId="4" shapeId="0" xr:uid="{55599F0D-B2C8-4B93-930C-4BD864AC4E71}">
      <text>
        <r>
          <rPr>
            <b/>
            <sz val="9"/>
            <rFont val="宋体"/>
            <family val="3"/>
            <charset val="134"/>
          </rPr>
          <t>ny:</t>
        </r>
        <r>
          <rPr>
            <sz val="9"/>
            <rFont val="宋体"/>
            <family val="3"/>
            <charset val="134"/>
          </rPr>
          <t xml:space="preserve">
用以填写主角技能的技能标签图片资源名</t>
        </r>
      </text>
    </comment>
    <comment ref="Z2" authorId="5" shapeId="0" xr:uid="{8B8D4E5F-6532-497C-AF8D-4D1AC288B3B1}">
      <text>
        <r>
          <rPr>
            <b/>
            <sz val="9"/>
            <color indexed="81"/>
            <rFont val="宋体"/>
            <family val="3"/>
            <charset val="134"/>
          </rPr>
          <t>wuyaming:</t>
        </r>
        <r>
          <rPr>
            <sz val="9"/>
            <color indexed="81"/>
            <rFont val="宋体"/>
            <family val="3"/>
            <charset val="134"/>
          </rPr>
          <t xml:space="preserve">
解决亡语技找不到目标而不发动情况
填1为亡语技无需目标发动
不填则需要目标</t>
        </r>
      </text>
    </comment>
    <comment ref="AA2" authorId="0" shapeId="0" xr:uid="{DB27B838-AB64-4BFD-A64B-2149950A1C53}">
      <text>
        <r>
          <rPr>
            <b/>
            <sz val="9"/>
            <rFont val="宋体"/>
            <family val="3"/>
            <charset val="134"/>
          </rPr>
          <t>吴亚明:</t>
        </r>
        <r>
          <rPr>
            <sz val="9"/>
            <rFont val="宋体"/>
            <family val="3"/>
            <charset val="134"/>
          </rPr>
          <t xml:space="preserve">
判断技能类型</t>
        </r>
      </text>
    </comment>
    <comment ref="Z5" authorId="5" shapeId="0" xr:uid="{A6298457-15A8-4198-AB5B-9FB274198AB9}">
      <text>
        <r>
          <rPr>
            <sz val="9"/>
            <color indexed="81"/>
            <rFont val="宋体"/>
            <family val="3"/>
            <charset val="134"/>
          </rPr>
          <t>Added by 吴亚明, on 2021/3/8, 19:46:40;</t>
        </r>
      </text>
    </comment>
    <comment ref="AA5" authorId="5" shapeId="0" xr:uid="{C6E3D94C-3616-47E5-ADC1-DBF538667CD1}">
      <text>
        <r>
          <rPr>
            <sz val="9"/>
            <color indexed="81"/>
            <rFont val="宋体"/>
            <family val="3"/>
            <charset val="134"/>
          </rPr>
          <t>Added by 吴亚明, on 2021/5/19, 11:47:44;</t>
        </r>
      </text>
    </comment>
    <comment ref="B7" authorId="6" shapeId="0" xr:uid="{A5ACC6BC-CB8A-48AB-9D45-6A8BB99B91E0}">
      <text>
        <r>
          <rPr>
            <sz val="9"/>
            <color indexed="81"/>
            <rFont val="宋体"/>
            <family val="3"/>
            <charset val="134"/>
          </rPr>
          <t>Added by 唐悦, on 2021/2/25, 15:04:46;</t>
        </r>
      </text>
    </comment>
    <comment ref="B8" authorId="6" shapeId="0" xr:uid="{282901E5-19EE-4437-9556-4380C175E834}">
      <text>
        <r>
          <rPr>
            <sz val="9"/>
            <color indexed="81"/>
            <rFont val="宋体"/>
            <family val="3"/>
            <charset val="134"/>
          </rPr>
          <t>Added by 唐悦, on 2021/2/25, 15:04:46;</t>
        </r>
      </text>
    </comment>
    <comment ref="B11" authorId="7" shapeId="0" xr:uid="{58DB69BD-D194-4273-9133-3681CD52ABD4}">
      <text>
        <r>
          <rPr>
            <sz val="9"/>
            <color indexed="81"/>
            <rFont val="宋体"/>
            <family val="3"/>
            <charset val="134"/>
          </rPr>
          <t>Added by 吴亚明, on 2021/9/8, 11:08:06;</t>
        </r>
      </text>
    </comment>
  </commentList>
</comments>
</file>

<file path=xl/comments3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conan</author>
  </authors>
  <commentList>
    <comment ref="C2" authorId="0" shapeId="0" xr:uid="{232C5057-A118-497A-BD63-C8F45305755E}">
      <text>
        <r>
          <rPr>
            <b/>
            <sz val="9"/>
            <color indexed="81"/>
            <rFont val="宋体"/>
            <family val="3"/>
            <charset val="134"/>
          </rPr>
          <t>余雨晗:</t>
        </r>
        <r>
          <rPr>
            <sz val="9"/>
            <color indexed="81"/>
            <rFont val="宋体"/>
            <family val="3"/>
            <charset val="134"/>
          </rPr>
          <t xml:space="preserve">
见备注页</t>
        </r>
      </text>
    </comment>
  </commentList>
</comments>
</file>

<file path=xl/comments3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B2" authorId="0" shapeId="0" xr:uid="{B6909662-7F38-4788-863B-4A41A8DF4E3E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StandardLv：标准等级配置
类型：int[]
填写标准等级,数组中填写[等级，品质]，服务器判定时，只使用品质
LowerStandardLv：用于控制低于标准等级时，等级到多少
类型：int[]
[-1]=使用玩家自身等级
[0]=使用标准等级
[200,10]=填写大于0的值为低于标准等级时，玩家阵容读取配置等级，数组中第二个数值为英雄品质
相关保护：
假设标准等级为200，该字段错误填写为240（本应该&lt;200）
玩家低于200时，若该字段值大于标准等级，则默认为200
HgiherStandardLv：用于控制高于标准等级时，等级到多少
类型：int[]
[-1]=使用玩家自身等级
[0]=使用标准等级
[200,10]=填写大于0的值为高于标准等级时，玩家阵容读取配置等级，数组中第二个数值为英雄品质
相关保护：
假设标准等级为200，该字段错误填写为180（本应该＞200）
玩家高于200时，若该字段值小于标准等级，则默认为200
</t>
        </r>
      </text>
    </comment>
    <comment ref="C2" authorId="0" shapeId="0" xr:uid="{A4C30E28-150D-491A-A85E-40755BAB3F4E}">
      <text>
        <r>
          <rPr>
            <b/>
            <sz val="9"/>
            <color indexed="81"/>
            <rFont val="宋体"/>
            <family val="3"/>
            <charset val="134"/>
          </rPr>
          <t>StandardLv：标准等级配置
类型：int[]
填写标准等级,数组中填写[等级，品质]，服务器判定时，只使用品质</t>
        </r>
      </text>
    </comment>
    <comment ref="D2" authorId="0" shapeId="0" xr:uid="{DD65C6EB-760F-4B01-B17C-78609857EEFC}">
      <text>
        <r>
          <rPr>
            <b/>
            <sz val="9"/>
            <color indexed="81"/>
            <rFont val="宋体"/>
            <family val="3"/>
            <charset val="134"/>
          </rPr>
          <t>HgiherStandardLv：用于控制高于标准等级时，等级到多少
类型：int[]
[-1]=使用玩家自身等级
[0]=使用标准等级
[200,10]=填写大于0的值为高于标准等级时，玩家阵容读取配置等级，数组中第二个数值为英雄品质
相关保护：
假设标准等级为200，该字段错误填写为180（本应该＞200）
玩家高于200时，若该字段值小于标准等级，则默认为200</t>
        </r>
      </text>
    </comment>
    <comment ref="I5" authorId="0" shapeId="0" xr:uid="{EDFA6EF2-89D0-49C6-8DB4-38E3F29387F9}">
      <text>
        <r>
          <rPr>
            <sz val="9"/>
            <color indexed="81"/>
            <rFont val="宋体"/>
            <family val="3"/>
            <charset val="134"/>
          </rPr>
          <t>Added by 穆悦, on 2021/4/2, 10:52:05;</t>
        </r>
      </text>
    </comment>
  </commentList>
</comments>
</file>

<file path=xl/comments3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袁梓真</author>
    <author>ZorK</author>
    <author>conan</author>
  </authors>
  <commentList>
    <comment ref="E2" authorId="0" shapeId="0" xr:uid="{CAA0A830-ACC6-4374-BE7D-24AC13146F56}">
      <text>
        <r>
          <rPr>
            <sz val="9"/>
            <rFont val="宋体"/>
            <family val="3"/>
            <charset val="134"/>
          </rPr>
          <t xml:space="preserve">
见备注页</t>
        </r>
      </text>
    </comment>
    <comment ref="F2" authorId="1" shapeId="0" xr:uid="{47F4EE6F-5DB1-4C65-9E04-E13F773FB8B2}">
      <text>
        <r>
          <rPr>
            <sz val="9"/>
            <rFont val="宋体"/>
            <family val="3"/>
            <charset val="134"/>
          </rPr>
          <t>根据效果类型，看备注页</t>
        </r>
      </text>
    </comment>
    <comment ref="G2" authorId="2" shapeId="0" xr:uid="{A2CE675B-74AB-480F-98D1-E117166CB1BB}">
      <text>
        <r>
          <rPr>
            <b/>
            <sz val="9"/>
            <rFont val="宋体"/>
            <family val="3"/>
            <charset val="134"/>
          </rPr>
          <t>conan:</t>
        </r>
        <r>
          <rPr>
            <sz val="9"/>
            <rFont val="宋体"/>
            <family val="3"/>
            <charset val="134"/>
          </rPr>
          <t xml:space="preserve">
根据效果类型，看备注页</t>
        </r>
      </text>
    </comment>
    <comment ref="H2" authorId="1" shapeId="0" xr:uid="{784A0AA2-D9D0-4772-A969-6AE74E52361B}">
      <text>
        <r>
          <rPr>
            <sz val="9"/>
            <rFont val="宋体"/>
            <family val="3"/>
            <charset val="134"/>
          </rPr>
          <t>根据效果类型，看备注页</t>
        </r>
      </text>
    </comment>
    <comment ref="I2" authorId="1" shapeId="0" xr:uid="{9A86A398-48C4-455E-9D39-C251C1D08A49}">
      <text>
        <r>
          <rPr>
            <b/>
            <sz val="9"/>
            <rFont val="宋体"/>
            <family val="3"/>
            <charset val="134"/>
          </rPr>
          <t xml:space="preserve">
</t>
        </r>
        <r>
          <rPr>
            <sz val="9"/>
            <rFont val="宋体"/>
            <family val="3"/>
            <charset val="134"/>
          </rPr>
          <t>仅当效果id为ATTR时有效
FIXED=固定值
LINEAR=根据等级成长计算，公式为：最终值=参数1+（等级-1）*参数2
CUSTOM=根据等级取相应位数值</t>
        </r>
      </text>
    </comment>
    <comment ref="J2" authorId="0" shapeId="0" xr:uid="{661556A4-0908-445D-8324-5692510C91D3}">
      <text>
        <r>
          <rPr>
            <b/>
            <sz val="9"/>
            <rFont val="宋体"/>
            <family val="3"/>
            <charset val="134"/>
          </rPr>
          <t xml:space="preserve">
</t>
        </r>
        <r>
          <rPr>
            <sz val="9"/>
            <rFont val="宋体"/>
            <family val="3"/>
            <charset val="134"/>
          </rPr>
          <t>格式为：[属性1参数,属性2参数….]</t>
        </r>
        <r>
          <rPr>
            <b/>
            <sz val="9"/>
            <rFont val="宋体"/>
            <family val="3"/>
            <charset val="134"/>
          </rPr>
          <t xml:space="preserve">
</t>
        </r>
        <r>
          <rPr>
            <sz val="9"/>
            <rFont val="宋体"/>
            <family val="3"/>
            <charset val="134"/>
          </rPr>
          <t xml:space="preserve">
</t>
        </r>
        <r>
          <rPr>
            <b/>
            <sz val="9"/>
            <rFont val="宋体"/>
            <family val="3"/>
            <charset val="134"/>
          </rPr>
          <t>特别注意！！</t>
        </r>
        <r>
          <rPr>
            <sz val="9"/>
            <rFont val="宋体"/>
            <family val="3"/>
            <charset val="134"/>
          </rPr>
          <t xml:space="preserve">
当成长类型时LINEAR或CUSTOM时，这里为双层数组格式，特别是当只有一种属性时，注意不要少写一层方括号。
例如：
LINEAR:[[基础值,成长值]](LEVEL=0时，值=0，LEVEL&gt;0时，值=基础值+(LEVEL-1)*成长值）
CUSTOM:[[1级值,2级值...],[1级值,2级值...],...]（LEVEL=0时，值=0）</t>
        </r>
      </text>
    </comment>
  </commentList>
</comments>
</file>

<file path=xl/comments3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  <author>Windows 用户</author>
    <author>lenovo</author>
  </authors>
  <commentList>
    <comment ref="B2" authorId="0" shapeId="0" xr:uid="{96C07B76-2DC7-4C2D-A70C-6D4183474AA4}">
      <text>
        <r>
          <rPr>
            <sz val="9"/>
            <rFont val="宋体"/>
            <family val="3"/>
            <charset val="134"/>
          </rPr>
          <t>作者:
多语言唯一标识ID</t>
        </r>
      </text>
    </comment>
    <comment ref="E2" authorId="1" shapeId="0" xr:uid="{D9C7569E-FBB3-4A52-BEB5-77941FEB28C0}">
      <text>
        <r>
          <rPr>
            <sz val="9"/>
            <color indexed="81"/>
            <rFont val="宋体"/>
            <family val="3"/>
            <charset val="134"/>
          </rPr>
          <t xml:space="preserve">所填数字为最长字符数
若写“无限制”，则表明文字可以滚动播放
统一标准
关卡描述：88
关卡名称：10
剧情关卡名称：16
章节名称：6
装备名称：12
道具名称：14
道具描述：64
</t>
        </r>
      </text>
    </comment>
    <comment ref="B7" authorId="2" shapeId="0" xr:uid="{421E00CD-0F2E-4EA3-9D7A-81E3D2F2A4EA}">
      <text>
        <r>
          <rPr>
            <sz val="9"/>
            <color indexed="81"/>
            <rFont val="宋体"/>
            <family val="3"/>
            <charset val="134"/>
          </rPr>
          <t>Added by 唐悦, on 2021/1/21, 11:39:10;</t>
        </r>
      </text>
    </comment>
    <comment ref="B8" authorId="2" shapeId="0" xr:uid="{44661A11-8E79-4942-AA1C-9252844E76F1}">
      <text>
        <r>
          <rPr>
            <sz val="9"/>
            <color indexed="81"/>
            <rFont val="宋体"/>
            <family val="3"/>
            <charset val="134"/>
          </rPr>
          <t>Added by 唐悦, on 2021/1/21, 11:39:10;</t>
        </r>
      </text>
    </comment>
    <comment ref="B9" authorId="2" shapeId="0" xr:uid="{76C864E0-705E-48C5-BDFC-E5502B18621C}">
      <text>
        <r>
          <rPr>
            <sz val="9"/>
            <color indexed="81"/>
            <rFont val="宋体"/>
            <family val="3"/>
            <charset val="134"/>
          </rPr>
          <t>Added by 唐悦, on 2021/1/21, 11:39:10;</t>
        </r>
      </text>
    </comment>
    <comment ref="B10" authorId="2" shapeId="0" xr:uid="{AF05BD57-1865-4FF1-A37A-213FBFEC2CA8}">
      <text>
        <r>
          <rPr>
            <sz val="9"/>
            <color indexed="81"/>
            <rFont val="宋体"/>
            <family val="3"/>
            <charset val="134"/>
          </rPr>
          <t>Added by 唐悦, on 2021/1/21, 11:39:10;</t>
        </r>
      </text>
    </comment>
    <comment ref="B11" authorId="2" shapeId="0" xr:uid="{33DBD3EB-9C4D-44E9-9ADD-C4A6E3D78390}">
      <text>
        <r>
          <rPr>
            <sz val="9"/>
            <color indexed="81"/>
            <rFont val="宋体"/>
            <family val="3"/>
            <charset val="134"/>
          </rPr>
          <t>Added by 唐悦, on 2021/1/21, 11:39:10;</t>
        </r>
      </text>
    </comment>
    <comment ref="B12" authorId="2" shapeId="0" xr:uid="{8F0DA580-B0F3-441E-BD16-5E27863A5DA3}">
      <text>
        <r>
          <rPr>
            <sz val="9"/>
            <color indexed="81"/>
            <rFont val="宋体"/>
            <family val="3"/>
            <charset val="134"/>
          </rPr>
          <t>Added by 唐悦, on 2021/1/21, 11:39:10;</t>
        </r>
      </text>
    </comment>
    <comment ref="B13" authorId="2" shapeId="0" xr:uid="{2D741DB3-AEC7-4CAD-ADCC-15744D83050B}">
      <text>
        <r>
          <rPr>
            <sz val="9"/>
            <color indexed="81"/>
            <rFont val="宋体"/>
            <family val="3"/>
            <charset val="134"/>
          </rPr>
          <t>Added by 唐悦, on 2021/1/21, 11:39:10;</t>
        </r>
      </text>
    </comment>
  </commentList>
</comments>
</file>

<file path=xl/comments3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B2" authorId="0" shapeId="0" xr:uid="{20ECC2D8-A917-4622-B90C-111CE95706C9}">
      <text>
        <r>
          <rPr>
            <sz val="9"/>
            <rFont val="宋体"/>
            <family val="3"/>
            <charset val="134"/>
          </rPr>
          <t>作者:
多语言唯一标识ID</t>
        </r>
      </text>
    </comment>
    <comment ref="E2" authorId="0" shapeId="0" xr:uid="{70AFB7AC-2C59-431E-843B-C58D0E473F34}">
      <text>
        <r>
          <rPr>
            <sz val="9"/>
            <rFont val="宋体"/>
            <family val="3"/>
            <charset val="134"/>
          </rPr>
          <t xml:space="preserve">所填数字为最长字符数
若写“无限制”，则表明文字可以滚动播放
统一标准
关卡描述：88
关卡名称：10
剧情关卡名称：16
章节名称：6
装备名称：12
道具名称：14
道具描述：64
</t>
        </r>
      </text>
    </comment>
  </commentList>
</comments>
</file>

<file path=xl/sharedStrings.xml><?xml version="1.0" encoding="utf-8"?>
<sst xmlns="http://schemas.openxmlformats.org/spreadsheetml/2006/main" count="17138" uniqueCount="5249">
  <si>
    <t>工作模式：</t>
    <phoneticPr fontId="11" type="noConversion"/>
  </si>
  <si>
    <t>工作模式：</t>
    <phoneticPr fontId="11" type="noConversion"/>
  </si>
  <si>
    <t>细节说明：</t>
    <phoneticPr fontId="11" type="noConversion"/>
  </si>
  <si>
    <t>工作目录：</t>
    <phoneticPr fontId="11" type="noConversion"/>
  </si>
  <si>
    <t>6.选择工作模式点击开始运行，期间在左下角状态栏会显示进度，完毕后将有提示。</t>
    <phoneticPr fontId="11" type="noConversion"/>
  </si>
  <si>
    <t>快捷键：</t>
    <phoneticPr fontId="11" type="noConversion"/>
  </si>
  <si>
    <t>Ctrl+Shift+X 对选中的单元格进行活动文档奖励标准化处理</t>
    <phoneticPr fontId="11" type="noConversion"/>
  </si>
  <si>
    <t>每次一键合表之后需要看看上底色的单元格有没有异常</t>
    <phoneticPr fontId="11" type="noConversion"/>
  </si>
  <si>
    <t>注意：</t>
    <phoneticPr fontId="11" type="noConversion"/>
  </si>
  <si>
    <t>7.推荐先选择检测模式执行，查看各个分页填充的底色核对结果，之后再正式合表。</t>
    <phoneticPr fontId="11" type="noConversion"/>
  </si>
  <si>
    <t>控制功能：</t>
    <phoneticPr fontId="11" type="noConversion"/>
  </si>
  <si>
    <t>2.复制要合表的工作簿表头，粘贴到新建的分页，一般表头是6行。</t>
    <phoneticPr fontId="11" type="noConversion"/>
  </si>
  <si>
    <t>4.分页中的每行数据，可以是已存在的，将会进行修改操作，也可以是不存在的，将会进行插入操作。</t>
    <phoneticPr fontId="11" type="noConversion"/>
  </si>
  <si>
    <t>5.通过按钮选择需要合表的目标工作簿所在路径，同时也支持直接手动填写。</t>
    <phoneticPr fontId="11" type="noConversion"/>
  </si>
  <si>
    <t>当本工作簿内的字段和目标工作簿不一致时只合并交集的部分</t>
    <phoneticPr fontId="11" type="noConversion"/>
  </si>
  <si>
    <t>删除数据行或修改数据行主键时一定要不要忘记使用“#Del”</t>
    <phoneticPr fontId="11" type="noConversion"/>
  </si>
  <si>
    <t>尤其是不可存在冗余数据的表一定要用“#Del”清除数据行</t>
    <phoneticPr fontId="11" type="noConversion"/>
  </si>
  <si>
    <t>异常处理：</t>
    <phoneticPr fontId="11" type="noConversion"/>
  </si>
  <si>
    <t>3.目标表内各个分页字段不统一</t>
    <phoneticPr fontId="11" type="noConversion"/>
  </si>
  <si>
    <t>2.目标表存在全空的空白分页</t>
    <phoneticPr fontId="11" type="noConversion"/>
  </si>
  <si>
    <t>4.目标表控制列没有填写“End”</t>
    <phoneticPr fontId="11" type="noConversion"/>
  </si>
  <si>
    <t>检测模式：此功能与精确合表逻辑相同，但是不保存任何修改，只对与本地工作簿不同的单元格进行颜色填充。</t>
    <phoneticPr fontId="11" type="noConversion"/>
  </si>
  <si>
    <t>精确合表：精确到单元格的合表，在合表的同时能精确的显示出具体修改了哪个单元格，本地与目标工作簿修改的单元格颜色填充。</t>
    <phoneticPr fontId="11" type="noConversion"/>
  </si>
  <si>
    <t>2.在控制列写上“$”代表在执行合表时忽略此数据行，程序直接跳过。</t>
    <phoneticPr fontId="11" type="noConversion"/>
  </si>
  <si>
    <t>3.在控制列写上其他文本时，代表新建此条数据行时合并到目标工作簿名称为此文本的分页，只对新建有效。</t>
    <phoneticPr fontId="11" type="noConversion"/>
  </si>
  <si>
    <t>4.控制列留空代表合表时此数据行合表到默认的目标工作簿分页，即第二个单元格的内容为名称的分页，同样只对新建有效。</t>
    <phoneticPr fontId="11" type="noConversion"/>
  </si>
  <si>
    <t>1.本表内所有行控制列无需填写Start和End标志。</t>
    <phoneticPr fontId="11" type="noConversion"/>
  </si>
  <si>
    <t>2.每个分页的名字无所谓，但是每页第一个单元格的内容将作为本页的目标工作簿，无需填写文件xlsx后缀。</t>
    <phoneticPr fontId="11" type="noConversion"/>
  </si>
  <si>
    <t>3.分页名称第一个字符是“$”号的代表本分页不是数据分页，不参与合表，例如本备注分页。</t>
    <phoneticPr fontId="11" type="noConversion"/>
  </si>
  <si>
    <t>4.如果单元格指定的分页在目标工作簿不存在则自动新建此分页，务必保证新分页有2条以上的数据行，否则将出错。</t>
    <phoneticPr fontId="11" type="noConversion"/>
  </si>
  <si>
    <t>5.要删除某行数据，千万不要在本工作簿直接删除，而是在其前面的控制列写“#Del”标志，执行之后程序将在目标工作簿删除这些行，否则仅仅是本地删除。</t>
    <phoneticPr fontId="11" type="noConversion"/>
  </si>
  <si>
    <t>6.由于程序的原理是基于主键“PRIMARY”索引，因此修改主键字段要使用“#Del”功能实现，直接修改会变成新建插入。</t>
    <phoneticPr fontId="11" type="noConversion"/>
  </si>
  <si>
    <t>当出现异常后，先检查目标工作簿是否不符合规范。</t>
    <phoneticPr fontId="11" type="noConversion"/>
  </si>
  <si>
    <t>1.程序找不到主键字段“PRIMARY”</t>
    <phoneticPr fontId="11" type="noConversion"/>
  </si>
  <si>
    <t>5.目标表或本地数据存在#开头的报错单元格</t>
    <phoneticPr fontId="11" type="noConversion"/>
  </si>
  <si>
    <t>1.在控制列写上“#Del”将会对目标表的数据行进行删除操作。</t>
    <phoneticPr fontId="11" type="noConversion"/>
  </si>
  <si>
    <t>对列进行操作：</t>
    <phoneticPr fontId="11" type="noConversion"/>
  </si>
  <si>
    <t>开发人：庄晋升</t>
    <phoneticPr fontId="11" type="noConversion"/>
  </si>
  <si>
    <t>4.增加列时，如果页签很多，会运行一段时间，这时不要关闭等待运行</t>
    <phoneticPr fontId="11" type="noConversion"/>
  </si>
  <si>
    <t>1.点击后，删除备注之外的其他各表从第7行开始的数据</t>
    <phoneticPr fontId="11" type="noConversion"/>
  </si>
  <si>
    <t>2.此过程不可逆，要注意</t>
    <phoneticPr fontId="11" type="noConversion"/>
  </si>
  <si>
    <t>1.在本工作簿新建一个分页名称随意，分页名不要以数字开头</t>
    <phoneticPr fontId="11" type="noConversion"/>
  </si>
  <si>
    <t>1.在对应列第一行添加删除标记“#ColDel”，对表中所有页签的该字段进行删除，后序列顶替前面位置</t>
    <phoneticPr fontId="11" type="noConversion"/>
  </si>
  <si>
    <t>2.在对应列第一行添加删除标记“#ColAdd”，对表中所有页签增加该字段列，添加位置为列末尾，并覆盖添加批注</t>
    <phoneticPr fontId="11" type="noConversion"/>
  </si>
  <si>
    <t>3.在对应列第一行添加修改标记“#ColModify”，对表中所有页签的该字段进行字段类型修改，并覆盖添加批注</t>
    <phoneticPr fontId="11" type="noConversion"/>
  </si>
  <si>
    <t>7.Excel在数学运算和逻辑判断中可能不对空值与0进行区分，但程序读取数值表时有可能是区分的，配置时请进行注意。（狼骑士）</t>
    <phoneticPr fontId="11" type="noConversion"/>
  </si>
  <si>
    <t>用户标识：</t>
    <phoneticPr fontId="11" type="noConversion"/>
  </si>
  <si>
    <t>清理批注密码为314.</t>
    <phoneticPr fontId="11" type="noConversion"/>
  </si>
  <si>
    <t>log功能：</t>
    <phoneticPr fontId="11" type="noConversion"/>
  </si>
  <si>
    <t>开发人：狼骑士</t>
    <phoneticPr fontId="11" type="noConversion"/>
  </si>
  <si>
    <t>1、当修改某单元格值、增加新主键、删除主键时，开始运行会在对应的xlsx的批注中标记修改人。</t>
    <phoneticPr fontId="11" type="noConversion"/>
  </si>
  <si>
    <t>2、修改值时，程序将读取批注，并提示是否盖表，弹窗有3个选项。</t>
    <phoneticPr fontId="11" type="noConversion"/>
  </si>
  <si>
    <t>5.如果要修改的行包括其他人的数据单元格不能修改，需要保持原值，则填写: #Pass (跳过这个单元格不做任何修改)</t>
    <phoneticPr fontId="11" type="noConversion"/>
  </si>
  <si>
    <t>6.如果要将数据行插入或移动到指定主键行的下面，在控制列写“##我是那个指定的主键”(指定的主键必须存在)</t>
    <phoneticPr fontId="11" type="noConversion"/>
  </si>
  <si>
    <t>7.如果要对连续的N行使用如上指定位置功能，则在首行写“#指定主键名”，在尾行写“#End”(必须成对出现)</t>
    <phoneticPr fontId="11" type="noConversion"/>
  </si>
  <si>
    <t>清空旧有内容：</t>
    <phoneticPr fontId="11" type="noConversion"/>
  </si>
  <si>
    <t>5.表格中尽量减少无关数据列</t>
    <phoneticPr fontId="11" type="noConversion"/>
  </si>
  <si>
    <t>3.分页第一个单元格代表要和的目标表。第二个单元格代表当新建一行数据时若控制列为空，放到这个指定分页，若控制列和此值都为空，无法新建行。只修改值不需要填写。</t>
    <phoneticPr fontId="11" type="noConversion"/>
  </si>
  <si>
    <t>分支管理员专用：</t>
    <phoneticPr fontId="11" type="noConversion"/>
  </si>
  <si>
    <t>4、版本开发完成后，分支管理员需使用清理批注功能去除当前版本的批注，然后再合入master.</t>
    <phoneticPr fontId="11" type="noConversion"/>
  </si>
  <si>
    <t>合表类型：</t>
    <phoneticPr fontId="11" type="noConversion"/>
  </si>
  <si>
    <t>开发人：狼骑士</t>
    <phoneticPr fontId="11" type="noConversion"/>
  </si>
  <si>
    <t>普通合表：对于每一个版本内已经修改过的单元格，若存在盖表则进行提示并要求用户选择是否覆盖。</t>
    <phoneticPr fontId="11" type="noConversion"/>
  </si>
  <si>
    <t>强制合表：主要用于在少数情况下，需要大量盖表，该模式不会进行提示，合表后会统计盖表的单元格数量。</t>
    <phoneticPr fontId="11" type="noConversion"/>
  </si>
  <si>
    <t>用法说明：</t>
    <phoneticPr fontId="11" type="noConversion"/>
  </si>
  <si>
    <t>3、若修改前或修改后的值太长，会在弹窗中以省略号进行缩略。若选择盖表，程序将同步更新批注。</t>
    <phoneticPr fontId="11" type="noConversion"/>
  </si>
  <si>
    <t>该函数可以保持变量格式。考虑未来编写成vba按钮。</t>
    <phoneticPr fontId="11" type="noConversion"/>
  </si>
  <si>
    <t>翻译函数：</t>
    <phoneticPr fontId="11" type="noConversion"/>
  </si>
  <si>
    <t>翻译试试看${Num}</t>
    <phoneticPr fontId="11" type="noConversion"/>
  </si>
  <si>
    <t>是：确定盖表；否：跳过该单元格继续合表；取消：回滚冲突表的操作并结束合表流程（未冲突的表会进行保存）。</t>
    <phoneticPr fontId="11" type="noConversion"/>
  </si>
  <si>
    <t>控制列</t>
  </si>
  <si>
    <t>备注</t>
  </si>
  <si>
    <t>CS</t>
  </si>
  <si>
    <t>$</t>
  </si>
  <si>
    <t>C</t>
  </si>
  <si>
    <t>string</t>
  </si>
  <si>
    <t>int</t>
  </si>
  <si>
    <t>PRIMARY</t>
  </si>
  <si>
    <t>FOREIGN:Translate.Id</t>
  </si>
  <si>
    <t>ExtraReward</t>
  </si>
  <si>
    <t>dict</t>
  </si>
  <si>
    <t>Id</t>
  </si>
  <si>
    <t>Type</t>
  </si>
  <si>
    <t>Desc</t>
  </si>
  <si>
    <t>$Desc</t>
  </si>
  <si>
    <t>Reset</t>
  </si>
  <si>
    <t>Icon</t>
  </si>
  <si>
    <t>FOREIGN:Reward.Id</t>
  </si>
  <si>
    <t>Order</t>
    <phoneticPr fontId="27" type="noConversion"/>
  </si>
  <si>
    <t>isRemind</t>
    <phoneticPr fontId="27" type="noConversion"/>
  </si>
  <si>
    <t>Times</t>
    <phoneticPr fontId="27" type="noConversion"/>
  </si>
  <si>
    <t>Target</t>
    <phoneticPr fontId="27" type="noConversion"/>
  </si>
  <si>
    <t>Cost</t>
    <phoneticPr fontId="27" type="noConversion"/>
  </si>
  <si>
    <t>int</t>
    <phoneticPr fontId="27" type="noConversion"/>
  </si>
  <si>
    <t>array</t>
    <phoneticPr fontId="27" type="noConversion"/>
  </si>
  <si>
    <t>C</t>
    <phoneticPr fontId="11" type="noConversion"/>
  </si>
  <si>
    <t>C</t>
    <phoneticPr fontId="27" type="noConversion"/>
  </si>
  <si>
    <t>排序</t>
    <phoneticPr fontId="11" type="noConversion"/>
  </si>
  <si>
    <t>是否默认提醒</t>
    <phoneticPr fontId="27" type="noConversion"/>
  </si>
  <si>
    <t>兑换次数</t>
  </si>
  <si>
    <t>兑换目标奖励</t>
    <phoneticPr fontId="27" type="noConversion"/>
  </si>
  <si>
    <t>消耗道具单价</t>
    <phoneticPr fontId="27" type="noConversion"/>
  </si>
  <si>
    <t>编号</t>
  </si>
  <si>
    <t>ActivityExchange</t>
    <phoneticPr fontId="27" type="noConversion"/>
  </si>
  <si>
    <t>[{"type":2,"code":"IB_Equip_SSR","amount":1}]</t>
  </si>
  <si>
    <t>Fixed</t>
  </si>
  <si>
    <t>[{"type":2,"code":"IM_DiamondDrawEX","amount":1}]</t>
  </si>
  <si>
    <t>Arrays</t>
  </si>
  <si>
    <t>[{"type":2,"code":"IR_Crystal","amount":10000}]</t>
  </si>
  <si>
    <t>[{"type":2,"code":"IM_ExpUp3","amount":2}]</t>
  </si>
  <si>
    <t>[{"type":2,"code":"IR_Gold","amount":10000}]</t>
  </si>
  <si>
    <t>[{"type":2,"code":"IR_HeroStive","amount":50}]</t>
  </si>
  <si>
    <t>[{"type":2,"code":"IHF_HeroStone_SSR","amount":1}]</t>
  </si>
  <si>
    <t>JSON</t>
  </si>
  <si>
    <t>CHECK:[Fixed,Level,VIP,Once,Times,TimesResetByMaxValue,Seeds,Arrays,Once2,UnlockOnce2,RepeatOnce2,PlayerID,ServerDays,GroupArrays,ServerArrays,ServerSeeds,ServerTimes,ServerTimesResetByMaxValue,ServerGroupArrays,PlayerDays,ClubSeeds]</t>
    <phoneticPr fontId="11" type="noConversion"/>
  </si>
  <si>
    <t>$Note</t>
  </si>
  <si>
    <t>Content</t>
  </si>
  <si>
    <t>ResetSystem</t>
  </si>
  <si>
    <t>RandomType</t>
  </si>
  <si>
    <t>array</t>
  </si>
  <si>
    <t>固定内容</t>
  </si>
  <si>
    <t>重置机制</t>
  </si>
  <si>
    <t>随机方式</t>
  </si>
  <si>
    <t>标识</t>
  </si>
  <si>
    <t>Reward_1</t>
    <phoneticPr fontId="11" type="noConversion"/>
  </si>
  <si>
    <t>第七天</t>
  </si>
  <si>
    <t>累计登录7天</t>
  </si>
  <si>
    <t>[{"conditionType":"Condi_TodayLogin","factor1":[7]}]</t>
  </si>
  <si>
    <t>第六天</t>
  </si>
  <si>
    <t>累计登录6天</t>
  </si>
  <si>
    <t>[{"conditionType":"Condi_TodayLogin","factor1":[6]}]</t>
  </si>
  <si>
    <t>第五天</t>
  </si>
  <si>
    <t>累计登录5天</t>
  </si>
  <si>
    <t>[{"conditionType":"Condi_TodayLogin","factor1":[5]}]</t>
  </si>
  <si>
    <t>第四天</t>
  </si>
  <si>
    <t>累计登录4天</t>
  </si>
  <si>
    <t>[{"conditionType":"Condi_TodayLogin","factor1":[4]}]</t>
  </si>
  <si>
    <t>第三天</t>
  </si>
  <si>
    <t>累计登录3天</t>
  </si>
  <si>
    <t>[{"conditionType":"Condi_TodayLogin","factor1":[3]}]</t>
  </si>
  <si>
    <t>第二天</t>
  </si>
  <si>
    <t>累计登录2天</t>
  </si>
  <si>
    <t>[{"conditionType":"Condi_TodayLogin","factor1":[2]}]</t>
  </si>
  <si>
    <t>第一天</t>
  </si>
  <si>
    <t>累计登录1天</t>
  </si>
  <si>
    <t>成就15</t>
  </si>
  <si>
    <t>累计登录8天</t>
  </si>
  <si>
    <t>成就14</t>
  </si>
  <si>
    <t>成就13</t>
  </si>
  <si>
    <t>成就12</t>
  </si>
  <si>
    <t>累计获得12000个代币</t>
  </si>
  <si>
    <t>成就10</t>
  </si>
  <si>
    <t>累计获得10000个代币</t>
  </si>
  <si>
    <t>成就9</t>
  </si>
  <si>
    <t>累计获得8000个代币</t>
  </si>
  <si>
    <t>成就8</t>
  </si>
  <si>
    <t>累计获得5000个代币</t>
  </si>
  <si>
    <t>成就7</t>
  </si>
  <si>
    <t>累计获得3000个代币</t>
  </si>
  <si>
    <t>成就6</t>
  </si>
  <si>
    <t>累计通关400次活动关卡</t>
  </si>
  <si>
    <t>成就5</t>
  </si>
  <si>
    <t>累计通关300次活动关卡</t>
  </si>
  <si>
    <t>成就4</t>
  </si>
  <si>
    <t>累计通关200次活动关卡</t>
  </si>
  <si>
    <t>成就3</t>
  </si>
  <si>
    <t>累计通关100次活动关卡</t>
  </si>
  <si>
    <t>成就2</t>
  </si>
  <si>
    <t>累计通关50次活动关卡</t>
  </si>
  <si>
    <t>成就1</t>
    <phoneticPr fontId="29" type="noConversion"/>
  </si>
  <si>
    <t>完成上述所有任务</t>
  </si>
  <si>
    <t>雪花飞舞</t>
    <phoneticPr fontId="11" type="noConversion"/>
  </si>
  <si>
    <t>完成所有任务</t>
  </si>
  <si>
    <t>对伙伴赠送1次礼物</t>
  </si>
  <si>
    <t>神冰利器</t>
    <phoneticPr fontId="11" type="noConversion"/>
  </si>
  <si>
    <t>对伙伴赠送1次礼物</t>
    <phoneticPr fontId="11" type="noConversion"/>
  </si>
  <si>
    <t>购买1次体力</t>
    <phoneticPr fontId="11" type="noConversion"/>
  </si>
  <si>
    <t>妙雪迷踪</t>
    <phoneticPr fontId="11" type="noConversion"/>
  </si>
  <si>
    <t>购买1次体力</t>
  </si>
  <si>
    <t>[{"conditionType":"Condi_BuyStamina","factor1":[1]}]</t>
  </si>
  <si>
    <t>参与1次幻镜回廊</t>
  </si>
  <si>
    <t>雪战无双</t>
    <phoneticPr fontId="11" type="noConversion"/>
  </si>
  <si>
    <t>参与1次幻境回廊</t>
  </si>
  <si>
    <t>[{"conditionType":"Condi_TowerEnter","factor1":[1]}]</t>
    <phoneticPr fontId="11" type="noConversion"/>
  </si>
  <si>
    <t>通关10次活动关卡</t>
  </si>
  <si>
    <t>冰雪聪明</t>
    <phoneticPr fontId="11" type="noConversion"/>
  </si>
  <si>
    <t>登录游戏</t>
    <phoneticPr fontId="11" type="noConversion"/>
  </si>
  <si>
    <t>冰临城下</t>
    <phoneticPr fontId="11" type="noConversion"/>
  </si>
  <si>
    <t>登陆游戏1次</t>
  </si>
  <si>
    <t>[{"conditionType":"Condi_Login","factor1":[1]}]</t>
    <phoneticPr fontId="11" type="noConversion"/>
  </si>
  <si>
    <t>Destination</t>
  </si>
  <si>
    <t>TaskIcon</t>
  </si>
  <si>
    <t>OrderNum</t>
  </si>
  <si>
    <t>$Name</t>
  </si>
  <si>
    <t>Name</t>
  </si>
  <si>
    <t>Reward</t>
  </si>
  <si>
    <t>$Condition</t>
  </si>
  <si>
    <t>Condition</t>
  </si>
  <si>
    <t>额外奖励</t>
  </si>
  <si>
    <t>跳转链接</t>
  </si>
  <si>
    <t>任务图标</t>
  </si>
  <si>
    <t>排序号</t>
  </si>
  <si>
    <t>描述内容</t>
  </si>
  <si>
    <t>任务名称</t>
  </si>
  <si>
    <t>奖励</t>
  </si>
  <si>
    <t>$备注</t>
  </si>
  <si>
    <t>条件</t>
  </si>
  <si>
    <t>ActivityTask</t>
    <phoneticPr fontId="11" type="noConversion"/>
  </si>
  <si>
    <t>End</t>
    <phoneticPr fontId="31" type="noConversion"/>
  </si>
  <si>
    <t>INCREASE</t>
  </si>
  <si>
    <t>FOREIGN:Translate.Id</t>
    <phoneticPr fontId="31" type="noConversion"/>
  </si>
  <si>
    <t>PRIMARY</t>
    <phoneticPr fontId="31" type="noConversion"/>
  </si>
  <si>
    <t>$AchieveType2</t>
    <phoneticPr fontId="31" type="noConversion"/>
  </si>
  <si>
    <t>AchieveType2</t>
    <phoneticPr fontId="31" type="noConversion"/>
  </si>
  <si>
    <t>ConditionType2</t>
    <phoneticPr fontId="31" type="noConversion"/>
  </si>
  <si>
    <t>$AchieveType1</t>
    <phoneticPr fontId="31" type="noConversion"/>
  </si>
  <si>
    <t>AchieveType1</t>
    <phoneticPr fontId="31" type="noConversion"/>
  </si>
  <si>
    <t>ConditionType1</t>
    <phoneticPr fontId="31" type="noConversion"/>
  </si>
  <si>
    <t>$EffectDesc</t>
    <phoneticPr fontId="31" type="noConversion"/>
  </si>
  <si>
    <t>EffectDesc</t>
    <phoneticPr fontId="31" type="noConversion"/>
  </si>
  <si>
    <t>Id</t>
    <phoneticPr fontId="29" type="noConversion"/>
  </si>
  <si>
    <t>string</t>
    <phoneticPr fontId="31" type="noConversion"/>
  </si>
  <si>
    <t>string</t>
    <phoneticPr fontId="29" type="noConversion"/>
  </si>
  <si>
    <t>CS</t>
    <phoneticPr fontId="29" type="noConversion"/>
  </si>
  <si>
    <t>$备注2</t>
    <phoneticPr fontId="31" type="noConversion"/>
  </si>
  <si>
    <t>达成类型2</t>
    <phoneticPr fontId="31" type="noConversion"/>
  </si>
  <si>
    <t>条件类型2</t>
    <phoneticPr fontId="31" type="noConversion"/>
  </si>
  <si>
    <t>$备注1</t>
    <phoneticPr fontId="31" type="noConversion"/>
  </si>
  <si>
    <t>达成类型1</t>
    <phoneticPr fontId="31" type="noConversion"/>
  </si>
  <si>
    <t>条件类型1</t>
    <phoneticPr fontId="31" type="noConversion"/>
  </si>
  <si>
    <t>条件描述</t>
    <phoneticPr fontId="31" type="noConversion"/>
  </si>
  <si>
    <t>标识</t>
    <phoneticPr fontId="29" type="noConversion"/>
  </si>
  <si>
    <t>控制列</t>
    <phoneticPr fontId="31" type="noConversion"/>
  </si>
  <si>
    <t>关卡、竞技场、拳皇争霸、抽卡、训练本</t>
  </si>
  <si>
    <t>ConditionType</t>
    <phoneticPr fontId="29" type="noConversion"/>
  </si>
  <si>
    <t>[]</t>
  </si>
  <si>
    <t>Quality</t>
  </si>
  <si>
    <t>int</t>
    <phoneticPr fontId="11" type="noConversion"/>
  </si>
  <si>
    <t>string[]</t>
  </si>
  <si>
    <t>品质</t>
  </si>
  <si>
    <t>类型</t>
  </si>
  <si>
    <t>名称</t>
  </si>
  <si>
    <t>{"resetMode":"CD","addValue":1,"initial":200,"cd":540,"limit":400,"storage":5000}</t>
  </si>
  <si>
    <t>测试</t>
  </si>
  <si>
    <t>图片</t>
  </si>
  <si>
    <t>[{"conditionType":"Condi_TodayLogin","factor1":[1]}]</t>
    <phoneticPr fontId="11" type="noConversion"/>
  </si>
  <si>
    <t>{"resetMode":"WEEK","resetDate":[1,2,3,4,5,6,7],"resetTime":["05:00:00"],"setValue":0}</t>
  </si>
  <si>
    <t>Times</t>
  </si>
  <si>
    <t>[{"conditionType":"Condi_HeroGift","factor1":[1]}]</t>
    <phoneticPr fontId="11" type="noConversion"/>
  </si>
  <si>
    <t>int[]</t>
  </si>
  <si>
    <t/>
  </si>
  <si>
    <t>FALSE</t>
  </si>
  <si>
    <t>[1]</t>
  </si>
  <si>
    <t>BOSS</t>
  </si>
  <si>
    <t>[EARTH]</t>
  </si>
  <si>
    <t>[Master]</t>
  </si>
  <si>
    <t>[Hero_PBattle_CZheng]</t>
  </si>
  <si>
    <t>Hero_Normal_CZheng</t>
  </si>
  <si>
    <t>{"a1":[10,0],"a2":0,"a3":0,"a4":50}</t>
  </si>
  <si>
    <t>FOREIGN:Skill.Id</t>
  </si>
  <si>
    <t>CHECK:[NORMAL,RARE,BOSS]</t>
  </si>
  <si>
    <t>CHECK:[WATER,FIRE,GRASS,EARTH,ELEC,WIND,DARK,LIGHT]</t>
  </si>
  <si>
    <t>FOREIGN:StageEnemyAI.Id</t>
  </si>
  <si>
    <t>CHECK:[Defense,Attack,Support,Summon,Aoe,Curse,Cure]</t>
  </si>
  <si>
    <t>CHECK:[11,12,13,14,15]</t>
  </si>
  <si>
    <t>CHECK:[0,1]</t>
  </si>
  <si>
    <t>FOREIGN:RoleModel.Id</t>
  </si>
  <si>
    <t>IsProcessingBoss</t>
  </si>
  <si>
    <t>TeamSkillCondition</t>
  </si>
  <si>
    <t>TeamSkill</t>
  </si>
  <si>
    <t>HeroShow</t>
  </si>
  <si>
    <t>InitHp</t>
  </si>
  <si>
    <t>CounterRate</t>
  </si>
  <si>
    <t>DoubleRate</t>
  </si>
  <si>
    <t>UndeadRate</t>
  </si>
  <si>
    <t>BeCuredRate</t>
  </si>
  <si>
    <t>EffectStrg</t>
  </si>
  <si>
    <t>UneffectRate</t>
  </si>
  <si>
    <t>EffectRate</t>
  </si>
  <si>
    <t>Reflection</t>
  </si>
  <si>
    <t>Absorption</t>
  </si>
  <si>
    <t>UnhurtRate</t>
  </si>
  <si>
    <t>HurtRate</t>
  </si>
  <si>
    <t>BlockStrg</t>
  </si>
  <si>
    <t>UnblockRate</t>
  </si>
  <si>
    <t>BlockRate</t>
  </si>
  <si>
    <t>CritStrg</t>
  </si>
  <si>
    <t>UncritRate</t>
  </si>
  <si>
    <t>CritRate</t>
  </si>
  <si>
    <t>AOEDerate</t>
  </si>
  <si>
    <t>AtkWeaken</t>
  </si>
  <si>
    <t>DefWeaken</t>
  </si>
  <si>
    <t>DefRate</t>
  </si>
  <si>
    <t>AtkRate</t>
  </si>
  <si>
    <t>Hp</t>
  </si>
  <si>
    <t>Defence</t>
  </si>
  <si>
    <t>Attack</t>
  </si>
  <si>
    <t>Loot</t>
  </si>
  <si>
    <t>BubbleRound</t>
  </si>
  <si>
    <t>BubbleRate</t>
  </si>
  <si>
    <t>Bubble</t>
  </si>
  <si>
    <t>SkillRate</t>
  </si>
  <si>
    <t>Transform</t>
  </si>
  <si>
    <t>PassiveSkill</t>
  </si>
  <si>
    <t>DeathSkill</t>
  </si>
  <si>
    <t>CounterSkill</t>
  </si>
  <si>
    <t>DoubleSkill</t>
  </si>
  <si>
    <t>MasterSkill3</t>
  </si>
  <si>
    <t>MasterSkill2</t>
  </si>
  <si>
    <t>MasterSkill1</t>
  </si>
  <si>
    <t>ProudSkill</t>
  </si>
  <si>
    <t>NormalSkill</t>
  </si>
  <si>
    <t>Speed</t>
  </si>
  <si>
    <t>EnemyType</t>
  </si>
  <si>
    <t>Property</t>
  </si>
  <si>
    <t>FieldBubble</t>
  </si>
  <si>
    <t>SelectBubble</t>
  </si>
  <si>
    <t>Combat</t>
  </si>
  <si>
    <t>HeroIntro</t>
  </si>
  <si>
    <t>RageBase</t>
  </si>
  <si>
    <t>RageRules</t>
  </si>
  <si>
    <t>InheritFlags</t>
  </si>
  <si>
    <t>Flags</t>
  </si>
  <si>
    <t>EnemyAI</t>
  </si>
  <si>
    <t>Level</t>
  </si>
  <si>
    <t>Star</t>
  </si>
  <si>
    <t>Rarity</t>
  </si>
  <si>
    <t>Sex</t>
  </si>
  <si>
    <t>RoleModel</t>
  </si>
  <si>
    <t>bool</t>
  </si>
  <si>
    <t>double</t>
  </si>
  <si>
    <t>是否为过程Boss</t>
  </si>
  <si>
    <t>团队技条件</t>
  </si>
  <si>
    <t>团队技</t>
  </si>
  <si>
    <t>英魂展示图</t>
  </si>
  <si>
    <t>初始血量</t>
  </si>
  <si>
    <t>反击率</t>
  </si>
  <si>
    <t>连击率</t>
  </si>
  <si>
    <t>免死率</t>
  </si>
  <si>
    <t>被治疗率</t>
  </si>
  <si>
    <t>效果强度</t>
  </si>
  <si>
    <t>效果抵抗率</t>
  </si>
  <si>
    <t>效果命中率</t>
  </si>
  <si>
    <t>反弹率</t>
  </si>
  <si>
    <t>吸血率</t>
  </si>
  <si>
    <t>免伤率</t>
  </si>
  <si>
    <t>伤害率</t>
  </si>
  <si>
    <t>格挡强度</t>
  </si>
  <si>
    <t>破击率</t>
  </si>
  <si>
    <t>格挡率</t>
  </si>
  <si>
    <t>暴击强度</t>
  </si>
  <si>
    <t>抗暴率</t>
  </si>
  <si>
    <t>暴击率</t>
  </si>
  <si>
    <t>AOE减免率</t>
  </si>
  <si>
    <t>攻击削弱</t>
  </si>
  <si>
    <t>防御穿透</t>
  </si>
  <si>
    <t>防御率</t>
  </si>
  <si>
    <t>攻击率</t>
  </si>
  <si>
    <t>生命</t>
  </si>
  <si>
    <t>防御</t>
  </si>
  <si>
    <t>攻击</t>
  </si>
  <si>
    <t>掉落</t>
  </si>
  <si>
    <t>泡泡指定回合</t>
  </si>
  <si>
    <t>回合开始前泡泡概率</t>
  </si>
  <si>
    <t>回合开始前泡泡</t>
  </si>
  <si>
    <t>技能攻击概率</t>
  </si>
  <si>
    <t>死亡变形</t>
  </si>
  <si>
    <t>战斗被动技能</t>
  </si>
  <si>
    <t>亡语技</t>
  </si>
  <si>
    <t>反击技</t>
  </si>
  <si>
    <t>连击技</t>
  </si>
  <si>
    <t>技能3</t>
  </si>
  <si>
    <t>技能2</t>
  </si>
  <si>
    <t>技能1</t>
  </si>
  <si>
    <t>得意技</t>
  </si>
  <si>
    <t>普通攻击</t>
  </si>
  <si>
    <t>先手值</t>
  </si>
  <si>
    <t>怪物类型</t>
  </si>
  <si>
    <t>属性</t>
  </si>
  <si>
    <t>训练本上阵说的气泡</t>
  </si>
  <si>
    <t>训练本选择栏气泡</t>
  </si>
  <si>
    <t>战斗力</t>
  </si>
  <si>
    <t>关卡主角展示</t>
  </si>
  <si>
    <t>初始怒气</t>
  </si>
  <si>
    <t>怒气回复方法</t>
  </si>
  <si>
    <t>继承标记</t>
  </si>
  <si>
    <t>标记</t>
  </si>
  <si>
    <t>英雄AI</t>
  </si>
  <si>
    <t>等级</t>
  </si>
  <si>
    <t>星级</t>
  </si>
  <si>
    <t>资质</t>
  </si>
  <si>
    <t>性别</t>
  </si>
  <si>
    <t>$名称</t>
  </si>
  <si>
    <t>模型</t>
  </si>
  <si>
    <t>活动关卡_普通</t>
  </si>
  <si>
    <t>EnemyMaster</t>
  </si>
  <si>
    <t>NORMAL</t>
  </si>
  <si>
    <t>Support</t>
  </si>
  <si>
    <t>活动关卡-精英</t>
  </si>
  <si>
    <t>{"a1":[10,750],"a2":320,"a3":150,"a4":0}</t>
  </si>
  <si>
    <t>Defense</t>
  </si>
  <si>
    <t>Aoe</t>
  </si>
  <si>
    <t>Hero_Unique_CZheng</t>
  </si>
  <si>
    <t>Hero_Proud_CZheng</t>
  </si>
  <si>
    <t>神澄</t>
  </si>
  <si>
    <t>Hero_Unique_WTXXuan</t>
  </si>
  <si>
    <t>Hero_Proud_WTXXuan</t>
  </si>
  <si>
    <t>Hero_Normal_WTXXuan</t>
  </si>
  <si>
    <t>米仓千代</t>
  </si>
  <si>
    <t>Model_WTXXuan</t>
  </si>
  <si>
    <t>TRUE</t>
  </si>
  <si>
    <t>[Hero_PBattle_BBLMa]</t>
  </si>
  <si>
    <t>Hero_Unique_BBLMa</t>
  </si>
  <si>
    <t>Hero_Proud_BBLMa</t>
  </si>
  <si>
    <t>Hero_Normal_BBLMa</t>
  </si>
  <si>
    <t>东文真希</t>
  </si>
  <si>
    <t>[Hero_PBattle_WEDe]</t>
  </si>
  <si>
    <t>Hero_Unique_WEDe</t>
  </si>
  <si>
    <t>Hero_Proud_WEDe</t>
  </si>
  <si>
    <t>Hero_Normal_WEDe</t>
  </si>
  <si>
    <t>卡米尔</t>
  </si>
  <si>
    <t>Cure</t>
  </si>
  <si>
    <t>[Hero_PBattle_WTXXuan]</t>
  </si>
  <si>
    <t>FOREIGN:HeroBase.Id</t>
  </si>
  <si>
    <t>FOREIGN:BlockAI.Id</t>
  </si>
  <si>
    <t>FOREIGN:HeroStarRate.Id</t>
  </si>
  <si>
    <t>FOREIGN:HeroQualityRate.Id</t>
  </si>
  <si>
    <t>EnterCD</t>
  </si>
  <si>
    <t>Cost</t>
  </si>
  <si>
    <t>NoRevive</t>
  </si>
  <si>
    <t>UniqueSkill</t>
  </si>
  <si>
    <t>BlockAI</t>
  </si>
  <si>
    <t>Cs</t>
  </si>
  <si>
    <t>关卡英魂展示</t>
  </si>
  <si>
    <t>登场冷却</t>
  </si>
  <si>
    <t>主角怒气</t>
  </si>
  <si>
    <t>费用</t>
  </si>
  <si>
    <t>不可被复活</t>
  </si>
  <si>
    <t>$必杀技说明</t>
  </si>
  <si>
    <t>必杀技</t>
  </si>
  <si>
    <t>$得意技说明</t>
  </si>
  <si>
    <t>$普攻说明</t>
  </si>
  <si>
    <t>AI</t>
  </si>
  <si>
    <t>$职业</t>
  </si>
  <si>
    <t>[]</t>
    <phoneticPr fontId="11" type="noConversion"/>
  </si>
  <si>
    <t>Activity_Wait1_5</t>
    <phoneticPr fontId="11" type="noConversion"/>
  </si>
  <si>
    <t>[[9]]</t>
  </si>
  <si>
    <t>[[7]]</t>
  </si>
  <si>
    <t>[[5]]</t>
  </si>
  <si>
    <t>[[2]]</t>
  </si>
  <si>
    <t>[[6]]</t>
  </si>
  <si>
    <t>[[4]]</t>
  </si>
  <si>
    <t>[[3]]</t>
  </si>
  <si>
    <t>[[1]]</t>
  </si>
  <si>
    <t>Time</t>
  </si>
  <si>
    <t>EnemyCount</t>
  </si>
  <si>
    <t>FriendCount</t>
  </si>
  <si>
    <t>EnemyAVRHP</t>
  </si>
  <si>
    <t>FriendAVRHP</t>
  </si>
  <si>
    <t>EnemyMinHP</t>
  </si>
  <si>
    <t>FriendMinHP</t>
  </si>
  <si>
    <t>EnemyMasterHP</t>
  </si>
  <si>
    <t>FriendMasterHP</t>
  </si>
  <si>
    <t>ForcedWeight</t>
  </si>
  <si>
    <t>ForcedPosition</t>
  </si>
  <si>
    <t>$Tip</t>
  </si>
  <si>
    <t>战斗时间</t>
  </si>
  <si>
    <t>敌方英魂数量</t>
  </si>
  <si>
    <t>我方英魂数量</t>
  </si>
  <si>
    <t>敌方场均血量</t>
  </si>
  <si>
    <t>我方场均血量</t>
  </si>
  <si>
    <t>敌方最低血量</t>
  </si>
  <si>
    <t>我方最低血量</t>
  </si>
  <si>
    <t>敌方英雄血量</t>
  </si>
  <si>
    <t>我方英雄血量</t>
  </si>
  <si>
    <t>强制权重</t>
  </si>
  <si>
    <t>强制站位</t>
  </si>
  <si>
    <t>$AI说明</t>
  </si>
  <si>
    <t>AI标识</t>
  </si>
  <si>
    <t>活动关卡-普通</t>
  </si>
  <si>
    <t>CardCollection</t>
  </si>
  <si>
    <t>CardLibrary</t>
  </si>
  <si>
    <t>DrawCard</t>
  </si>
  <si>
    <t>FirstFormation</t>
  </si>
  <si>
    <t>卡牌集合</t>
  </si>
  <si>
    <t>卡库</t>
  </si>
  <si>
    <t>初始阵型</t>
  </si>
  <si>
    <t>EnemyCard</t>
    <phoneticPr fontId="11" type="noConversion"/>
  </si>
  <si>
    <t>pic_guanqia2_01_tx</t>
  </si>
  <si>
    <t>[LEVEL,STAR,SKILL]</t>
  </si>
  <si>
    <t>[{"type":"TimeOut","winner":"SideB"}]</t>
  </si>
  <si>
    <t>ELITE</t>
  </si>
  <si>
    <t>精英关卡</t>
  </si>
  <si>
    <t>pic_guanqia2_02_tx</t>
  </si>
  <si>
    <t>FOREIGN:ConfigLevelLimit.Id</t>
    <phoneticPr fontId="11" type="noConversion"/>
  </si>
  <si>
    <t>FOREIGN:EnemyCard.Id</t>
  </si>
  <si>
    <t>FOREIGN:BlockChallenge.Id</t>
  </si>
  <si>
    <t>FOREIGN:ActivityStoryPoint.Id</t>
  </si>
  <si>
    <t>FOREIGN:AI.Id</t>
  </si>
  <si>
    <t>FOREIGN:BackGroundPicture.Id</t>
  </si>
  <si>
    <t>CHECK:[LEVEL,STAR,SKILL]</t>
  </si>
  <si>
    <t>FOREIGN:Item.Id</t>
  </si>
  <si>
    <t>FOREIGN:EnemyMaster.Id</t>
  </si>
  <si>
    <t>CHECK:[NORMAL,BOSS,HIDE]</t>
  </si>
  <si>
    <t>FOREIGN:ActivityBlockMap.Id</t>
    <phoneticPr fontId="29" type="noConversion"/>
  </si>
  <si>
    <t>ConfigLevelLimitID</t>
    <phoneticPr fontId="11" type="noConversion"/>
  </si>
  <si>
    <t>Location</t>
  </si>
  <si>
    <t>HiddenStory</t>
    <phoneticPr fontId="11" type="noConversion"/>
  </si>
  <si>
    <t>Combat_Adjust_Rate</t>
    <phoneticPr fontId="11" type="noConversion"/>
  </si>
  <si>
    <t>IsSweep</t>
    <phoneticPr fontId="11" type="noConversion"/>
  </si>
  <si>
    <t>PointTime</t>
    <phoneticPr fontId="29" type="noConversion"/>
  </si>
  <si>
    <t>HeroItemExtra</t>
    <phoneticPr fontId="29" type="noConversion"/>
  </si>
  <si>
    <t>HeroAttrExtraLua</t>
    <phoneticPr fontId="11" type="noConversion"/>
  </si>
  <si>
    <t>HeroAttrExtra</t>
    <phoneticPr fontId="29" type="noConversion"/>
  </si>
  <si>
    <t>OpenFAC</t>
  </si>
  <si>
    <t>BossRound</t>
  </si>
  <si>
    <t>BlockDetailAuto</t>
  </si>
  <si>
    <t>$UnlockBubble</t>
  </si>
  <si>
    <t>UnlockBubble</t>
  </si>
  <si>
    <t>SpecialSkillShow</t>
  </si>
  <si>
    <t>SpecialRuleShow</t>
  </si>
  <si>
    <t>Challenge</t>
  </si>
  <si>
    <t>PreStoryPoint</t>
  </si>
  <si>
    <t>StageGuide</t>
  </si>
  <si>
    <t>LoadingBorad</t>
  </si>
  <si>
    <t>PointBoard</t>
  </si>
  <si>
    <t>ReslutBoard</t>
  </si>
  <si>
    <t>AiRules</t>
  </si>
  <si>
    <t>StoryLink</t>
  </si>
  <si>
    <t>Banner</t>
  </si>
  <si>
    <t>Background</t>
  </si>
  <si>
    <t>PointHead</t>
  </si>
  <si>
    <t>StrongerGuide</t>
  </si>
  <si>
    <t>BlockPrompt</t>
  </si>
  <si>
    <t>BossHeadPic</t>
  </si>
  <si>
    <t>BGM</t>
  </si>
  <si>
    <t>PointPicture</t>
  </si>
  <si>
    <t>BlockBubble</t>
  </si>
  <si>
    <t>EnemyName</t>
  </si>
  <si>
    <t>StageEffect</t>
  </si>
  <si>
    <t>StaminaBack</t>
  </si>
  <si>
    <t>StaminaCost</t>
  </si>
  <si>
    <t>WipeExtraReward</t>
  </si>
  <si>
    <t>ShowItem</t>
  </si>
  <si>
    <t>MainShowItem</t>
  </si>
  <si>
    <t>HeroExpReward</t>
  </si>
  <si>
    <t>PointReward</t>
  </si>
  <si>
    <t>FirstKillReward</t>
  </si>
  <si>
    <t>CrystalReward</t>
  </si>
  <si>
    <t>GoldReward</t>
  </si>
  <si>
    <t>StarCondition</t>
  </si>
  <si>
    <t>EnemyCard</t>
  </si>
  <si>
    <t>CardsExcept</t>
  </si>
  <si>
    <t>SpRuleBubble</t>
  </si>
  <si>
    <t>Assist</t>
  </si>
  <si>
    <t>TeamMode</t>
  </si>
  <si>
    <t>PointType</t>
  </si>
  <si>
    <t>NextPoint</t>
  </si>
  <si>
    <t>OpenPoint</t>
  </si>
  <si>
    <t>OpenLevel</t>
  </si>
  <si>
    <t>Map</t>
  </si>
  <si>
    <t>$BlockDesc</t>
    <phoneticPr fontId="29" type="noConversion"/>
  </si>
  <si>
    <t>$Name</t>
    <phoneticPr fontId="29" type="noConversion"/>
  </si>
  <si>
    <t>double</t>
    <phoneticPr fontId="11" type="noConversion"/>
  </si>
  <si>
    <t>$string</t>
  </si>
  <si>
    <t>array</t>
    <phoneticPr fontId="29" type="noConversion"/>
  </si>
  <si>
    <t>CS</t>
    <phoneticPr fontId="11" type="noConversion"/>
  </si>
  <si>
    <t>S</t>
    <phoneticPr fontId="11" type="noConversion"/>
  </si>
  <si>
    <t>$C</t>
  </si>
  <si>
    <t>战力拉平</t>
    <phoneticPr fontId="11" type="noConversion"/>
  </si>
  <si>
    <t>坐标</t>
  </si>
  <si>
    <t>隐藏剧情</t>
    <phoneticPr fontId="11" type="noConversion"/>
  </si>
  <si>
    <t>战力压制系数</t>
    <phoneticPr fontId="11" type="noConversion"/>
  </si>
  <si>
    <t>是否可扫荡</t>
    <phoneticPr fontId="11" type="noConversion"/>
  </si>
  <si>
    <t>关卡开启时间</t>
    <phoneticPr fontId="11" type="noConversion"/>
  </si>
  <si>
    <t>关卡英魂掉落加成</t>
  </si>
  <si>
    <t>关卡英魂技能加成-配置脚本实现</t>
    <phoneticPr fontId="11" type="noConversion"/>
  </si>
  <si>
    <t>关卡英魂技能SkillAttrEffect加成</t>
    <phoneticPr fontId="11" type="noConversion"/>
  </si>
  <si>
    <t>Boss形态数量</t>
  </si>
  <si>
    <t>关卡详情弹出</t>
  </si>
  <si>
    <t>功能解锁提示</t>
  </si>
  <si>
    <t>关卡内敌方特殊机制展示</t>
  </si>
  <si>
    <t>特殊机制弹窗</t>
  </si>
  <si>
    <t>战斗成就</t>
  </si>
  <si>
    <t>前置剧情关卡</t>
  </si>
  <si>
    <t>新手引导文件</t>
  </si>
  <si>
    <t>加载板</t>
  </si>
  <si>
    <t>挑战板</t>
  </si>
  <si>
    <t>结算板</t>
  </si>
  <si>
    <t>AI逻辑</t>
  </si>
  <si>
    <t>剧情</t>
  </si>
  <si>
    <t>关卡横幅</t>
  </si>
  <si>
    <t>战斗背景图</t>
  </si>
  <si>
    <t>关卡角色形象</t>
  </si>
  <si>
    <t>失败引导类型</t>
  </si>
  <si>
    <t>目标提示</t>
  </si>
  <si>
    <t>BOSS头像(暂时没用到）</t>
  </si>
  <si>
    <t>关卡音乐</t>
  </si>
  <si>
    <t>关卡资源图类型</t>
  </si>
  <si>
    <t>关卡角色气泡</t>
  </si>
  <si>
    <t>关卡敌人名称</t>
  </si>
  <si>
    <t>关卡效果</t>
  </si>
  <si>
    <t>失败返还体力</t>
  </si>
  <si>
    <t>关卡消耗体力</t>
  </si>
  <si>
    <t>扫荡额外奖励</t>
  </si>
  <si>
    <t>显示道具</t>
  </si>
  <si>
    <t>扫荡主要显示道具</t>
  </si>
  <si>
    <t>宠物获得经验</t>
  </si>
  <si>
    <t>关卡掉落奖励</t>
  </si>
  <si>
    <t>首次击破奖励</t>
  </si>
  <si>
    <t>水晶奖励数量</t>
  </si>
  <si>
    <t>金币奖励数量</t>
  </si>
  <si>
    <t>得星条件</t>
  </si>
  <si>
    <t>敌方卡组</t>
  </si>
  <si>
    <t>敌人主角配置</t>
  </si>
  <si>
    <t>关卡战斗配置</t>
  </si>
  <si>
    <t>卡组筛选</t>
  </si>
  <si>
    <t>特殊规则气泡</t>
  </si>
  <si>
    <t>援助NPC</t>
  </si>
  <si>
    <t>关卡类型</t>
  </si>
  <si>
    <t>关卡定位</t>
  </si>
  <si>
    <t>后续关卡</t>
  </si>
  <si>
    <t>前置关卡</t>
  </si>
  <si>
    <t>开放等级</t>
  </si>
  <si>
    <t>所属地图</t>
  </si>
  <si>
    <t>关卡描述</t>
  </si>
  <si>
    <t>关卡名称</t>
  </si>
  <si>
    <t>技能图标</t>
  </si>
  <si>
    <t>FIXED</t>
  </si>
  <si>
    <t>SELF</t>
  </si>
  <si>
    <t>[ALL]</t>
  </si>
  <si>
    <t>ATTR</t>
  </si>
  <si>
    <t>CHECK:[FIXED,LINEAR,CUSTOM]</t>
  </si>
  <si>
    <t>CHECK:[SELF,ALL,MASTER,HERO,MALE,FEMALE,COST3,COST4,COST5,COST6,COST7,COST8]</t>
  </si>
  <si>
    <t>CHECK:[ALL,ARENA,CROSSARENA,HERO_QUALITY,HERO_STAR,EQUIP_LEVEL,SHOP,MAP,PANSLAB,TOWER]</t>
    <phoneticPr fontId="29" type="noConversion"/>
  </si>
  <si>
    <t>CHECK:[ATTR,ADDEFFECT,UNLOCKSKILL,CHANGESKILL,RESOURCERATE,RESOURCE]</t>
  </si>
  <si>
    <t>$LevelUpDesc</t>
    <phoneticPr fontId="29" type="noConversion"/>
  </si>
  <si>
    <t>LevelUpDesc</t>
    <phoneticPr fontId="29" type="noConversion"/>
  </si>
  <si>
    <t>$EffectDesc</t>
    <phoneticPr fontId="29" type="noConversion"/>
  </si>
  <si>
    <t>EffectDesc</t>
    <phoneticPr fontId="29" type="noConversion"/>
  </si>
  <si>
    <t>Value</t>
  </si>
  <si>
    <t>GrowType</t>
  </si>
  <si>
    <t>AttrType</t>
  </si>
  <si>
    <t>Target</t>
  </si>
  <si>
    <t>EffectRange</t>
  </si>
  <si>
    <t>EffectType</t>
  </si>
  <si>
    <t>string[]</t>
    <phoneticPr fontId="29" type="noConversion"/>
  </si>
  <si>
    <t>技能升级描述</t>
  </si>
  <si>
    <t>技能数值描述</t>
  </si>
  <si>
    <t>效果参数</t>
  </si>
  <si>
    <t>成长类型</t>
  </si>
  <si>
    <t>属性类型</t>
  </si>
  <si>
    <t>生效目标</t>
  </si>
  <si>
    <t>生效场合</t>
  </si>
  <si>
    <t>效果类型</t>
  </si>
  <si>
    <t>技能名称</t>
  </si>
  <si>
    <t>活动副本加成</t>
  </si>
  <si>
    <t>SkillAttrEffect</t>
    <phoneticPr fontId="11" type="noConversion"/>
  </si>
  <si>
    <t>PRIMARY</t>
    <phoneticPr fontId="11" type="noConversion"/>
  </si>
  <si>
    <t>LeadSPD</t>
    <phoneticPr fontId="11" type="noConversion"/>
  </si>
  <si>
    <t>LeadHP</t>
    <phoneticPr fontId="11" type="noConversion"/>
  </si>
  <si>
    <t>LeadDEF</t>
    <phoneticPr fontId="11" type="noConversion"/>
  </si>
  <si>
    <t>LeadATK</t>
    <phoneticPr fontId="11" type="noConversion"/>
  </si>
  <si>
    <t>LowerStandardQuality</t>
    <phoneticPr fontId="11" type="noConversion"/>
  </si>
  <si>
    <t>StandardLv</t>
    <phoneticPr fontId="11" type="noConversion"/>
  </si>
  <si>
    <t>主角速度</t>
    <phoneticPr fontId="11" type="noConversion"/>
  </si>
  <si>
    <t>主角血量</t>
    <phoneticPr fontId="11" type="noConversion"/>
  </si>
  <si>
    <t>主角防御</t>
    <phoneticPr fontId="11" type="noConversion"/>
  </si>
  <si>
    <t>主角攻击</t>
    <phoneticPr fontId="11" type="noConversion"/>
  </si>
  <si>
    <t>低于标准等级品质处理</t>
    <phoneticPr fontId="11" type="noConversion"/>
  </si>
  <si>
    <t>标准等级</t>
    <phoneticPr fontId="11" type="noConversion"/>
  </si>
  <si>
    <t>主键</t>
    <phoneticPr fontId="41" type="noConversion"/>
  </si>
  <si>
    <t>限制</t>
    <phoneticPr fontId="11" type="noConversion"/>
  </si>
  <si>
    <t>ConfigLevelLimit</t>
    <phoneticPr fontId="11" type="noConversion"/>
  </si>
  <si>
    <t>填充包</t>
  </si>
  <si>
    <t>[{"20":[{"type":2,"code":"IM_ExpUp3","amount":1}]},{"5":[{"type":2,"code":"IM_GiftBox2","amount":1}]},{"25":[{"type":2,"code":"IR_Gold","amount":2000}]},{"25":[{"type":2,"code":"IR_Crystal","amount":2000}]},{"25":[{"type":2,"code":"IM_ExpUp1","amount":5}]}]</t>
    <phoneticPr fontId="27" type="noConversion"/>
  </si>
  <si>
    <t>Once2</t>
  </si>
  <si>
    <t>[{"type":2,"code":"IR_Diamond","amount":20}]</t>
  </si>
  <si>
    <t>CHECK:[Fixed,Level,VIP,Once,Times,TimesResetByMaxValue,Seeds,Arrays,Once2,UnlockOnce2,RepeatOnce2,PlayerID,ServerDays,GroupArrays,ServerArrays,ServerSeeds,ServerTimes,ServerTimesResetByMaxValue,ServerGroupArrays,PlayerDays,ClubSeeds,RealTime]</t>
    <phoneticPr fontId="27" type="noConversion"/>
  </si>
  <si>
    <t>string</t>
    <phoneticPr fontId="27" type="noConversion"/>
  </si>
  <si>
    <t>问道</t>
  </si>
  <si>
    <t>FOREIGN:ActivityColourEgg.Id</t>
    <phoneticPr fontId="29" type="noConversion"/>
  </si>
  <si>
    <t>FOREIGN:ActivityStoryPoint.Id</t>
    <phoneticPr fontId="29" type="noConversion"/>
  </si>
  <si>
    <t>FOREIGN:ActivityBlockPoint.Id</t>
    <phoneticPr fontId="29" type="noConversion"/>
  </si>
  <si>
    <t>ColourEgg</t>
  </si>
  <si>
    <t>StarBoxReward</t>
  </si>
  <si>
    <t>SubStoryPoint</t>
  </si>
  <si>
    <t>SubPoint</t>
  </si>
  <si>
    <t>BackgroundLength</t>
  </si>
  <si>
    <t>MapName</t>
  </si>
  <si>
    <t>关联彩蛋</t>
    <phoneticPr fontId="29" type="noConversion"/>
  </si>
  <si>
    <t>星星宝箱奖励</t>
  </si>
  <si>
    <t>包含的剧情点</t>
  </si>
  <si>
    <t>包含的关卡点</t>
  </si>
  <si>
    <t>背景音效</t>
  </si>
  <si>
    <t>地图背景长度</t>
  </si>
  <si>
    <t>章节背景ID</t>
  </si>
  <si>
    <t>章节类型</t>
  </si>
  <si>
    <t>地图名称</t>
  </si>
  <si>
    <t>ActivityBlockMap</t>
    <phoneticPr fontId="29" type="noConversion"/>
  </si>
  <si>
    <t>["main_bg_xq_jqicon01.png","main_bg_xq_jqxw01.png"]</t>
  </si>
  <si>
    <t>s_album_story_1</t>
  </si>
  <si>
    <t>[-200,-150]</t>
  </si>
  <si>
    <t>[-200,-200]</t>
  </si>
  <si>
    <t>[-200,-250]</t>
  </si>
  <si>
    <t>FOREIGN:ActivityBlockMap.Id</t>
    <phoneticPr fontId="27" type="noConversion"/>
  </si>
  <si>
    <t>PointIcon</t>
  </si>
  <si>
    <t>IsAuto</t>
  </si>
  <si>
    <t>IsHide</t>
  </si>
  <si>
    <t>FirstReward</t>
  </si>
  <si>
    <t>NextStoryPoint</t>
  </si>
  <si>
    <t>PreBattlePoint</t>
  </si>
  <si>
    <t>$Name</t>
    <phoneticPr fontId="27" type="noConversion"/>
  </si>
  <si>
    <t>Name</t>
    <phoneticPr fontId="27" type="noConversion"/>
  </si>
  <si>
    <t>剧情点图标</t>
  </si>
  <si>
    <t>关卡点资源图</t>
  </si>
  <si>
    <t>是否自动播放</t>
  </si>
  <si>
    <t>是否隐藏</t>
  </si>
  <si>
    <t>首次观看奖励</t>
  </si>
  <si>
    <t>前置战斗关卡</t>
  </si>
  <si>
    <t>ActivityStoryPoint</t>
    <phoneticPr fontId="11" type="noConversion"/>
  </si>
  <si>
    <t>累计获得25000个代币</t>
    <phoneticPr fontId="11" type="noConversion"/>
  </si>
  <si>
    <t>累计获得20000个代币</t>
    <phoneticPr fontId="11" type="noConversion"/>
  </si>
  <si>
    <t>累计获得16000个代币</t>
    <phoneticPr fontId="11" type="noConversion"/>
  </si>
  <si>
    <t>累计获得10000个代币</t>
    <phoneticPr fontId="11" type="noConversion"/>
  </si>
  <si>
    <t>累计获得5000个代币</t>
    <phoneticPr fontId="11" type="noConversion"/>
  </si>
  <si>
    <t>香缇</t>
  </si>
  <si>
    <t>Hero_Normal_YKDMLai</t>
  </si>
  <si>
    <t>Hero_Proud_YKDMLai</t>
  </si>
  <si>
    <t>Hero_Unique_YKDMLai</t>
  </si>
  <si>
    <t>[Hero_PBattle_YKDMLai]</t>
  </si>
  <si>
    <t>活动关卡-噩梦</t>
    <phoneticPr fontId="11" type="noConversion"/>
  </si>
  <si>
    <t>关卡星级英魂技能加成</t>
    <phoneticPr fontId="11" type="noConversion"/>
  </si>
  <si>
    <t>关卡星级英魂掉落加成</t>
    <phoneticPr fontId="11" type="noConversion"/>
  </si>
  <si>
    <t>HeroAttrSatrExtra</t>
    <phoneticPr fontId="29" type="noConversion"/>
  </si>
  <si>
    <t>HeroSkillSatrExtra</t>
    <phoneticPr fontId="11" type="noConversion"/>
  </si>
  <si>
    <t>HeroItemSatrExtra</t>
    <phoneticPr fontId="29" type="noConversion"/>
  </si>
  <si>
    <t>活动本星级掉落</t>
    <phoneticPr fontId="11" type="noConversion"/>
  </si>
  <si>
    <t>关卡星级英魂技能加成——脚本控制</t>
    <phoneticPr fontId="11" type="noConversion"/>
  </si>
  <si>
    <t>EnemyHero</t>
    <phoneticPr fontId="11" type="noConversion"/>
  </si>
  <si>
    <t>string</t>
    <phoneticPr fontId="11" type="noConversion"/>
  </si>
  <si>
    <t>dict</t>
    <phoneticPr fontId="11" type="noConversion"/>
  </si>
  <si>
    <t>{"LEVEL":1}</t>
  </si>
  <si>
    <t>Reward_3</t>
    <phoneticPr fontId="11" type="noConversion"/>
  </si>
  <si>
    <t>[{"type":9,"code":"DrawHero_NormalSR","amount":1}]</t>
  </si>
  <si>
    <t>[{"10":[{"type":9,"code":"DrawHero_NormalSR","amount":1}]},{"90":[{"type":9,"code":"DrawHero_NormalR","amount":1}]}]</t>
  </si>
  <si>
    <t>[{"type":9,"code":"DrawHero_NormalR","amount":1}]</t>
  </si>
  <si>
    <t>TimesResetByMaxValue</t>
  </si>
  <si>
    <t>VIP</t>
  </si>
  <si>
    <t>[{"conditionType":"Condi_TodayLogin","factor1":[8]}]</t>
  </si>
  <si>
    <t>[{"conditionType":"Condi_TodayLogin","factor1":[9]}]</t>
  </si>
  <si>
    <t>[{"conditionType":"Condi_TodayLogin","factor1":[10]}]</t>
  </si>
  <si>
    <t>累计登录9天</t>
  </si>
  <si>
    <t>累计登录10天</t>
  </si>
  <si>
    <t>第八天</t>
    <phoneticPr fontId="11" type="noConversion"/>
  </si>
  <si>
    <t>第九天</t>
    <phoneticPr fontId="11" type="noConversion"/>
  </si>
  <si>
    <t>第十天</t>
    <phoneticPr fontId="11" type="noConversion"/>
  </si>
  <si>
    <t>西格</t>
    <phoneticPr fontId="11" type="noConversion"/>
  </si>
  <si>
    <t>西格活动</t>
    <phoneticPr fontId="11" type="noConversion"/>
  </si>
  <si>
    <t>西格活动</t>
    <phoneticPr fontId="11" type="noConversion"/>
  </si>
  <si>
    <t>[HURTRATE,UNHURTRATE]</t>
    <phoneticPr fontId="11" type="noConversion"/>
  </si>
  <si>
    <t>[0.6,0.6]</t>
    <phoneticPr fontId="11" type="noConversion"/>
  </si>
  <si>
    <t>[]</t>
    <phoneticPr fontId="11" type="noConversion"/>
  </si>
  <si>
    <t>[ALL]</t>
    <phoneticPr fontId="11" type="noConversion"/>
  </si>
  <si>
    <t>int[]</t>
    <phoneticPr fontId="11" type="noConversion"/>
  </si>
  <si>
    <t>[0.15,0.15]</t>
    <phoneticPr fontId="11" type="noConversion"/>
  </si>
  <si>
    <t>[0.45,0.45]</t>
    <phoneticPr fontId="11" type="noConversion"/>
  </si>
  <si>
    <t>皮肤编号</t>
  </si>
  <si>
    <t>SurfaceNum</t>
  </si>
  <si>
    <t>默认能量</t>
  </si>
  <si>
    <t>MasterRage</t>
  </si>
  <si>
    <t>EnergyCost</t>
  </si>
  <si>
    <t>Activity_Wait1_5</t>
  </si>
  <si>
    <t>[{"type":"Pass"},{"type":"MyHpRatio","value":10},{"type":"Time","value":180}]</t>
    <phoneticPr fontId="11" type="noConversion"/>
  </si>
  <si>
    <t>新野</t>
    <phoneticPr fontId="11" type="noConversion"/>
  </si>
  <si>
    <t>NORMAL</t>
    <phoneticPr fontId="11" type="noConversion"/>
  </si>
  <si>
    <t>精确合表</t>
  </si>
  <si>
    <t>是否计算Effcet</t>
    <phoneticPr fontId="11" type="noConversion"/>
  </si>
  <si>
    <t>EffectControl</t>
    <phoneticPr fontId="11" type="noConversion"/>
  </si>
  <si>
    <t>包含的关卡层</t>
    <phoneticPr fontId="11" type="noConversion"/>
  </si>
  <si>
    <t>SubSort</t>
    <phoneticPr fontId="11" type="noConversion"/>
  </si>
  <si>
    <t>FOREIGN:ActivityBlockSort.Id</t>
    <phoneticPr fontId="29" type="noConversion"/>
  </si>
  <si>
    <t>[]</t>
    <phoneticPr fontId="11" type="noConversion"/>
  </si>
  <si>
    <t>关卡名称</t>
    <phoneticPr fontId="27" type="noConversion"/>
  </si>
  <si>
    <t>解锁</t>
    <phoneticPr fontId="11" type="noConversion"/>
  </si>
  <si>
    <t>我方队伍</t>
    <phoneticPr fontId="27" type="noConversion"/>
  </si>
  <si>
    <t>是否开启战斗校验</t>
  </si>
  <si>
    <t>可用主角</t>
    <phoneticPr fontId="11" type="noConversion"/>
  </si>
  <si>
    <t>上阵人数限制</t>
    <phoneticPr fontId="11" type="noConversion"/>
  </si>
  <si>
    <t>上阵位限制</t>
    <phoneticPr fontId="11" type="noConversion"/>
  </si>
  <si>
    <t>Id</t>
    <phoneticPr fontId="11" type="noConversion"/>
  </si>
  <si>
    <t>Name</t>
    <phoneticPr fontId="11" type="noConversion"/>
  </si>
  <si>
    <t>Desc</t>
    <phoneticPr fontId="11" type="noConversion"/>
  </si>
  <si>
    <t>UnlockCondition</t>
    <phoneticPr fontId="11" type="noConversion"/>
  </si>
  <si>
    <t>BlockBattleConfig</t>
    <phoneticPr fontId="11" type="noConversion"/>
  </si>
  <si>
    <t>Master</t>
    <phoneticPr fontId="11" type="noConversion"/>
  </si>
  <si>
    <t>BattleNumLimit</t>
    <phoneticPr fontId="11" type="noConversion"/>
  </si>
  <si>
    <t>PositionLimit</t>
    <phoneticPr fontId="11" type="noConversion"/>
  </si>
  <si>
    <t>CHECK:[NORMAL,ELITE,HARD]</t>
    <phoneticPr fontId="27" type="noConversion"/>
  </si>
  <si>
    <t>深海</t>
    <phoneticPr fontId="11" type="noConversion"/>
  </si>
  <si>
    <t>包含难度关卡</t>
    <phoneticPr fontId="27" type="noConversion"/>
  </si>
  <si>
    <t>显示条件</t>
    <phoneticPr fontId="11" type="noConversion"/>
  </si>
  <si>
    <t>BlockPoint</t>
  </si>
  <si>
    <t>ShowCondition</t>
    <phoneticPr fontId="11" type="noConversion"/>
  </si>
  <si>
    <t>CHECK:[NORMAL,BOSS,HIDE]</t>
    <phoneticPr fontId="27" type="noConversion"/>
  </si>
  <si>
    <t>深海</t>
    <phoneticPr fontId="11" type="noConversion"/>
  </si>
  <si>
    <t>ActivityBlockSort</t>
    <phoneticPr fontId="11" type="noConversion"/>
  </si>
  <si>
    <t>唐悦</t>
    <phoneticPr fontId="11" type="noConversion"/>
  </si>
  <si>
    <t>VictoryConditions</t>
    <phoneticPr fontId="11" type="noConversion"/>
  </si>
  <si>
    <t>Summon</t>
  </si>
  <si>
    <t>洛洛</t>
  </si>
  <si>
    <t>Hero_Normal_JSTDing</t>
  </si>
  <si>
    <t>Hero_Proud_JSTDing</t>
  </si>
  <si>
    <t>Hero_Unique_JSTDing</t>
  </si>
  <si>
    <t>[Hero_PBattle_JSTDing]</t>
  </si>
  <si>
    <t>Model_AJTa</t>
  </si>
  <si>
    <t>那塔塔</t>
  </si>
  <si>
    <t>Hero_Normal_AJTa</t>
  </si>
  <si>
    <t>Hero_Proud_AJTa</t>
  </si>
  <si>
    <t>Hero_Unique_AJTa</t>
  </si>
  <si>
    <t>[Hero_PBattle_AJTa]</t>
  </si>
  <si>
    <t>Model_MGNa</t>
  </si>
  <si>
    <t>叶菲</t>
  </si>
  <si>
    <t>Hero_Normal_MGNa</t>
  </si>
  <si>
    <t>Hero_Proud_MGNa</t>
  </si>
  <si>
    <t>Hero_Unique_MGNa</t>
  </si>
  <si>
    <t>[Hero_PBattle_MGNa]</t>
  </si>
  <si>
    <t>[0.8,0.8]</t>
    <phoneticPr fontId="11" type="noConversion"/>
  </si>
  <si>
    <t>通关普通1-5</t>
    <phoneticPr fontId="27" type="noConversion"/>
  </si>
  <si>
    <t>通关普通2-4</t>
    <phoneticPr fontId="27" type="noConversion"/>
  </si>
  <si>
    <t>通关普通2-7</t>
    <phoneticPr fontId="27" type="noConversion"/>
  </si>
  <si>
    <t>通关3个困难关卡</t>
    <phoneticPr fontId="27" type="noConversion"/>
  </si>
  <si>
    <t>通关10个困难关卡</t>
    <phoneticPr fontId="27" type="noConversion"/>
  </si>
  <si>
    <t>通关12个困难关卡</t>
    <phoneticPr fontId="27" type="noConversion"/>
  </si>
  <si>
    <t>通关14个困难关卡</t>
    <phoneticPr fontId="27" type="noConversion"/>
  </si>
  <si>
    <t>通关16个困难关卡</t>
    <phoneticPr fontId="27" type="noConversion"/>
  </si>
  <si>
    <t>完成18个成就任务</t>
    <phoneticPr fontId="27" type="noConversion"/>
  </si>
  <si>
    <t>ELITE</t>
    <phoneticPr fontId="11" type="noConversion"/>
  </si>
  <si>
    <t>成就16</t>
  </si>
  <si>
    <t>成就17</t>
  </si>
  <si>
    <t>成就18</t>
  </si>
  <si>
    <t>成就19</t>
  </si>
  <si>
    <t>成就20</t>
  </si>
  <si>
    <t>成就21</t>
  </si>
  <si>
    <t>成就22</t>
  </si>
  <si>
    <t>成就23</t>
  </si>
  <si>
    <t>通关普通1-10</t>
    <phoneticPr fontId="27" type="noConversion"/>
  </si>
  <si>
    <t>通关普通2-10</t>
    <phoneticPr fontId="27" type="noConversion"/>
  </si>
  <si>
    <t>通关6个困难关卡</t>
    <phoneticPr fontId="27" type="noConversion"/>
  </si>
  <si>
    <t>通关8个困难关卡</t>
    <phoneticPr fontId="27" type="noConversion"/>
  </si>
  <si>
    <t>成就11</t>
  </si>
  <si>
    <t>ActivityBlockBattle</t>
  </si>
  <si>
    <t>通关普通1-8</t>
    <phoneticPr fontId="27" type="noConversion"/>
  </si>
  <si>
    <t>通关普通2-8</t>
    <phoneticPr fontId="27" type="noConversion"/>
  </si>
  <si>
    <t>丽姬娅</t>
  </si>
  <si>
    <t>{"a1":[10,0],"a2":0,"a3":0,"a4":60}</t>
  </si>
  <si>
    <t>Model_FTLEShi</t>
  </si>
  <si>
    <t>维克托莉雅</t>
  </si>
  <si>
    <t>Hero_Normal_FTLEShi</t>
  </si>
  <si>
    <t>Hero_Proud_FTLEShi</t>
  </si>
  <si>
    <t>Hero_Unique_FTLEShi</t>
  </si>
  <si>
    <t>[Hero_PBattle_FTLEShi]</t>
  </si>
  <si>
    <t>Model_YSuo</t>
  </si>
  <si>
    <t>潘</t>
  </si>
  <si>
    <t>Hero_Normal_YSuo</t>
  </si>
  <si>
    <t>Hero_Proud_YSuo</t>
  </si>
  <si>
    <t>Hero_Unique_YSuo</t>
  </si>
  <si>
    <t>[Hero_PBattle_YSuo]</t>
  </si>
  <si>
    <t>Model_CLMan</t>
  </si>
  <si>
    <t>妮娜</t>
  </si>
  <si>
    <t>Hero_Normal_CLMan</t>
  </si>
  <si>
    <t>Hero_Proud_CLMan</t>
  </si>
  <si>
    <t>Hero_Unique_CLMan</t>
  </si>
  <si>
    <t>[Hero_PBattle_CLMan]</t>
  </si>
  <si>
    <t>Model_BEr</t>
  </si>
  <si>
    <t>巴莱纳斯</t>
  </si>
  <si>
    <t>Hero_Normal_BEr</t>
  </si>
  <si>
    <t>Hero_Proud_BEr</t>
  </si>
  <si>
    <t>Hero_Unique_BEr</t>
  </si>
  <si>
    <t>Hero_PBattle_BEr</t>
  </si>
  <si>
    <t>BEr_Transform</t>
  </si>
  <si>
    <t>Model_YKDMLai</t>
  </si>
  <si>
    <t>Model_DCJKang</t>
  </si>
  <si>
    <t>东文宇</t>
  </si>
  <si>
    <t>Hero_Normal_DCJKang</t>
  </si>
  <si>
    <t>Hero_Proud_DCJKang</t>
  </si>
  <si>
    <t>Hero_Unique_DCJKang</t>
  </si>
  <si>
    <t>[Hero_PBattle_DCJKang]</t>
  </si>
  <si>
    <t>Model_DDing</t>
  </si>
  <si>
    <t>贝亚特丝</t>
  </si>
  <si>
    <t>Curse</t>
  </si>
  <si>
    <t>Hero_Normal_DDing</t>
  </si>
  <si>
    <t>Hero_Proud_DDing</t>
  </si>
  <si>
    <t>Hero_Unique_DDing</t>
  </si>
  <si>
    <t>[Hero_PBattle_DDing]</t>
  </si>
  <si>
    <t>Model_ALPo</t>
  </si>
  <si>
    <t>Hero_Normal_ALPo</t>
  </si>
  <si>
    <t>Hero_Proud_ALPo</t>
  </si>
  <si>
    <t>Hero_Unique_ALPo</t>
  </si>
  <si>
    <t>[Hero_PBattle_ALPo]</t>
  </si>
  <si>
    <t>Model_XBKLDi</t>
  </si>
  <si>
    <t>伊阿宋</t>
  </si>
  <si>
    <t>Hero_Normal_XBKLDi</t>
  </si>
  <si>
    <t>Hero_Proud_XBKLDi</t>
  </si>
  <si>
    <t>Hero_Unique_XBKLDi</t>
  </si>
  <si>
    <t>[Hero_PBattle_XBKLDi]</t>
  </si>
  <si>
    <t>Model_MKLJLuo</t>
  </si>
  <si>
    <t>琪琪</t>
  </si>
  <si>
    <t>Hero_Normal_MKLJLuo</t>
  </si>
  <si>
    <t>Hero_Proud_MKLJLuo</t>
  </si>
  <si>
    <t>Hero_Unique_MKLJLuo</t>
  </si>
  <si>
    <t>[Hero_PBattle_MKLJLuo]</t>
  </si>
  <si>
    <t>Model_LLan</t>
  </si>
  <si>
    <t>安吉拉</t>
  </si>
  <si>
    <t>Hero_Normal_LLan</t>
  </si>
  <si>
    <t>Hero_Proud_LLan</t>
  </si>
  <si>
    <t>Hero_Unique_LLan</t>
  </si>
  <si>
    <t>[Hero_PBattle_LLan]</t>
  </si>
  <si>
    <t>Model_PNCao</t>
  </si>
  <si>
    <t>花海季</t>
  </si>
  <si>
    <t>Hero_Normal_PNCao</t>
  </si>
  <si>
    <t>Hero_Proud_PNCao</t>
  </si>
  <si>
    <t>Hero_Unique_PNCao</t>
  </si>
  <si>
    <t>Hero_PBattle_PNCao</t>
  </si>
  <si>
    <t>Model_NXYYi</t>
  </si>
  <si>
    <t>御神梦</t>
  </si>
  <si>
    <t>Hero_Normal_NXYYi</t>
  </si>
  <si>
    <t>Hero_Proud_NXYYi</t>
  </si>
  <si>
    <t>Hero_Unique_NXYYi</t>
  </si>
  <si>
    <t>[Hero_PBattle_NXYYi]</t>
  </si>
  <si>
    <t>Model_CZheng</t>
  </si>
  <si>
    <t>Model_GLin</t>
  </si>
  <si>
    <t>彭茜</t>
  </si>
  <si>
    <t>Hero_Normal_GLin</t>
  </si>
  <si>
    <t>Hero_Proud_GLin</t>
  </si>
  <si>
    <t>Hero_Unique_GLin</t>
  </si>
  <si>
    <t>[Hero_PBattle_GLin]</t>
  </si>
  <si>
    <t>Model_WEDe</t>
  </si>
  <si>
    <t>Model_YLSBai</t>
  </si>
  <si>
    <t>瑟琳娜</t>
  </si>
  <si>
    <t>Hero_Normal_YLSBai</t>
  </si>
  <si>
    <t>Hero_Proud_YLSBai</t>
  </si>
  <si>
    <t>Hero_Unique_YLSBai</t>
  </si>
  <si>
    <t>[Hero_PBattle_YLSBai]</t>
  </si>
  <si>
    <t>Model_ZZBBWei</t>
  </si>
  <si>
    <t>上泉萤</t>
  </si>
  <si>
    <t>Hero_Normal_ZZBBWei</t>
  </si>
  <si>
    <t>Hero_Proud_ZZBBWei</t>
  </si>
  <si>
    <t>Hero_Unique_ZZBBWei</t>
  </si>
  <si>
    <t>[Hero_PBattle_ZZBBWei]</t>
  </si>
  <si>
    <t>Model_BLTu</t>
  </si>
  <si>
    <t>贝利尔</t>
  </si>
  <si>
    <t>Hero_Normal_BLTu</t>
  </si>
  <si>
    <t>Hero_Proud_BLTu</t>
  </si>
  <si>
    <t>Hero_Unique_BLTu</t>
  </si>
  <si>
    <t>[Hero_PBattle_BLTu]</t>
  </si>
  <si>
    <t>Model_DFQi</t>
  </si>
  <si>
    <t>艾玛</t>
  </si>
  <si>
    <t>Hero_Normal_DFQi</t>
  </si>
  <si>
    <t>Hero_Proud_DFQi</t>
  </si>
  <si>
    <t>Hero_Unique_DFQi</t>
  </si>
  <si>
    <t>[Hero_PBattle_DFQi]</t>
  </si>
  <si>
    <t>Model_BBLMa</t>
  </si>
  <si>
    <t>Model_SDTZi</t>
  </si>
  <si>
    <t>苏我美雪</t>
  </si>
  <si>
    <t>Hero_Normal_SDTZi</t>
  </si>
  <si>
    <t>Hero_Proud_SDTZi</t>
  </si>
  <si>
    <t>Hero_Unique_SDTZi</t>
  </si>
  <si>
    <t>[Hero_PBattle_SDTZi]</t>
  </si>
  <si>
    <t>Model_YFZZhu</t>
  </si>
  <si>
    <t>伊贺鸣</t>
  </si>
  <si>
    <t>Hero_Normal_YFZZhu</t>
  </si>
  <si>
    <t>Hero_Proud_YFZZhu</t>
  </si>
  <si>
    <t>Hero_Unique_YFZZhu</t>
  </si>
  <si>
    <t>Hero_PBattle_YFZZhu</t>
  </si>
  <si>
    <t>Model_ZTXChang</t>
  </si>
  <si>
    <t>村咲小夜</t>
  </si>
  <si>
    <t>Hero_Normal_ZTXChang</t>
  </si>
  <si>
    <t>Hero_Proud_ZTXChang</t>
  </si>
  <si>
    <t>Hero_Unique_ZTXChang</t>
  </si>
  <si>
    <t>[Hero_PBattle_ZTXChang]</t>
  </si>
  <si>
    <t>Model_JSTDing</t>
  </si>
  <si>
    <t>Model_KTSJKe</t>
  </si>
  <si>
    <t>赫茜</t>
  </si>
  <si>
    <t>Hero_Normal_KTSJKe</t>
  </si>
  <si>
    <t>Hero_Proud_KTSJKe</t>
  </si>
  <si>
    <t>Hero_Unique_KTSJKe</t>
  </si>
  <si>
    <t>[Hero_PBattle_KTSJKe]</t>
  </si>
  <si>
    <t>Model_TPGZhu</t>
  </si>
  <si>
    <t>凤凰月华</t>
  </si>
  <si>
    <t>Hero_Normal_TPGZhu</t>
  </si>
  <si>
    <t>Hero_Proud_TPGZhu</t>
  </si>
  <si>
    <t>Hero_Unique_TPGZhu</t>
  </si>
  <si>
    <t>Hero_PBattle_TPGZhu</t>
  </si>
  <si>
    <t>超难关卡</t>
    <phoneticPr fontId="11" type="noConversion"/>
  </si>
  <si>
    <t>CHECK:[NORMAL,ELITE,HARD]</t>
    <phoneticPr fontId="11" type="noConversion"/>
  </si>
  <si>
    <t>活动关卡-超难</t>
    <phoneticPr fontId="11" type="noConversion"/>
  </si>
  <si>
    <t>[{"type":2,"code":"IES_StarUpDogFood_SSR","amount":1}]</t>
  </si>
  <si>
    <t>[{"type":2,"code":"IM_FAll14","amount":1}]</t>
  </si>
  <si>
    <t>[{"type":2,"code":"IM_DiamondDraw","amount":1}]</t>
  </si>
  <si>
    <t>[{"type":2,"code":"IR_Diamond","amount":50}]</t>
  </si>
  <si>
    <t>[{"type":2,"code":"IR_Gold","amount":30000}]</t>
  </si>
  <si>
    <t>[{"type":2,"code":"IM_DiamondDraw","amount":2}]</t>
  </si>
  <si>
    <t>HARD</t>
  </si>
  <si>
    <t>[FTLEShi]</t>
  </si>
  <si>
    <t>[YSuo]</t>
  </si>
  <si>
    <t>[CLMan]</t>
  </si>
  <si>
    <t>[BEr]</t>
  </si>
  <si>
    <t>[MGNa]</t>
  </si>
  <si>
    <t>[YKDMLai]</t>
  </si>
  <si>
    <t>[DCJKang]</t>
  </si>
  <si>
    <t>[DDing]</t>
  </si>
  <si>
    <t>[ALPo]</t>
  </si>
  <si>
    <t>[WTXXuan]</t>
  </si>
  <si>
    <t>[MKLJLuo]</t>
  </si>
  <si>
    <t>[LLan]</t>
  </si>
  <si>
    <t>[AJTa]</t>
  </si>
  <si>
    <t>[PNCao]</t>
  </si>
  <si>
    <t>[NXYYi]</t>
  </si>
  <si>
    <t>[CZheng]</t>
  </si>
  <si>
    <t>[GLin]</t>
  </si>
  <si>
    <t>[WEDe]</t>
  </si>
  <si>
    <t>[YLSBai]</t>
  </si>
  <si>
    <t>[ZZBBWei]</t>
  </si>
  <si>
    <t>[BLTu]</t>
  </si>
  <si>
    <t>[DFQi]</t>
  </si>
  <si>
    <t>[BBLMa]</t>
  </si>
  <si>
    <t>[SDTZi]</t>
  </si>
  <si>
    <t>[YFZZhu]</t>
  </si>
  <si>
    <t>[ZTXChang]</t>
  </si>
  <si>
    <t>[JSTDing]</t>
  </si>
  <si>
    <t>[KTSJKe]</t>
  </si>
  <si>
    <t>[TPGZhu]</t>
  </si>
  <si>
    <t>TPGZhu_Transform</t>
  </si>
  <si>
    <t>#ColModify</t>
  </si>
  <si>
    <t>#ColAdd</t>
    <phoneticPr fontId="11" type="noConversion"/>
  </si>
  <si>
    <t>StaminaCostAgain</t>
    <phoneticPr fontId="11" type="noConversion"/>
  </si>
  <si>
    <t>Model_ZTXCun</t>
  </si>
  <si>
    <t>藤原幸子</t>
  </si>
  <si>
    <t>Hero_Normal_ZTXCun</t>
  </si>
  <si>
    <t>Hero_Proud_ZTXCun</t>
  </si>
  <si>
    <t>Hero_Unique_ZTXCun</t>
  </si>
  <si>
    <t>[Hero_PBattle_ZTXCun]</t>
  </si>
  <si>
    <t>Model_XLai</t>
  </si>
  <si>
    <t>茉莉</t>
  </si>
  <si>
    <t>Hero_Normal_XLai</t>
  </si>
  <si>
    <t>Hero_Proud_XLai</t>
  </si>
  <si>
    <t>Hero_Unique_XLai</t>
  </si>
  <si>
    <t>[Hero_PBattle_XLai]</t>
  </si>
  <si>
    <t>「404」副本体力</t>
    <phoneticPr fontId="11" type="noConversion"/>
  </si>
  <si>
    <t>十连起始</t>
  </si>
  <si>
    <t>1号包，SSR保底包，第1~2次掉1个SSR，第3~5次掉1个SSR，第6~7次掉1个SSR，第8次不掉SSR，第9次进循环包</t>
  </si>
  <si>
    <t>2号包，SR保底包，只掉SR</t>
  </si>
  <si>
    <t>3号包，概率R~SSR，SSR也能正常出UP</t>
  </si>
  <si>
    <t>4号包，概率R~SSR，SSR也能正常出UP</t>
  </si>
  <si>
    <t>5号包，概率R~SR</t>
  </si>
  <si>
    <t>6号包，概率R~SR</t>
  </si>
  <si>
    <t>7号包，概率R~SR</t>
  </si>
  <si>
    <t>8号包，只出R</t>
  </si>
  <si>
    <t>9号包，只出R</t>
  </si>
  <si>
    <t>10号包，只出R</t>
  </si>
  <si>
    <t>单抽起始，直接用十连的2~9号包。1号包新配</t>
  </si>
  <si>
    <t>12%中UP，18%中普通SSR，70%中SR</t>
  </si>
  <si>
    <t>单UP池的UPSSR，在这里修改UP人物</t>
  </si>
  <si>
    <t>单UP池的普通SSR，在这里修改普通SSR人物</t>
  </si>
  <si>
    <t>真随机SSR的掉落包，在这里修改真随机中掉落UP的概率</t>
  </si>
  <si>
    <t>GroupArrays</t>
  </si>
  <si>
    <t>判断玩家所走路线</t>
  </si>
  <si>
    <t>路线1</t>
  </si>
  <si>
    <t>路线2</t>
  </si>
  <si>
    <t>路线1：35%概率直接掉落保底SSR包，65%概率进入2次SSR保底判断包</t>
  </si>
  <si>
    <t>路线1：第1次进入时必定掉SR，第2次进入必定SSR。65%概率第2次进</t>
  </si>
  <si>
    <t>路线2：35%概率直接掉落保底SSR包，65%概率进入2次SSR保底判断包</t>
  </si>
  <si>
    <t>路线2：第1次进入时必定掉SR，第2次进入必定SSR。65%概率第2次进</t>
  </si>
  <si>
    <t>路线1：第3次十连有概率出UP</t>
  </si>
  <si>
    <t>路线2：第3次十连有概率出UP</t>
  </si>
  <si>
    <t>路线1：4-7</t>
  </si>
  <si>
    <t>路线2：4-7</t>
  </si>
  <si>
    <t>0.1概率SSR</t>
  </si>
  <si>
    <t>0.2概率SSR</t>
  </si>
  <si>
    <t>0.4概率SSR</t>
  </si>
  <si>
    <t>0.3概率SSR,如前面未掉落SSR则此次保底</t>
  </si>
  <si>
    <t>0.3概率SSR</t>
  </si>
  <si>
    <t>0.1概率SSR,如前面未掉落SSR则此次保底</t>
  </si>
  <si>
    <t>成功掉落UP</t>
  </si>
  <si>
    <t>保底掉落UP</t>
  </si>
  <si>
    <t>路线1：第8次十连有概率出UP</t>
  </si>
  <si>
    <t>路线2：第8次十连有概率出UP</t>
  </si>
  <si>
    <t>生成1号循环包序列，1次循环中SSR概率是多少，就要多少组。在这里调整保底中SSR概率</t>
  </si>
  <si>
    <t>1号循环包，隔1次中SSR</t>
  </si>
  <si>
    <t>1号循环包，隔2次中SSR</t>
  </si>
  <si>
    <t>1号循环包，隔3次中SSR</t>
  </si>
  <si>
    <t>1号循环包，隔4次中SSR</t>
  </si>
  <si>
    <t>1号包，SSR路线。第1次进入VIP判断概率包，第2次进入保底判断包，第4次进入UP循环包</t>
  </si>
  <si>
    <t>第1次SSR掉落VIP判断，0~8VIP走1概率，9~11走2概率，12~走3概率</t>
  </si>
  <si>
    <t>保底判断包，第1次进入时掉落概率包，第2次进入时掉落UPSSR</t>
  </si>
  <si>
    <t>期望40%中UP。概率中UP，概率进保底判断包。保底判断包前1次进入时也有概率掉落up，所以在这里需要去除重复值。中保底包的权重固定1000（200出up，800不出），若直接中UP概率为a，则实际中UP的综合概率 = （a+200）/（a+1000）。这里算得a = 333</t>
  </si>
  <si>
    <t>期望36%中UP。概率中UP，概率进保底判断包。保底判断包前1次进入时也有概率掉落up，所以在这里需要去除重复值。中保底包的权重固定1000（200出up，800不出），若直接中UP概率为a，则实际中UP的综合概率 = （a+200）/（a+1000）。这里算得a = 250</t>
  </si>
  <si>
    <t>期望32%中UP。概率中UP，概率进保底判断包。保底判断包前1次进入时也有概率掉落up，所以在这里需要去除重复值。中保底包的权重固定1000（200出up，800不出），若直接中UP概率为a，则实际中UP的综合概率 = （a+200）/（a+1000）。这里算得a = 177</t>
  </si>
  <si>
    <t>第2次SSR掉落，正常概率包，20%UPSSR，80%普通SSR。权重总和必须为1000</t>
  </si>
  <si>
    <t>生成UP循环包序列，1次中UP概率是多少，就要有多少组，1次2组，2次的7组，3次的11组。在这里调整中UP的概率</t>
  </si>
  <si>
    <t>UP循环包，1次中有1个UP</t>
  </si>
  <si>
    <t>UP循环包，2次中有1个UP</t>
  </si>
  <si>
    <t>UP循环包，3次中有1个UP</t>
  </si>
  <si>
    <t xml:space="preserve">                                                                                                                                      </t>
    <phoneticPr fontId="11" type="noConversion"/>
  </si>
  <si>
    <t>[ZTXCun]</t>
  </si>
  <si>
    <t>[XLai]</t>
  </si>
  <si>
    <t>道具卡</t>
    <phoneticPr fontId="11" type="noConversion"/>
  </si>
  <si>
    <t>array</t>
    <phoneticPr fontId="11" type="noConversion"/>
  </si>
  <si>
    <t>ItemCard</t>
    <phoneticPr fontId="11" type="noConversion"/>
  </si>
  <si>
    <t>CS</t>
    <phoneticPr fontId="41" type="noConversion"/>
  </si>
  <si>
    <t>关卡胜利条件</t>
    <phoneticPr fontId="41" type="noConversion"/>
  </si>
  <si>
    <t>BlockBattle</t>
    <phoneticPr fontId="27" type="noConversion"/>
  </si>
  <si>
    <t>配置ID</t>
  </si>
  <si>
    <t>初始主角怒气</t>
  </si>
  <si>
    <t>初始英魂怒气</t>
  </si>
  <si>
    <t>主角怒气机制</t>
  </si>
  <si>
    <t>英魂怒气机制</t>
  </si>
  <si>
    <t>我方初始水晶机制</t>
  </si>
  <si>
    <t>敌方初始水晶机制</t>
  </si>
  <si>
    <t>水晶回复机制</t>
  </si>
  <si>
    <t>关卡水晶上限</t>
  </si>
  <si>
    <t>跳过时间</t>
  </si>
  <si>
    <t>友方英雄首刀保护</t>
  </si>
  <si>
    <t>敌方英雄首刀保护</t>
  </si>
  <si>
    <t>等待模式</t>
  </si>
  <si>
    <t>等待模式上限</t>
  </si>
  <si>
    <t>战斗模式</t>
  </si>
  <si>
    <t>战力压制机制</t>
  </si>
  <si>
    <t>友方英雄特殊被动</t>
  </si>
  <si>
    <t>敌方英雄特殊被动</t>
  </si>
  <si>
    <t>友方英雄特殊被动参数</t>
    <phoneticPr fontId="11" type="noConversion"/>
  </si>
  <si>
    <t>敌方英雄特殊被动参数</t>
    <phoneticPr fontId="11" type="noConversion"/>
  </si>
  <si>
    <t>MasterRageBase</t>
  </si>
  <si>
    <t>HeroRageBase</t>
  </si>
  <si>
    <t>MasterRageRules</t>
  </si>
  <si>
    <t>HeroRageRules</t>
  </si>
  <si>
    <t>EnergyBase</t>
  </si>
  <si>
    <t>EnemyEnergyBase</t>
  </si>
  <si>
    <t>StageEnergy</t>
  </si>
  <si>
    <t>Fight_StageEnergyMax</t>
  </si>
  <si>
    <t>SkipTime</t>
  </si>
  <si>
    <t>FriendFBReduction</t>
  </si>
  <si>
    <t>EnemyFBReduction</t>
  </si>
  <si>
    <t>WaitMode</t>
  </si>
  <si>
    <t>WaitModeLimit</t>
  </si>
  <si>
    <t>BattleMode</t>
  </si>
  <si>
    <t>CombatAdjust</t>
  </si>
  <si>
    <t>FriendSpecialPassive</t>
  </si>
  <si>
    <t>EnemySpecialPassive</t>
  </si>
  <si>
    <t>FriendSpecialPassiveParm</t>
    <phoneticPr fontId="11" type="noConversion"/>
  </si>
  <si>
    <t>EnemySpecialPassiveParm</t>
    <phoneticPr fontId="11" type="noConversion"/>
  </si>
  <si>
    <t>CHECK:[1,2,10]</t>
  </si>
  <si>
    <t>活动关卡机制</t>
  </si>
  <si>
    <t>{"a1":[10,800],"a2":60,"a3":0,"a4":6}</t>
  </si>
  <si>
    <t>{"pattern":"COVER","value":0}</t>
  </si>
  <si>
    <t>Skill_CombatDominating</t>
  </si>
  <si>
    <t>Model_LYXi</t>
  </si>
  <si>
    <t>善灵茗</t>
  </si>
  <si>
    <t>Hero_Normal_LYXi</t>
  </si>
  <si>
    <t>Hero_Proud_LYXi</t>
  </si>
  <si>
    <t>Hero_Unique_LYXi</t>
  </si>
  <si>
    <t>[Hero_PBattle_LYXi]</t>
  </si>
  <si>
    <t>Model_KMLa</t>
  </si>
  <si>
    <t>嘉米</t>
  </si>
  <si>
    <t>Hero_Normal_KMLa</t>
  </si>
  <si>
    <t>Hero_Proud_KMLa</t>
  </si>
  <si>
    <t>Hero_Unique_KMLa</t>
  </si>
  <si>
    <t>[LYXi]</t>
  </si>
  <si>
    <t>[KMLa]</t>
  </si>
  <si>
    <t>莫里亚蒂活动</t>
    <phoneticPr fontId="11" type="noConversion"/>
  </si>
  <si>
    <t>BlockMap_DuskAM01_Name</t>
  </si>
  <si>
    <t>BlockMap_DuskAM02_Name</t>
  </si>
  <si>
    <t>ActivityBlock_Dusk_DailyTask_1_Name</t>
  </si>
  <si>
    <t>ActivityBlock_Dusk_DailyTask_2_Name</t>
  </si>
  <si>
    <t>ActivityBlock_Dusk_DailyTask_3_Name</t>
  </si>
  <si>
    <t>ActivityBlock_Dusk_DailyTask_4_Name</t>
  </si>
  <si>
    <t>ActivityBlock_Dusk_DailyTask_5_Name</t>
  </si>
  <si>
    <t>ActivityBlock_Dusk_DailyTask_6_Name</t>
  </si>
  <si>
    <t>ActivityBlock_Dusk_DailyTask_1_Desc</t>
  </si>
  <si>
    <t>ActivityBlock_Dusk_DailyTask_2_Desc</t>
  </si>
  <si>
    <t>ActivityBlock_Dusk_DailyTask_3_Desc</t>
  </si>
  <si>
    <t>ActivityBlock_Dusk_DailyTask_4_Desc</t>
  </si>
  <si>
    <t>ActivityBlock_Dusk_DailyTask_5_Desc</t>
  </si>
  <si>
    <t>ActivityBlock_Dusk_DailyTask_6_Desc</t>
  </si>
  <si>
    <t>ActivityBlock_Dusk_Login_1_Name</t>
  </si>
  <si>
    <t>ActivityBlock_Dusk_Login_2_Name</t>
  </si>
  <si>
    <t>ActivityBlock_Dusk_Login_3_Name</t>
  </si>
  <si>
    <t>ActivityBlock_Dusk_Login_4_Name</t>
  </si>
  <si>
    <t>ActivityBlock_Dusk_Login_5_Name</t>
  </si>
  <si>
    <t>ActivityBlock_Dusk_Login_6_Name</t>
  </si>
  <si>
    <t>ActivityBlock_Dusk_Login_7_Name</t>
  </si>
  <si>
    <t>ActivityBlock_Dusk_Login_8_Name</t>
  </si>
  <si>
    <t>ActivityBlock_Dusk_Login_9_Name</t>
  </si>
  <si>
    <t>ActivityBlock_Dusk_Login_10_Name</t>
  </si>
  <si>
    <t>ActivityBlock_Dusk_AchieveMentTask_1_Name</t>
  </si>
  <si>
    <t>ActivityBlock_Dusk_AchieveMentTask_2_Name</t>
  </si>
  <si>
    <t>ActivityBlock_Dusk_AchieveMentTask_3_Name</t>
  </si>
  <si>
    <t>ActivityBlock_Dusk_AchieveMentTask_4_Name</t>
  </si>
  <si>
    <t>ActivityBlock_Dusk_AchieveMentTask_5_Name</t>
  </si>
  <si>
    <t>ActivityBlock_Dusk_AchieveMentTask_6_Name</t>
  </si>
  <si>
    <t>ActivityBlock_Dusk_AchieveMentTask_7_Name</t>
  </si>
  <si>
    <t>ActivityBlock_Dusk_AchieveMentTask_8_Name</t>
  </si>
  <si>
    <t>ActivityBlock_Dusk_AchieveMentTask_9_Name</t>
  </si>
  <si>
    <t>ActivityBlock_Dusk_AchieveMentTask_10_Name</t>
  </si>
  <si>
    <t>ActivityBlock_Dusk_AchieveMentTask_11_Name</t>
  </si>
  <si>
    <t>ActivityBlock_Dusk_AchieveMentTask_12_Name</t>
  </si>
  <si>
    <t>ActivityBlock_Dusk_AchieveMentTask_13_Name</t>
  </si>
  <si>
    <t>ActivityBlock_Dusk_AchieveMentTask_14_Name</t>
  </si>
  <si>
    <t>ActivityBlock_Dusk_AchieveMentTask_15_Name</t>
  </si>
  <si>
    <t>ActivityBlock_Dusk_AchieveMentTask_16_Name</t>
  </si>
  <si>
    <t>ActivityBlock_Dusk_AchieveMentTask_17_Name</t>
  </si>
  <si>
    <t>ActivityBlock_Dusk_AchieveMentTask_18_Name</t>
  </si>
  <si>
    <t>ActivityBlock_Dusk_AchieveMentTask_19_Name</t>
  </si>
  <si>
    <t>ActivityBlock_Dusk_AchieveMentTask_20_Name</t>
  </si>
  <si>
    <t>ActivityBlock_Dusk_AchieveMentTask_21_Name</t>
  </si>
  <si>
    <t>ActivityBlock_Dusk_AchieveMentTask_22_Name</t>
  </si>
  <si>
    <t>ActivityBlock_Dusk_AchieveMentTask_23_Name</t>
  </si>
  <si>
    <t>ActivityBlock_Dusk_AchieveMentTask_1_Desc</t>
  </si>
  <si>
    <t>ActivityBlock_Dusk_AchieveMentTask_2_Desc</t>
  </si>
  <si>
    <t>ActivityBlock_Dusk_AchieveMentTask_3_Desc</t>
  </si>
  <si>
    <t>ActivityBlock_Dusk_AchieveMentTask_4_Desc</t>
  </si>
  <si>
    <t>ActivityBlock_Dusk_AchieveMentTask_5_Desc</t>
  </si>
  <si>
    <t>ActivityBlock_Dusk_AchieveMentTask_6_Desc</t>
  </si>
  <si>
    <t>ActivityBlock_Dusk_AchieveMentTask_7_Desc</t>
  </si>
  <si>
    <t>ActivityBlock_Dusk_AchieveMentTask_8_Desc</t>
  </si>
  <si>
    <t>ActivityBlock_Dusk_AchieveMentTask_9_Desc</t>
  </si>
  <si>
    <t>ActivityBlock_Dusk_AchieveMentTask_10_Desc</t>
  </si>
  <si>
    <t>ActivityBlock_Dusk_AchieveMentTask_11_Desc</t>
  </si>
  <si>
    <t>ActivityBlock_Dusk_AchieveMentTask_12_Desc</t>
  </si>
  <si>
    <t>ActivityBlock_Dusk_AchieveMentTask_13_Desc</t>
  </si>
  <si>
    <t>ActivityBlock_Dusk_AchieveMentTask_14_Desc</t>
  </si>
  <si>
    <t>ActivityBlock_Dusk_AchieveMentTask_15_Desc</t>
  </si>
  <si>
    <t>ActivityBlock_Dusk_AchieveMentTask_16_Desc</t>
  </si>
  <si>
    <t>ActivityBlock_Dusk_AchieveMentTask_17_Desc</t>
  </si>
  <si>
    <t>ActivityBlock_Dusk_AchieveMentTask_18_Desc</t>
  </si>
  <si>
    <t>ActivityBlock_Dusk_AchieveMentTask_19_Desc</t>
  </si>
  <si>
    <t>ActivityBlock_Dusk_AchieveMentTask_20_Desc</t>
  </si>
  <si>
    <t>ActivityBlock_Dusk_AchieveMentTask_21_Desc</t>
  </si>
  <si>
    <t>ActivityBlock_Dusk_AchieveMentTask_22_Desc</t>
  </si>
  <si>
    <t>ActivityBlock_Dusk_AchieveMentTask_23_Desc</t>
  </si>
  <si>
    <t>BlockPoint_DuskS01M_Name</t>
  </si>
  <si>
    <t>BlockPoint_DuskS02M_Name</t>
  </si>
  <si>
    <t>BlockPoint_DuskS03M_Name</t>
  </si>
  <si>
    <t>BlockPoint_DuskS04M_Name</t>
  </si>
  <si>
    <t>BlockPoint_DuskS05M_Name</t>
  </si>
  <si>
    <t>BlockPoint_DuskS06M_Name</t>
  </si>
  <si>
    <t>BlockPoint_DuskS07M_Name</t>
  </si>
  <si>
    <t>BlockPoint_DuskS08M_Name</t>
  </si>
  <si>
    <t>BlockPoint_DuskS09M_Name</t>
  </si>
  <si>
    <t>BlockPoint_DuskS10M_Name</t>
  </si>
  <si>
    <t>BlockPoint_DuskS11M_Name</t>
  </si>
  <si>
    <t>BlockPoint_DuskS12M_Name</t>
  </si>
  <si>
    <t>BlockPoint_DuskS13M_Name</t>
  </si>
  <si>
    <t>BlockPoint_DuskS14M_Name</t>
  </si>
  <si>
    <t>BlockPoint_DuskS15M_Name</t>
  </si>
  <si>
    <t>BlockPoint_DuskS16M_Name</t>
  </si>
  <si>
    <t>BlockPoint_DuskS01N_Name</t>
  </si>
  <si>
    <t>BlockPoint_DuskS02N_Name</t>
  </si>
  <si>
    <t>BlockPoint_DuskS03N_Name</t>
  </si>
  <si>
    <t>BlockPoint_DuskS04N_Name</t>
  </si>
  <si>
    <t>BlockPoint_DuskS05N_Name</t>
  </si>
  <si>
    <t>BlockPoint_DuskS06N_Name</t>
  </si>
  <si>
    <t>BlockPoint_DuskS07N_Name</t>
  </si>
  <si>
    <t>BlockPoint_DuskS08N_Name</t>
  </si>
  <si>
    <t>BlockPoint_DuskS09N_Name</t>
  </si>
  <si>
    <t>BlockPoint_DuskS10N_Name</t>
  </si>
  <si>
    <t>BlockPoint_DuskS11N_Name</t>
  </si>
  <si>
    <t>BlockPoint_DuskS12N_Name</t>
  </si>
  <si>
    <t>BlockPoint_DuskS13N_Name</t>
  </si>
  <si>
    <t>BlockPoint_DuskS14N_Name</t>
  </si>
  <si>
    <t>BlockPoint_DuskS15N_Name</t>
  </si>
  <si>
    <t>BlockPoint_DuskS16N_Name</t>
  </si>
  <si>
    <t>BlockPoint_DuskS01H_Name</t>
  </si>
  <si>
    <t>BlockPoint_DuskS02H_Name</t>
  </si>
  <si>
    <t>BlockPoint_DuskS03H_Name</t>
  </si>
  <si>
    <t>BlockPoint_DuskS01M_BlockDesc</t>
  </si>
  <si>
    <t>BlockPoint_DuskS02M_BlockDesc</t>
  </si>
  <si>
    <t>BlockPoint_DuskS03M_BlockDesc</t>
  </si>
  <si>
    <t>BlockPoint_DuskS04M_BlockDesc</t>
  </si>
  <si>
    <t>BlockPoint_DuskS05M_BlockDesc</t>
  </si>
  <si>
    <t>BlockPoint_DuskS06M_BlockDesc</t>
  </si>
  <si>
    <t>BlockPoint_DuskS07M_BlockDesc</t>
  </si>
  <si>
    <t>BlockPoint_DuskS08M_BlockDesc</t>
  </si>
  <si>
    <t>BlockPoint_DuskS09M_BlockDesc</t>
  </si>
  <si>
    <t>BlockPoint_DuskS10M_BlockDesc</t>
  </si>
  <si>
    <t>BlockPoint_DuskS11M_BlockDesc</t>
  </si>
  <si>
    <t>BlockPoint_DuskS12M_BlockDesc</t>
  </si>
  <si>
    <t>BlockPoint_DuskS13M_BlockDesc</t>
  </si>
  <si>
    <t>BlockPoint_DuskS14M_BlockDesc</t>
  </si>
  <si>
    <t>BlockPoint_DuskS15M_BlockDesc</t>
  </si>
  <si>
    <t>BlockPoint_DuskS16M_BlockDesc</t>
  </si>
  <si>
    <t>BlockPoint_DuskS01N_BlockDesc</t>
  </si>
  <si>
    <t>BlockPoint_DuskS02N_BlockDesc</t>
  </si>
  <si>
    <t>BlockPoint_DuskS03N_BlockDesc</t>
  </si>
  <si>
    <t>BlockPoint_DuskS04N_BlockDesc</t>
  </si>
  <si>
    <t>BlockPoint_DuskS05N_BlockDesc</t>
  </si>
  <si>
    <t>BlockPoint_DuskS06N_BlockDesc</t>
  </si>
  <si>
    <t>BlockPoint_DuskS07N_BlockDesc</t>
  </si>
  <si>
    <t>BlockPoint_DuskS08N_BlockDesc</t>
  </si>
  <si>
    <t>BlockPoint_DuskS09N_BlockDesc</t>
  </si>
  <si>
    <t>BlockPoint_DuskS10N_BlockDesc</t>
  </si>
  <si>
    <t>BlockPoint_DuskS11N_BlockDesc</t>
  </si>
  <si>
    <t>BlockPoint_DuskS12N_BlockDesc</t>
  </si>
  <si>
    <t>BlockPoint_DuskS13N_BlockDesc</t>
  </si>
  <si>
    <t>BlockPoint_DuskS14N_BlockDesc</t>
  </si>
  <si>
    <t>BlockPoint_DuskS15N_BlockDesc</t>
  </si>
  <si>
    <t>BlockPoint_DuskS16N_BlockDesc</t>
  </si>
  <si>
    <t>BlockPoint_DuskS01H_BlockDesc</t>
  </si>
  <si>
    <t>BlockPoint_DuskS02H_BlockDesc</t>
  </si>
  <si>
    <t>BlockPoint_DuskS03H_BlockDesc</t>
  </si>
  <si>
    <t>Condi_DuskExchangeAchieve_Desc</t>
  </si>
  <si>
    <t>IM_Dusk_ExchangeItem</t>
  </si>
  <si>
    <t>Dusk_Scene02</t>
  </si>
  <si>
    <t>Dusk_Scene03</t>
  </si>
  <si>
    <t>Dusk_Scene04</t>
  </si>
  <si>
    <t>ActivityBlock_Dusk_Exchange_1</t>
  </si>
  <si>
    <t>[{"type":2,"code":"IM_Dusk_ExchangeItem","amount":5000}]</t>
  </si>
  <si>
    <t>Activity_Dusk_Exchange_1</t>
  </si>
  <si>
    <t>ActivityBlock_Dusk_Exchange_2</t>
  </si>
  <si>
    <t>Activity_Dusk_Exchange_2</t>
  </si>
  <si>
    <t>ActivityBlock_Dusk_Exchange_3</t>
  </si>
  <si>
    <t>[{"type":2,"code":"IM_Dusk_ExchangeItem","amount":3500}]</t>
  </si>
  <si>
    <t>Activity_Dusk_Exchange_3</t>
  </si>
  <si>
    <t>ActivityBlock_Dusk_Exchange_4</t>
  </si>
  <si>
    <t>Activity_Dusk_Exchange_4</t>
  </si>
  <si>
    <t>ActivityBlock_Dusk_Exchange_5</t>
  </si>
  <si>
    <t>[{"type":2,"code":"IM_Dusk_ExchangeItem","amount":3000}]</t>
  </si>
  <si>
    <t>Activity_Dusk_Exchange_5</t>
  </si>
  <si>
    <t>ActivityBlock_Dusk_Exchange_6</t>
  </si>
  <si>
    <t>Activity_Dusk_Exchange_6</t>
  </si>
  <si>
    <t>ActivityBlock_Dusk_Exchange_7</t>
  </si>
  <si>
    <t>[{"type":2,"code":"IM_Dusk_ExchangeItem","amount":2500}]</t>
  </si>
  <si>
    <t>Activity_Dusk_Exchange_7</t>
  </si>
  <si>
    <t>ActivityBlock_Dusk_Exchange_8</t>
  </si>
  <si>
    <t>[{"type":2,"code":"IM_Dusk_ExchangeItem","amount":800}]</t>
  </si>
  <si>
    <t>Activity_Dusk_Exchange_8</t>
  </si>
  <si>
    <t>ActivityBlock_Dusk_Exchange_9</t>
  </si>
  <si>
    <t>[{"type":2,"code":"IM_Dusk_ExchangeItem","amount":300}]</t>
  </si>
  <si>
    <t>Activity_Dusk_Exchange_9</t>
  </si>
  <si>
    <t>ActivityBlock_Dusk_Exchange_10</t>
  </si>
  <si>
    <t>[{"type":2,"code":"IM_Dusk_ExchangeItem","amount":200}]</t>
  </si>
  <si>
    <t>Activity_Dusk_Exchange_10</t>
  </si>
  <si>
    <t>ActivityBlock_Dusk_Exchange_11</t>
  </si>
  <si>
    <t>[{"type":2,"code":"IM_Dusk_ExchangeItem","amount":350}]</t>
  </si>
  <si>
    <t>Activity_Dusk_Exchange_11</t>
  </si>
  <si>
    <t>ActivityBlock_Dusk_Exchange_12</t>
  </si>
  <si>
    <t>Activity_Dusk_Exchange_12</t>
  </si>
  <si>
    <t>ActivityBlock_Dusk_Exchange_13</t>
  </si>
  <si>
    <t>Activity_Dusk_Exchange_13</t>
  </si>
  <si>
    <t>ActivityBlock_Dusk_Exchange_14</t>
  </si>
  <si>
    <t>[{"type":2,"code":"IM_Dusk_ExchangeItem","amount":20}]</t>
  </si>
  <si>
    <t>Activity_Dusk_Exchange_14</t>
  </si>
  <si>
    <t>ActivityBlock_Dusk_Exchange_15</t>
  </si>
  <si>
    <t>Activity_Dusk_Exchange_15</t>
  </si>
  <si>
    <t>ShowReward_Dusk_ABR</t>
  </si>
  <si>
    <t>[{"type":2,"code":"IM_Dusk_ExchangeItem","amount":1}]</t>
  </si>
  <si>
    <t>Dusk_Stamina_ExtraNormal_R</t>
  </si>
  <si>
    <t>[{"4":[{"type":9,"code":"Dusk_Stamina_R","repeat":1}]},{"1":[{"type":9,"code":"Dusk_Stamina_R","repeat":2}]}]</t>
  </si>
  <si>
    <t>Dusk_Stamina_ExtraMap_R</t>
  </si>
  <si>
    <t>[{"type":9,"code":"Dusk_Stamina_R","repeat":6}]</t>
  </si>
  <si>
    <t>Dusk_Stamina_ExtraSource_R</t>
  </si>
  <si>
    <t>[{"type":9,"code":"Dusk_Stamina_R","repeat":2}]</t>
  </si>
  <si>
    <t>Dusk_Stamina_R</t>
  </si>
  <si>
    <t>[{"1":[{"type":2,"code":"IR_DuskStamina","amount":1}]},{"401":[]}]</t>
  </si>
  <si>
    <t>Dusk_DailyTask_01_Reward</t>
  </si>
  <si>
    <t>[{"type":2,"code":"IM_Dusk_ExchangeItem","amount":100},{"type":2,"code":"IM_ExpUp3","amount":4}]</t>
  </si>
  <si>
    <t>Dusk_DailyTask_02_Reward</t>
  </si>
  <si>
    <t>[{"type":2,"code":"IM_Dusk_ExchangeItem","amount":100},{"type":2,"code":"IR_Gold","amount":20000}]</t>
  </si>
  <si>
    <t>Dusk_DailyTask_03_Reward</t>
  </si>
  <si>
    <t>Dusk_DailyTask_04_Reward</t>
  </si>
  <si>
    <t>[{"type":2,"code":"IM_Dusk_ExchangeItem","amount":100},{"type":2,"code":"IM_GiftBoxNormalShow","amount":2}]</t>
  </si>
  <si>
    <t>Dusk_DailyTask_05_Reward</t>
  </si>
  <si>
    <t>[{"type":2,"code":"IM_Dusk_ExchangeItem","amount":100},{"type":2,"code":"IR_Crystal","amount":20000}]</t>
  </si>
  <si>
    <t>Dusk_DailyTask_06_Reward</t>
  </si>
  <si>
    <t>[{"type":2,"code":"IM_Dusk_ExchangeItem","amount":100},{"type":2,"code":"IM_GiftBoxHighShow","amount":1}]</t>
  </si>
  <si>
    <t>Dusk_AchieveMentTask_001_Reward</t>
  </si>
  <si>
    <t>[{"type":2,"code":"IR_Diamond","amount":50},{"type":2,"code":"IM_Dusk_ExchangeItem","amount":100}]</t>
  </si>
  <si>
    <t>Dusk_AchieveMentTask_002_Reward</t>
  </si>
  <si>
    <t>Dusk_AchieveMentTask_003_Reward</t>
  </si>
  <si>
    <t>Dusk_AchieveMentTask_004_Reward</t>
  </si>
  <si>
    <t>Dusk_AchieveMentTask_005_Reward</t>
  </si>
  <si>
    <t>Dusk_AchieveMentTask_006_Reward</t>
  </si>
  <si>
    <t>Dusk_AchieveMentTask_007_Reward</t>
  </si>
  <si>
    <t>Dusk_AchieveMentTask_008_Reward</t>
  </si>
  <si>
    <t>Dusk_AchieveMentTask_009_Reward</t>
  </si>
  <si>
    <t>Dusk_AchieveMentTask_010_Reward</t>
  </si>
  <si>
    <t>Dusk_AchieveMentTask_011_Reward</t>
  </si>
  <si>
    <t>Dusk_AchieveMentTask_012_Reward</t>
  </si>
  <si>
    <t>Dusk_AchieveMentTask_013_Reward</t>
  </si>
  <si>
    <t>Dusk_AchieveMentTask_014_Reward</t>
  </si>
  <si>
    <t>Dusk_AchieveMentTask_015_Reward</t>
  </si>
  <si>
    <t>Dusk_AchieveMentTask_016_Reward</t>
  </si>
  <si>
    <t>Dusk_AchieveMentTask_017_Reward</t>
  </si>
  <si>
    <t>Dusk_AchieveMentTask_018_Reward</t>
  </si>
  <si>
    <t>Dusk_AchieveMentTask_019_Reward</t>
  </si>
  <si>
    <t>Dusk_AchieveMentTask_020_Reward</t>
  </si>
  <si>
    <t>Dusk_AchieveMentTask_021_Reward</t>
  </si>
  <si>
    <t>Dusk_AchieveMentTask_022_Reward</t>
  </si>
  <si>
    <t>Dusk_AchieveMentTask_023_Reward</t>
  </si>
  <si>
    <t>[{"type":6,"code":"Decoration_14002","amount":1},{"type":2,"code":"IM_Dusk_ExchangeItem","amount":500}]</t>
  </si>
  <si>
    <t>Dusk_Login_01_Reward</t>
  </si>
  <si>
    <t>Dusk_Login_02_Reward</t>
  </si>
  <si>
    <t>Dusk_Login_03_Reward</t>
  </si>
  <si>
    <t>Dusk_Login_04_Reward</t>
  </si>
  <si>
    <t>Dusk_Login_05_Reward</t>
  </si>
  <si>
    <t>Dusk_Login_06_Reward</t>
  </si>
  <si>
    <t>Dusk_Login_07_Reward</t>
  </si>
  <si>
    <t>Dusk_Login_08_Reward</t>
  </si>
  <si>
    <t>Dusk_Login_09_Reward</t>
  </si>
  <si>
    <t>Dusk_Login_10_Reward</t>
  </si>
  <si>
    <t>Dusk_DailyTask_01</t>
  </si>
  <si>
    <t>Dusk_DailyTask_02</t>
  </si>
  <si>
    <t>[{"conditionType":"Condi_winNewActStage","factor1":[10],"params":["ActivityBlock_Dusk_Map"]}]</t>
  </si>
  <si>
    <t>Dusk_DailyTask_03</t>
  </si>
  <si>
    <t>Dusk_DailyTask_04</t>
  </si>
  <si>
    <t>Dusk_DailyTask_05</t>
  </si>
  <si>
    <t>Dusk_DailyTask_06</t>
  </si>
  <si>
    <t>[{"conditionType":"Condi_FinishTask","factorStr1":["Dusk_DailyTask_01","Dusk_DailyTask_02","Dusk_DailyTask_03","Dusk_DailyTask_04","Dusk_DailyTask_05"],"factor1":[0]}]</t>
  </si>
  <si>
    <t>Dusk_AchieveMentTask_01</t>
  </si>
  <si>
    <t>[{"conditionType":"Condi_winNewActStage","factor1":[50],"params":["ActivityBlock_Dusk_Map"]}]</t>
  </si>
  <si>
    <t>Dusk_AchieveMentTask_02</t>
  </si>
  <si>
    <t>[{"conditionType":"Condi_winNewActStage","factor1":[100],"params":["ActivityBlock_Dusk_Map"]}]</t>
  </si>
  <si>
    <t>Dusk_AchieveMentTask_03</t>
  </si>
  <si>
    <t>[{"conditionType":"Condi_winNewActStage","factor1":[200],"params":["ActivityBlock_Dusk_Map"]}]</t>
  </si>
  <si>
    <t>Dusk_AchieveMentTask_04</t>
  </si>
  <si>
    <t>[{"conditionType":"Condi_winNewActStage","factor1":[300],"params":["ActivityBlock_Dusk_Map"]}]</t>
  </si>
  <si>
    <t>Dusk_AchieveMentTask_05</t>
  </si>
  <si>
    <t>[{"conditionType":"Condi_winNewActStage","factor1":[400],"params":["ActivityBlock_Dusk_Map"]}]</t>
  </si>
  <si>
    <t>Dusk_AchieveMentTask_06</t>
  </si>
  <si>
    <t>[{"conditionType":"Condi_DuskExchangeAchieve","factor1":[5000]}]</t>
  </si>
  <si>
    <t>Dusk_AchieveMentTask_07</t>
  </si>
  <si>
    <t>[{"conditionType":"Condi_DuskExchangeAchieve","factor1":[10000]}]</t>
  </si>
  <si>
    <t>Dusk_AchieveMentTask_08</t>
  </si>
  <si>
    <t>[{"conditionType":"Condi_DuskExchangeAchieve","factor1":[16000]}]</t>
  </si>
  <si>
    <t>Dusk_AchieveMentTask_09</t>
  </si>
  <si>
    <t>[{"conditionType":"Condi_DuskExchangeAchieve","factor1":[20000]}]</t>
  </si>
  <si>
    <t>Dusk_AchieveMentTask_10</t>
  </si>
  <si>
    <t>[{"conditionType":"Condi_DuskExchangeAchieve","factor1":[25000]}]</t>
  </si>
  <si>
    <t>Dusk_AchieveMentTask_11</t>
  </si>
  <si>
    <t>[{"conditionType":"Condi_Activity_Block","factor1":[1],"params":["ActivityBlock_Dusk","ActivityBlock_Dusk_Map","DuskM01","DuskSN05","DuskSN05M"]}]</t>
  </si>
  <si>
    <t>Dusk_AchieveMentTask_12</t>
  </si>
  <si>
    <t>[{"conditionType":"Condi_Activity_Block","factor1":[1],"params":["ActivityBlock_Dusk","ActivityBlock_Dusk_Map","DuskM01","DuskSN08","DuskSN08M"]}]</t>
  </si>
  <si>
    <t>Dusk_AchieveMentTask_13</t>
  </si>
  <si>
    <t>[{"conditionType":"Condi_Activity_Block","factor1":[1],"params":["ActivityBlock_Dusk","ActivityBlock_Dusk_Map","DuskM02","DuskSE04","DuskSE04M"]}]</t>
  </si>
  <si>
    <t>Dusk_AchieveMentTask_14</t>
  </si>
  <si>
    <t>[{"conditionType":"Condi_Activity_Block","factor1":[1],"params":["ActivityBlock_Dusk","ActivityBlock_Dusk_Map","DuskM02","DuskSE07","DuskSE07M"]}]</t>
  </si>
  <si>
    <t>Dusk_AchieveMentTask_15</t>
  </si>
  <si>
    <t>[{"conditionType":"Condi_Activity_Block","factor1":[1],"params":["ActivityBlock_Dusk","ActivityBlock_Dusk_Map","DuskM02","DuskSE08","DuskSE08M"]}]</t>
  </si>
  <si>
    <t>Dusk_AchieveMentTask_16</t>
  </si>
  <si>
    <t>[{"conditionType":"Condi_Activity_Block_Num","factor1":[3],"params":["ActivityBlock_Dusk_Map","ELITE"]}]</t>
  </si>
  <si>
    <t>Dusk_AchieveMentTask_17</t>
  </si>
  <si>
    <t>[{"conditionType":"Condi_Activity_Block_Num","factor1":[6],"params":["ActivityBlock_Dusk_Map","ELITE"]}]</t>
  </si>
  <si>
    <t>Dusk_AchieveMentTask_18</t>
  </si>
  <si>
    <t>[{"conditionType":"Condi_Activity_Block_Num","factor1":[8],"params":["ActivityBlock_Dusk_Map","ELITE"]}]</t>
  </si>
  <si>
    <t>Dusk_AchieveMentTask_19</t>
  </si>
  <si>
    <t>[{"conditionType":"Condi_Activity_Block_Num","factor1":[10],"params":["ActivityBlock_Dusk_Map","ELITE"]}]</t>
  </si>
  <si>
    <t>Dusk_AchieveMentTask_20</t>
  </si>
  <si>
    <t>[{"conditionType":"Condi_Activity_Block_Num","factor1":[12],"params":["ActivityBlock_Dusk_Map","ELITE"]}]</t>
  </si>
  <si>
    <t>Dusk_AchieveMentTask_21</t>
  </si>
  <si>
    <t>[{"conditionType":"Condi_Activity_Block_Num","factor1":[14],"params":["ActivityBlock_Dusk_Map","ELITE"]}]</t>
  </si>
  <si>
    <t>Dusk_AchieveMentTask_22</t>
  </si>
  <si>
    <t>[{"conditionType":"Condi_Activity_Block_Num","factor1":[16],"params":["ActivityBlock_Dusk_Map","ELITE"]}]</t>
  </si>
  <si>
    <t>Dusk_AchieveMentTask_23</t>
  </si>
  <si>
    <t>[{"conditionType":"Condi_FinishTask","factorStr1":["Dusk_AchieveMentTask_01","Dusk_AchieveMentTask_02","Dusk_AchieveMentTask_03","Dusk_AchieveMentTask_04","Dusk_AchieveMentTask_05","Dusk_AchieveMentTask_06","Dusk_AchieveMentTask_07","Dusk_AchieveMentTask_08","Dusk_AchieveMentTask_09","Dusk_AchieveMentTask_10","Dusk_AchieveMentTask_11","Dusk_AchieveMentTask_12","Dusk_AchieveMentTask_13","Dusk_AchieveMentTask_14"],"factor1":[0]}]</t>
  </si>
  <si>
    <t>Dusk_Login_01</t>
  </si>
  <si>
    <t>Dusk_Login_02</t>
  </si>
  <si>
    <t>Dusk_Login_03</t>
  </si>
  <si>
    <t>Dusk_Login_04</t>
  </si>
  <si>
    <t>Dusk_Login_05</t>
  </si>
  <si>
    <t>Dusk_Login_06</t>
  </si>
  <si>
    <t>Dusk_Login_07</t>
  </si>
  <si>
    <t>Dusk_Login_08</t>
  </si>
  <si>
    <t>Dusk_Login_09</t>
  </si>
  <si>
    <t>Dusk_Login_10</t>
  </si>
  <si>
    <t>Condi_DuskExchangeAchieve</t>
  </si>
  <si>
    <t>player.bag.items.IM_Dusk_ExchangeItem.count</t>
  </si>
  <si>
    <t>AcitvityDuskStamina_Reset</t>
  </si>
  <si>
    <t>DuskM01</t>
  </si>
  <si>
    <t>[DuskSN01,DuskSN02,DuskSN03,DuskSN04,DuskSN05,DuskSN06,DuskSN07,DuskSN08]</t>
  </si>
  <si>
    <t>DuskM02</t>
  </si>
  <si>
    <t>[DuskSE01,DuskSE02,DuskSE03,DuskSE04,DuskSE05,DuskSE06,DuskSE07,DuskSE08,DuskSE09,DuskSE10,DuskSE11]</t>
  </si>
  <si>
    <t>[DuskS02S01,DuskS02S02,DuskS02S03,DuskS02S04]</t>
  </si>
  <si>
    <t>DuskSN01</t>
  </si>
  <si>
    <t>[DuskSN01M,DuskSN01E]</t>
  </si>
  <si>
    <t>[DuskSN02]</t>
  </si>
  <si>
    <t>[DuskS01S01]</t>
  </si>
  <si>
    <t>DuskSN02</t>
  </si>
  <si>
    <t>[DuskSN02M,DuskSN02E]</t>
  </si>
  <si>
    <t>[DuskSN01]</t>
  </si>
  <si>
    <t>[DuskSN03]</t>
  </si>
  <si>
    <t>DuskSN03</t>
  </si>
  <si>
    <t>[DuskSN03M,DuskSN03E]</t>
  </si>
  <si>
    <t>[DuskSN04]</t>
  </si>
  <si>
    <t>[DuskS01S02]</t>
  </si>
  <si>
    <t>DuskSN04</t>
  </si>
  <si>
    <t>[DuskSN04M,DuskSN04E]</t>
  </si>
  <si>
    <t>[DuskSN05]</t>
  </si>
  <si>
    <t>DuskSN05</t>
  </si>
  <si>
    <t>[DuskSN05M,DuskSN05E]</t>
  </si>
  <si>
    <t>[DuskSN06]</t>
  </si>
  <si>
    <t>[DuskS01S03]</t>
  </si>
  <si>
    <t>DuskSN06</t>
  </si>
  <si>
    <t>[DuskSN06M,DuskSN06E]</t>
  </si>
  <si>
    <t>[DuskSN07]</t>
  </si>
  <si>
    <t>DuskSN07</t>
  </si>
  <si>
    <t>[DuskSN07M,DuskSN07E]</t>
  </si>
  <si>
    <t>[DuskSN08]</t>
  </si>
  <si>
    <t>[DuskS01S04]</t>
  </si>
  <si>
    <t>DuskSN08</t>
  </si>
  <si>
    <t>[DuskSN08M,DuskSN08E]</t>
  </si>
  <si>
    <t>DuskSE01</t>
  </si>
  <si>
    <t>[DuskSE01M,DuskSE01E]</t>
  </si>
  <si>
    <t>[DuskSE02]</t>
  </si>
  <si>
    <t>[DuskS02S01]</t>
  </si>
  <si>
    <t>DuskSE02</t>
  </si>
  <si>
    <t>[DuskSE02M,DuskSE02E]</t>
  </si>
  <si>
    <t>[DuskSE01]</t>
  </si>
  <si>
    <t>[DuskSE03]</t>
  </si>
  <si>
    <t>DuskSE03</t>
  </si>
  <si>
    <t>[DuskSE03M,DuskSE03E]</t>
  </si>
  <si>
    <t>[DuskSE04]</t>
  </si>
  <si>
    <t>[DuskS02S02]</t>
  </si>
  <si>
    <t>DuskSE04</t>
  </si>
  <si>
    <t>[DuskSE04M,DuskSE04E]</t>
  </si>
  <si>
    <t>[DuskSE05]</t>
  </si>
  <si>
    <t>DuskSE05</t>
  </si>
  <si>
    <t>[DuskSE05M,DuskSE05E]</t>
  </si>
  <si>
    <t>[DuskSE06]</t>
  </si>
  <si>
    <t>[DuskS02S03]</t>
  </si>
  <si>
    <t>DuskSE06</t>
  </si>
  <si>
    <t>[DuskSE06M,DuskSE06E]</t>
  </si>
  <si>
    <t>[DuskSE07]</t>
  </si>
  <si>
    <t>DuskSE07</t>
  </si>
  <si>
    <t>[DuskSE07M,DuskSE07E]</t>
  </si>
  <si>
    <t>[DuskSE08]</t>
  </si>
  <si>
    <t>[DuskS02S04]</t>
  </si>
  <si>
    <t>DuskSE08</t>
  </si>
  <si>
    <t>[DuskSE08M,DuskSE08E]</t>
  </si>
  <si>
    <t>[DuskSE09]</t>
  </si>
  <si>
    <t>DuskSE09</t>
  </si>
  <si>
    <t>[DuskSH01M]</t>
  </si>
  <si>
    <t>[DuskSE10]</t>
  </si>
  <si>
    <t>DuskSE10</t>
  </si>
  <si>
    <t>[DuskSH02M]</t>
  </si>
  <si>
    <t>[DuskSE11]</t>
  </si>
  <si>
    <t>DuskSE11</t>
  </si>
  <si>
    <t>[DuskSH03M]</t>
  </si>
  <si>
    <t>DuskSN01M</t>
  </si>
  <si>
    <t>[DuskSN02M]</t>
  </si>
  <si>
    <t>DuskM01P01U01N08</t>
  </si>
  <si>
    <t>CardDuskSN01M</t>
  </si>
  <si>
    <t>DuskSN01M_FirstReward</t>
  </si>
  <si>
    <t>DuskSN01M_PointReward</t>
  </si>
  <si>
    <t>DuskSN01M_ShowReward</t>
  </si>
  <si>
    <t>{"IR_DuskStamina":6}</t>
  </si>
  <si>
    <t>LevelLimit_Dusk</t>
  </si>
  <si>
    <t>DuskSN02M</t>
  </si>
  <si>
    <t>[DuskSN03M]</t>
  </si>
  <si>
    <t>DuskM01P02U01N08</t>
  </si>
  <si>
    <t>CardDuskSN02M</t>
  </si>
  <si>
    <t>DuskSN02M_FirstReward</t>
  </si>
  <si>
    <t>DuskSN02M_PointReward</t>
  </si>
  <si>
    <t>DuskSN02M_ShowReward</t>
  </si>
  <si>
    <t>DuskSN03M</t>
  </si>
  <si>
    <t>[DuskSN04M]</t>
  </si>
  <si>
    <t>DuskM01P03U01N08</t>
  </si>
  <si>
    <t>CardDuskSN03M</t>
  </si>
  <si>
    <t>DuskSN03M_FirstReward</t>
  </si>
  <si>
    <t>DuskSN03M_PointReward</t>
  </si>
  <si>
    <t>DuskSN03M_ShowReward</t>
  </si>
  <si>
    <t>DuskSN04M</t>
  </si>
  <si>
    <t>[DuskSN05M]</t>
  </si>
  <si>
    <t>DuskM01P04U01N08</t>
  </si>
  <si>
    <t>CardDuskSN04M</t>
  </si>
  <si>
    <t>DuskSN04M_FirstReward</t>
  </si>
  <si>
    <t>DuskSN04M_PointReward</t>
  </si>
  <si>
    <t>DuskSN04M_ShowReward</t>
  </si>
  <si>
    <t>DuskSN05M</t>
  </si>
  <si>
    <t>[DuskSN06M]</t>
  </si>
  <si>
    <t>DuskM01P05U01N08</t>
  </si>
  <si>
    <t>CardDuskSN05M</t>
  </si>
  <si>
    <t>DuskSN05M_FirstReward</t>
  </si>
  <si>
    <t>DuskSN05M_PointReward</t>
  </si>
  <si>
    <t>DuskSN05M_ShowReward</t>
  </si>
  <si>
    <t>DuskSN06M</t>
  </si>
  <si>
    <t>DuskM01P06U01N08</t>
  </si>
  <si>
    <t>CardDuskSN06M</t>
  </si>
  <si>
    <t>DuskSN07M</t>
  </si>
  <si>
    <t>[DuskSN08M]</t>
  </si>
  <si>
    <t>DuskM01P07U01N08</t>
  </si>
  <si>
    <t>CardDuskSN07M</t>
  </si>
  <si>
    <t>DuskSN07M_FirstReward</t>
  </si>
  <si>
    <t>DuskSN07M_PointReward</t>
  </si>
  <si>
    <t>DuskSN07M_ShowReward</t>
  </si>
  <si>
    <t>DuskSN08M</t>
  </si>
  <si>
    <t>DuskM01P08U01N08</t>
  </si>
  <si>
    <t>CardDuskSN08M</t>
  </si>
  <si>
    <t>DuskSN08M_FirstReward</t>
  </si>
  <si>
    <t>DuskSN08M_PointReward</t>
  </si>
  <si>
    <t>DuskSN08M_ShowReward</t>
  </si>
  <si>
    <t>DuskSE01M</t>
  </si>
  <si>
    <t>[DuskSE02M]</t>
  </si>
  <si>
    <t>DuskM02P01U01N08</t>
  </si>
  <si>
    <t>CardDuskSE01M</t>
  </si>
  <si>
    <t>DuskSE01M_FirstReward</t>
  </si>
  <si>
    <t>DuskSE01M_PointReward</t>
  </si>
  <si>
    <t>DuskSE01M_ShowReward</t>
  </si>
  <si>
    <t>{"IR_DuskStamina":12}</t>
  </si>
  <si>
    <t>DuskSE02M</t>
  </si>
  <si>
    <t>[DuskSE03M]</t>
  </si>
  <si>
    <t>DuskM02P02U01N08</t>
  </si>
  <si>
    <t>CardDuskSE02M</t>
  </si>
  <si>
    <t>DuskSE02M_FirstReward</t>
  </si>
  <si>
    <t>DuskSE02M_PointReward</t>
  </si>
  <si>
    <t>DuskSE02M_ShowReward</t>
  </si>
  <si>
    <t>DuskSE03M</t>
  </si>
  <si>
    <t>[DuskSE04M]</t>
  </si>
  <si>
    <t>DuskM02P03U01N08</t>
  </si>
  <si>
    <t>CardDuskSE03M</t>
  </si>
  <si>
    <t>DuskSE03M_FirstReward</t>
  </si>
  <si>
    <t>DuskSE03M_PointReward</t>
  </si>
  <si>
    <t>DuskSE03M_ShowReward</t>
  </si>
  <si>
    <t>DuskSE04M</t>
  </si>
  <si>
    <t>[DuskSE05M]</t>
  </si>
  <si>
    <t>DuskM02P04U01N08</t>
  </si>
  <si>
    <t>CardDuskSE04M</t>
  </si>
  <si>
    <t>DuskSE04M_FirstReward</t>
  </si>
  <si>
    <t>DuskSE04M_PointReward</t>
  </si>
  <si>
    <t>DuskSE04M_ShowReward</t>
  </si>
  <si>
    <t>DuskSE05M</t>
  </si>
  <si>
    <t>[DuskSE06M]</t>
  </si>
  <si>
    <t>DuskM02P05U01N08</t>
  </si>
  <si>
    <t>CardDuskSE05M</t>
  </si>
  <si>
    <t>DuskSE05M_FirstReward</t>
  </si>
  <si>
    <t>DuskSE05M_PointReward</t>
  </si>
  <si>
    <t>DuskSE05M_ShowReward</t>
  </si>
  <si>
    <t>DuskSE06M</t>
  </si>
  <si>
    <t>[DuskSE07M]</t>
  </si>
  <si>
    <t>DuskM02P06U01N08</t>
  </si>
  <si>
    <t>CardDuskSE06M</t>
  </si>
  <si>
    <t>DuskSE06M_FirstReward</t>
  </si>
  <si>
    <t>DuskSE06M_PointReward</t>
  </si>
  <si>
    <t>DuskSE06M_ShowReward</t>
  </si>
  <si>
    <t>DuskSE07M</t>
  </si>
  <si>
    <t>[DuskSE08M]</t>
  </si>
  <si>
    <t>DuskM02P07U01N08</t>
  </si>
  <si>
    <t>CardDuskSE07M</t>
  </si>
  <si>
    <t>DuskSE07M_FirstReward</t>
  </si>
  <si>
    <t>DuskSE07M_PointReward</t>
  </si>
  <si>
    <t>DuskSE07M_ShowReward</t>
  </si>
  <si>
    <t>DuskSE08M</t>
  </si>
  <si>
    <t>DuskM02P08U01N08</t>
  </si>
  <si>
    <t>CardDuskSE08M</t>
  </si>
  <si>
    <t>DuskSE08M_FirstReward</t>
  </si>
  <si>
    <t>DuskSE08M_PointReward</t>
  </si>
  <si>
    <t>DuskSE08M_ShowReward</t>
  </si>
  <si>
    <t>DuskSN01E</t>
  </si>
  <si>
    <t>{"LEVEL":1,"Pass":"DuskSN01M"}</t>
  </si>
  <si>
    <t>DuskE01P01U01N08</t>
  </si>
  <si>
    <t>CardDuskSN01E</t>
  </si>
  <si>
    <t>DuskSN01E_FirstReward</t>
  </si>
  <si>
    <t>DuskSN01E_PointReward</t>
  </si>
  <si>
    <t>DuskSN01E_ShowReward</t>
  </si>
  <si>
    <t>DuskSN02E</t>
  </si>
  <si>
    <t>{"LEVEL":1,"Pass":"DuskSN02M"}</t>
  </si>
  <si>
    <t>DuskE01P02U01N08</t>
  </si>
  <si>
    <t>CardDuskSN02E</t>
  </si>
  <si>
    <t>DuskSN02E_FirstReward</t>
  </si>
  <si>
    <t>DuskSN02E_PointReward</t>
  </si>
  <si>
    <t>DuskSN02E_ShowReward</t>
  </si>
  <si>
    <t>DuskSN03E</t>
  </si>
  <si>
    <t>{"LEVEL":1,"Pass":"DuskSN03M"}</t>
  </si>
  <si>
    <t>DuskE01P03U01N08</t>
  </si>
  <si>
    <t>CardDuskSN03E</t>
  </si>
  <si>
    <t>DuskSN03E_FirstReward</t>
  </si>
  <si>
    <t>DuskSN03E_PointReward</t>
  </si>
  <si>
    <t>DuskSN03E_ShowReward</t>
  </si>
  <si>
    <t>DuskSN04E</t>
  </si>
  <si>
    <t>{"LEVEL":1,"Pass":"DuskSN04M"}</t>
  </si>
  <si>
    <t>DuskE01P04U01N08</t>
  </si>
  <si>
    <t>CardDuskSN04E</t>
  </si>
  <si>
    <t>DuskSN04E_FirstReward</t>
  </si>
  <si>
    <t>DuskSN04E_PointReward</t>
  </si>
  <si>
    <t>DuskSN04E_ShowReward</t>
  </si>
  <si>
    <t>DuskSN05E</t>
  </si>
  <si>
    <t>{"LEVEL":1,"Pass":"DuskSN05M"}</t>
  </si>
  <si>
    <t>DuskE01P05U01N08</t>
  </si>
  <si>
    <t>CardDuskSN05E</t>
  </si>
  <si>
    <t>DuskSN05E_FirstReward</t>
  </si>
  <si>
    <t>DuskSN05E_PointReward</t>
  </si>
  <si>
    <t>DuskSN05E_ShowReward</t>
  </si>
  <si>
    <t>DuskSN06E</t>
  </si>
  <si>
    <t>{"LEVEL":1,"Pass":"DuskSN06M"}</t>
  </si>
  <si>
    <t>DuskE01P06U01N08</t>
  </si>
  <si>
    <t>CardDuskSN06E</t>
  </si>
  <si>
    <t>DuskSN06E_FirstReward</t>
  </si>
  <si>
    <t>DuskSN06E_PointReward</t>
  </si>
  <si>
    <t>DuskSN06E_ShowReward</t>
  </si>
  <si>
    <t>DuskSN07E</t>
  </si>
  <si>
    <t>{"LEVEL":1,"Pass":"DuskSN07M"}</t>
  </si>
  <si>
    <t>DuskE01P07U01N08</t>
  </si>
  <si>
    <t>CardDuskSN07E</t>
  </si>
  <si>
    <t>DuskSN07E_FirstReward</t>
  </si>
  <si>
    <t>DuskSN07E_PointReward</t>
  </si>
  <si>
    <t>DuskSN07E_ShowReward</t>
  </si>
  <si>
    <t>DuskSN08E</t>
  </si>
  <si>
    <t>{"LEVEL":1,"Pass":"DuskSN08M"}</t>
  </si>
  <si>
    <t>DuskE01P08U01N08</t>
  </si>
  <si>
    <t>CardDuskSN08E</t>
  </si>
  <si>
    <t>DuskSN08E_FirstReward</t>
  </si>
  <si>
    <t>DuskSN08E_PointReward</t>
  </si>
  <si>
    <t>DuskSN08E_ShowReward</t>
  </si>
  <si>
    <t>DuskSE01E</t>
  </si>
  <si>
    <t>{"LEVEL":1,"Pass":"DuskSE01M"}</t>
  </si>
  <si>
    <t>DuskE02P01U01N08</t>
  </si>
  <si>
    <t>CardDuskSE01E</t>
  </si>
  <si>
    <t>DuskSE01E_FirstReward</t>
  </si>
  <si>
    <t>DuskSE01E_PointReward</t>
  </si>
  <si>
    <t>DuskSE01E_ShowReward</t>
  </si>
  <si>
    <t>{"IR_DuskStamina":20}</t>
  </si>
  <si>
    <t>DuskSE02E</t>
  </si>
  <si>
    <t>{"LEVEL":1,"Pass":"DuskSE02M"}</t>
  </si>
  <si>
    <t>DuskE02P02U01N08</t>
  </si>
  <si>
    <t>CardDuskSE02E</t>
  </si>
  <si>
    <t>DuskSE02E_FirstReward</t>
  </si>
  <si>
    <t>DuskSE02E_PointReward</t>
  </si>
  <si>
    <t>DuskSE02E_ShowReward</t>
  </si>
  <si>
    <t>DuskSE03E</t>
  </si>
  <si>
    <t>{"LEVEL":1,"Pass":"DuskSE03M"}</t>
  </si>
  <si>
    <t>DuskE02P03U01N08</t>
  </si>
  <si>
    <t>CardDuskSE03E</t>
  </si>
  <si>
    <t>DuskSE03E_FirstReward</t>
  </si>
  <si>
    <t>DuskSE03E_PointReward</t>
  </si>
  <si>
    <t>DuskSE03E_ShowReward</t>
  </si>
  <si>
    <t>DuskSE04E</t>
  </si>
  <si>
    <t>{"LEVEL":1,"Pass":"DuskSE04M"}</t>
  </si>
  <si>
    <t>DuskE02P04U01N08</t>
  </si>
  <si>
    <t>CardDuskSE04E</t>
  </si>
  <si>
    <t>DuskSE04E_FirstReward</t>
  </si>
  <si>
    <t>DuskSE04E_PointReward</t>
  </si>
  <si>
    <t>DuskSE04E_ShowReward</t>
  </si>
  <si>
    <t>DuskSE05E</t>
  </si>
  <si>
    <t>{"LEVEL":1,"Pass":"DuskSE05M"}</t>
  </si>
  <si>
    <t>DuskE02P05U01N08</t>
  </si>
  <si>
    <t>CardDuskSE05E</t>
  </si>
  <si>
    <t>DuskSE05E_FirstReward</t>
  </si>
  <si>
    <t>DuskSE05E_PointReward</t>
  </si>
  <si>
    <t>DuskSE05E_ShowReward</t>
  </si>
  <si>
    <t>DuskSE06E</t>
  </si>
  <si>
    <t>{"LEVEL":1,"Pass":"DuskSE06M"}</t>
  </si>
  <si>
    <t>DuskE02P06U01N08</t>
  </si>
  <si>
    <t>CardDuskSE06E</t>
  </si>
  <si>
    <t>DuskSE06E_FirstReward</t>
  </si>
  <si>
    <t>DuskSE06E_PointReward</t>
  </si>
  <si>
    <t>DuskSE06E_ShowReward</t>
  </si>
  <si>
    <t>DuskSE07E</t>
  </si>
  <si>
    <t>{"LEVEL":1,"Pass":"DuskSE07M"}</t>
  </si>
  <si>
    <t>DuskE02P07U01N08</t>
  </si>
  <si>
    <t>CardDuskSE07E</t>
  </si>
  <si>
    <t>DuskSE07E_FirstReward</t>
  </si>
  <si>
    <t>DuskSE07E_PointReward</t>
  </si>
  <si>
    <t>DuskSE07E_ShowReward</t>
  </si>
  <si>
    <t>DuskSE08E</t>
  </si>
  <si>
    <t>{"LEVEL":1,"Pass":"DuskSE08M"}</t>
  </si>
  <si>
    <t>DuskE02P08U01N08</t>
  </si>
  <si>
    <t>CardDuskSE08E</t>
  </si>
  <si>
    <t>DuskSE08E_FirstReward</t>
  </si>
  <si>
    <t>DuskSE08E_PointReward</t>
  </si>
  <si>
    <t>DuskSE08E_ShowReward</t>
  </si>
  <si>
    <t>DuskSH01M</t>
  </si>
  <si>
    <t>DuskH01P01U01N08</t>
  </si>
  <si>
    <t>CardDuskSH01M</t>
  </si>
  <si>
    <t>DuskSH01M_FirstReward</t>
  </si>
  <si>
    <t>DuskSH01M_PointReward</t>
  </si>
  <si>
    <t>DuskSH01M_ShowReward</t>
  </si>
  <si>
    <t>DuskSH02M</t>
  </si>
  <si>
    <t>DuskH01P02U01N08</t>
  </si>
  <si>
    <t>CardDuskSH02M</t>
  </si>
  <si>
    <t>DuskSH02M_FirstReward</t>
  </si>
  <si>
    <t>DuskSH02M_PointReward</t>
  </si>
  <si>
    <t>DuskSH02M_ShowReward</t>
  </si>
  <si>
    <t>DuskSH03M</t>
  </si>
  <si>
    <t>DuskH01P03U01N08</t>
  </si>
  <si>
    <t>CardDuskSH03M</t>
  </si>
  <si>
    <t>DuskSH03M_FirstReward</t>
  </si>
  <si>
    <t>DuskSH03M_PointReward</t>
  </si>
  <si>
    <t>DuskSH03M_ShowReward</t>
  </si>
  <si>
    <t>DuskS01S01</t>
  </si>
  <si>
    <t>DuskS01S01_Reward</t>
  </si>
  <si>
    <t>DuskS01S02_Reward</t>
  </si>
  <si>
    <t>DuskS01S03</t>
  </si>
  <si>
    <t>DuskS01S03_Reward</t>
  </si>
  <si>
    <t>DuskS01S04</t>
  </si>
  <si>
    <t>DuskS01S04_Reward</t>
  </si>
  <si>
    <t>DuskS02S01</t>
  </si>
  <si>
    <t>DuskS02S02</t>
  </si>
  <si>
    <t>DuskS02S03</t>
  </si>
  <si>
    <t>DuskS02S04</t>
  </si>
  <si>
    <t>DuskM01P01U01N02</t>
  </si>
  <si>
    <t>AI_DuskM01P01U01N02</t>
  </si>
  <si>
    <t>DuskM01P02U03N05</t>
  </si>
  <si>
    <t>AI_DuskM01P02U03N05</t>
  </si>
  <si>
    <t>DuskM01P02U03N06</t>
  </si>
  <si>
    <t>AI_DuskM01P02U03N06</t>
  </si>
  <si>
    <t>DuskM01P03U01N04</t>
  </si>
  <si>
    <t>AI_DuskM01P03U01N04</t>
  </si>
  <si>
    <t>DuskM01P03U01N05</t>
  </si>
  <si>
    <t>AI_DuskM01P03U01N05</t>
  </si>
  <si>
    <t>DuskM01P03U01N06</t>
  </si>
  <si>
    <t>AI_DuskM01P03U01N06</t>
  </si>
  <si>
    <t>DuskM01P03U02N05</t>
  </si>
  <si>
    <t>AI_DuskM01P03U02N05</t>
  </si>
  <si>
    <t>DuskM01P03U03N05</t>
  </si>
  <si>
    <t>AI_DuskM01P03U03N05</t>
  </si>
  <si>
    <t>AI_DuskM01P03proN05</t>
  </si>
  <si>
    <t>[DuskM01P03proN05]</t>
  </si>
  <si>
    <t>DuskM01P04U01N05</t>
  </si>
  <si>
    <t>AI_DuskM01P04U01N05</t>
  </si>
  <si>
    <t>DuskM01P04U02N07</t>
  </si>
  <si>
    <t>AI_DuskM01P04U02N07</t>
  </si>
  <si>
    <t>DuskM01P04U02N09</t>
  </si>
  <si>
    <t>AI_DuskM01P04U02N09</t>
  </si>
  <si>
    <t>DuskM01P04U03N04</t>
  </si>
  <si>
    <t>AI_DuskM01P04U03N04</t>
  </si>
  <si>
    <t>DuskM01P04U03N05</t>
  </si>
  <si>
    <t>AI_DuskM01P04U03N05</t>
  </si>
  <si>
    <t>DuskM01P04U03N09</t>
  </si>
  <si>
    <t>AI_DuskM01P04U03N09</t>
  </si>
  <si>
    <t>DuskM01P04proN05</t>
  </si>
  <si>
    <t>AI_DuskM01P04proN05</t>
  </si>
  <si>
    <t>[DuskM01P04proN05]</t>
  </si>
  <si>
    <t>DuskM01P05U01N02</t>
  </si>
  <si>
    <t>AI_DuskM01P05U01N02</t>
  </si>
  <si>
    <t>DuskM01P05U01N04</t>
  </si>
  <si>
    <t>AI_DuskM01P05U01N04</t>
  </si>
  <si>
    <t>DuskM01P05U03N04</t>
  </si>
  <si>
    <t>AI_DuskM01P05U03N04</t>
  </si>
  <si>
    <t>DuskM01P05U03N05</t>
  </si>
  <si>
    <t>AI_DuskM01P05U03N05</t>
  </si>
  <si>
    <t>DuskM01P05U03N06</t>
  </si>
  <si>
    <t>AI_DuskM01P05U03N06</t>
  </si>
  <si>
    <t>DuskM01P06U01N05</t>
  </si>
  <si>
    <t>AI_DuskM01P06U01N05</t>
  </si>
  <si>
    <t>DuskM01P06U02N02</t>
  </si>
  <si>
    <t>AI_DuskM01P06U02N02</t>
  </si>
  <si>
    <t>DuskM01P06U02N09</t>
  </si>
  <si>
    <t>AI_DuskM01P06U02N09</t>
  </si>
  <si>
    <t>DuskM01P06U03N05</t>
  </si>
  <si>
    <t>AI_DuskM01P06U03N05</t>
  </si>
  <si>
    <t>DuskM01P06U03N06</t>
  </si>
  <si>
    <t>AI_DuskM01P06U03N06</t>
  </si>
  <si>
    <t>DuskM01P07U01N05</t>
  </si>
  <si>
    <t>AI_DuskM01P07U01N05</t>
  </si>
  <si>
    <t>DuskM01P07U02N02</t>
  </si>
  <si>
    <t>AI_DuskM01P07U02N02</t>
  </si>
  <si>
    <t>DuskM01P07U02N06</t>
  </si>
  <si>
    <t>AI_DuskM01P07U02N06</t>
  </si>
  <si>
    <t>DuskM01P07U03N04</t>
  </si>
  <si>
    <t>AI_DuskM01P07U03N04</t>
  </si>
  <si>
    <t>DuskM01P08U01N02</t>
  </si>
  <si>
    <t>AI_DuskM01P08U01N02</t>
  </si>
  <si>
    <t>DuskM01P08U01N05</t>
  </si>
  <si>
    <t>AI_DuskM01P08U01N05</t>
  </si>
  <si>
    <t>DuskM01P08U02N04</t>
  </si>
  <si>
    <t>AI_DuskM01P08U02N04</t>
  </si>
  <si>
    <t>DuskM01P08U02N05</t>
  </si>
  <si>
    <t>AI_DuskM01P08U02N05</t>
  </si>
  <si>
    <t>DuskM01P08U03N04</t>
  </si>
  <si>
    <t>AI_DuskM01P08U03N04</t>
  </si>
  <si>
    <t>DuskM01P08U03N06</t>
  </si>
  <si>
    <t>AI_DuskM01P08U03N06</t>
  </si>
  <si>
    <t>DuskM02P01U01N02</t>
  </si>
  <si>
    <t>AI_DuskM02P01U01N02</t>
  </si>
  <si>
    <t>DuskM02P02U01N02</t>
  </si>
  <si>
    <t>AI_DuskM02P02U01N02</t>
  </si>
  <si>
    <t>DuskM02P02U01N05</t>
  </si>
  <si>
    <t>AI_DuskM02P02U01N05</t>
  </si>
  <si>
    <t>DuskM02P02U02N01</t>
  </si>
  <si>
    <t>AI_DuskM02P02U02N01</t>
  </si>
  <si>
    <t>DuskM02P02U02N02</t>
  </si>
  <si>
    <t>AI_DuskM02P02U02N02</t>
  </si>
  <si>
    <t>DuskM02P02U02N03</t>
  </si>
  <si>
    <t>AI_DuskM02P02U02N03</t>
  </si>
  <si>
    <t>DuskM02P03U01N04</t>
  </si>
  <si>
    <t>AI_DuskM02P03U01N04</t>
  </si>
  <si>
    <t>DuskM02P03U01N05</t>
  </si>
  <si>
    <t>AI_DuskM02P03U01N05</t>
  </si>
  <si>
    <t>DuskM02P03U01N06</t>
  </si>
  <si>
    <t>AI_DuskM02P03U01N06</t>
  </si>
  <si>
    <t>DuskM02P03U02N02</t>
  </si>
  <si>
    <t>AI_DuskM02P03U02N02</t>
  </si>
  <si>
    <t>DuskM02P03U02N04</t>
  </si>
  <si>
    <t>AI_DuskM02P03U02N04</t>
  </si>
  <si>
    <t>DuskM02P03U03N01</t>
  </si>
  <si>
    <t>AI_DuskM02P03U03N01</t>
  </si>
  <si>
    <t>DuskM02P03U03N02</t>
  </si>
  <si>
    <t>AI_DuskM02P03U03N02</t>
  </si>
  <si>
    <t>DuskM02P03U03N03</t>
  </si>
  <si>
    <t>AI_DuskM02P03U03N03</t>
  </si>
  <si>
    <t>DuskM02P04U01N05</t>
  </si>
  <si>
    <t>AI_DuskM02P04U01N05</t>
  </si>
  <si>
    <t>DuskM02P04U02N02</t>
  </si>
  <si>
    <t>AI_DuskM02P04U02N02</t>
  </si>
  <si>
    <t>DuskM02P04U02N09</t>
  </si>
  <si>
    <t>AI_DuskM02P04U02N09</t>
  </si>
  <si>
    <t>DuskM02P04U03N03</t>
  </si>
  <si>
    <t>AI_DuskM02P04U03N03</t>
  </si>
  <si>
    <t>DuskM02P04U03N05</t>
  </si>
  <si>
    <t>AI_DuskM02P04U03N05</t>
  </si>
  <si>
    <t>DuskM02P05U03N02</t>
  </si>
  <si>
    <t>AI_DuskM02P05U03N02</t>
  </si>
  <si>
    <t>DuskM02P05U03N09</t>
  </si>
  <si>
    <t>AI_DuskM02P05U03N09</t>
  </si>
  <si>
    <t>DuskM02P06U01N09</t>
  </si>
  <si>
    <t>AI_DuskM02P06U01N09</t>
  </si>
  <si>
    <t>DuskM02P06U02N02</t>
  </si>
  <si>
    <t>AI_DuskM02P06U02N02</t>
  </si>
  <si>
    <t>DuskM02P07U02N05</t>
  </si>
  <si>
    <t>AI_DuskM02P07U02N05</t>
  </si>
  <si>
    <t>DuskM02P07U03N01</t>
  </si>
  <si>
    <t>AI_DuskM02P07U03N01</t>
  </si>
  <si>
    <t>DuskM02P07U03N02</t>
  </si>
  <si>
    <t>AI_DuskM02P07U03N02</t>
  </si>
  <si>
    <t>DuskM02P07U03N03</t>
  </si>
  <si>
    <t>AI_DuskM02P07U03N03</t>
  </si>
  <si>
    <t>DuskM02P08U01N02</t>
  </si>
  <si>
    <t>AI_DuskM02P08U01N02</t>
  </si>
  <si>
    <t>DuskM02P08U02N01</t>
  </si>
  <si>
    <t>AI_DuskM02P08U02N01</t>
  </si>
  <si>
    <t>DuskM02P08U02N02</t>
  </si>
  <si>
    <t>AI_DuskM02P08U02N02</t>
  </si>
  <si>
    <t>DuskE01P01U01N05</t>
  </si>
  <si>
    <t>AI_DuskE01P01U01N05</t>
  </si>
  <si>
    <t>DuskE01P02U03N05</t>
  </si>
  <si>
    <t>AI_DuskE01P02U03N05</t>
  </si>
  <si>
    <t>DuskE01P02U03N06</t>
  </si>
  <si>
    <t>AI_DuskE01P02U03N06</t>
  </si>
  <si>
    <t>DuskE01P03U01N04</t>
  </si>
  <si>
    <t>AI_DuskE01P03U01N04</t>
  </si>
  <si>
    <t>DuskE01P03U01N05</t>
  </si>
  <si>
    <t>AI_DuskE01P03U01N05</t>
  </si>
  <si>
    <t>DuskE01P03U01N06</t>
  </si>
  <si>
    <t>AI_DuskE01P03U01N06</t>
  </si>
  <si>
    <t>DuskE01P03U02N05</t>
  </si>
  <si>
    <t>AI_DuskE01P03U02N05</t>
  </si>
  <si>
    <t>DuskE01P03U03N05</t>
  </si>
  <si>
    <t>AI_DuskE01P03U03N05</t>
  </si>
  <si>
    <t>DuskE01P03proN05</t>
  </si>
  <si>
    <t>AI_DuskE01P03proN05</t>
  </si>
  <si>
    <t>[DuskE01P03proN05]</t>
  </si>
  <si>
    <t>DuskE01P04U01N05</t>
  </si>
  <si>
    <t>AI_DuskE01P04U01N05</t>
  </si>
  <si>
    <t>DuskE01P04U02N07</t>
  </si>
  <si>
    <t>AI_DuskE01P04U02N07</t>
  </si>
  <si>
    <t>DuskE01P04U02N09</t>
  </si>
  <si>
    <t>AI_DuskE01P04U02N09</t>
  </si>
  <si>
    <t>DuskE01P04U03N04</t>
  </si>
  <si>
    <t>AI_DuskE01P04U03N04</t>
  </si>
  <si>
    <t>DuskE01P04U03N05</t>
  </si>
  <si>
    <t>AI_DuskE01P04U03N05</t>
  </si>
  <si>
    <t>DuskE01P04U03N09</t>
  </si>
  <si>
    <t>AI_DuskE01P04U03N09</t>
  </si>
  <si>
    <t>DuskE01P04proN05</t>
  </si>
  <si>
    <t>AI_DuskE01P04proN05</t>
  </si>
  <si>
    <t>[DuskE01P04proN05]</t>
  </si>
  <si>
    <t>DuskE01P05U01N02</t>
  </si>
  <si>
    <t>AI_DuskE01P05U01N02</t>
  </si>
  <si>
    <t>DuskE01P05U01N04</t>
  </si>
  <si>
    <t>AI_DuskE01P05U01N04</t>
  </si>
  <si>
    <t>DuskE01P05U02N01</t>
  </si>
  <si>
    <t>AI_DuskE01P05U02N01</t>
  </si>
  <si>
    <t>DuskE01P05U03N04</t>
  </si>
  <si>
    <t>AI_DuskE01P05U03N04</t>
  </si>
  <si>
    <t>DuskE01P05U03N05</t>
  </si>
  <si>
    <t>AI_DuskE01P05U03N05</t>
  </si>
  <si>
    <t>DuskE01P05U03N06</t>
  </si>
  <si>
    <t>AI_DuskE01P05U03N06</t>
  </si>
  <si>
    <t>DuskE01P06U01N05</t>
  </si>
  <si>
    <t>AI_DuskE01P06U01N05</t>
  </si>
  <si>
    <t>DuskE01P06U02N02</t>
  </si>
  <si>
    <t>AI_DuskE01P06U02N02</t>
  </si>
  <si>
    <t>DuskE01P06U02N09</t>
  </si>
  <si>
    <t>AI_DuskE01P06U02N09</t>
  </si>
  <si>
    <t>DuskE01P06U03N05</t>
  </si>
  <si>
    <t>AI_DuskE01P06U03N05</t>
  </si>
  <si>
    <t>DuskE01P06U03N06</t>
  </si>
  <si>
    <t>AI_DuskE01P06U03N06</t>
  </si>
  <si>
    <t>DuskE01P07U01N05</t>
  </si>
  <si>
    <t>AI_DuskE01P07U01N05</t>
  </si>
  <si>
    <t>DuskE01P07U02N02</t>
  </si>
  <si>
    <t>AI_DuskE01P07U02N02</t>
  </si>
  <si>
    <t>DuskE01P07U02N06</t>
  </si>
  <si>
    <t>AI_DuskE01P07U02N06</t>
  </si>
  <si>
    <t>DuskE01P07U03N04</t>
  </si>
  <si>
    <t>AI_DuskE01P07U03N04</t>
  </si>
  <si>
    <t>DuskE01P07U03N05</t>
  </si>
  <si>
    <t>AI_DuskE01P07U03N05</t>
  </si>
  <si>
    <t>DuskE01P08U01N02</t>
  </si>
  <si>
    <t>AI_DuskE01P08U01N02</t>
  </si>
  <si>
    <t>DuskE01P08U01N05</t>
  </si>
  <si>
    <t>AI_DuskE01P08U01N05</t>
  </si>
  <si>
    <t>DuskE01P08U01N09</t>
  </si>
  <si>
    <t>AI_DuskE01P08U01N09</t>
  </si>
  <si>
    <t>DuskE01P08U02N04</t>
  </si>
  <si>
    <t>AI_DuskE01P08U02N04</t>
  </si>
  <si>
    <t>DuskE01P08U02N05</t>
  </si>
  <si>
    <t>AI_DuskE01P08U02N05</t>
  </si>
  <si>
    <t>DuskE01P08U03N04</t>
  </si>
  <si>
    <t>AI_DuskE01P08U03N04</t>
  </si>
  <si>
    <t>DuskE01P08U03N05</t>
  </si>
  <si>
    <t>AI_DuskE01P08U03N05</t>
  </si>
  <si>
    <t>DuskE01P08U03N06</t>
  </si>
  <si>
    <t>AI_DuskE01P08U03N06</t>
  </si>
  <si>
    <t>DuskE02P01U01N02</t>
  </si>
  <si>
    <t>AI_DuskE02P01U01N02</t>
  </si>
  <si>
    <t>DuskE02P02U01N02</t>
  </si>
  <si>
    <t>AI_DuskE02P02U01N02</t>
  </si>
  <si>
    <t>DuskE02P02U01N05</t>
  </si>
  <si>
    <t>AI_DuskE02P02U01N05</t>
  </si>
  <si>
    <t>DuskE02P02U02N01</t>
  </si>
  <si>
    <t>AI_DuskE02P02U02N01</t>
  </si>
  <si>
    <t>DuskE02P02U02N02</t>
  </si>
  <si>
    <t>AI_DuskE02P02U02N02</t>
  </si>
  <si>
    <t>DuskE02P02U02N03</t>
  </si>
  <si>
    <t>AI_DuskE02P02U02N03</t>
  </si>
  <si>
    <t>DuskE02P03U01N04</t>
  </si>
  <si>
    <t>AI_DuskE02P03U01N04</t>
  </si>
  <si>
    <t>DuskE02P03U01N05</t>
  </si>
  <si>
    <t>AI_DuskE02P03U01N05</t>
  </si>
  <si>
    <t>DuskE02P03U01N06</t>
  </si>
  <si>
    <t>AI_DuskE02P03U01N06</t>
  </si>
  <si>
    <t>DuskE02P03U02N02</t>
  </si>
  <si>
    <t>AI_DuskE02P03U02N02</t>
  </si>
  <si>
    <t>DuskE02P03U02N04</t>
  </si>
  <si>
    <t>AI_DuskE02P03U02N04</t>
  </si>
  <si>
    <t>DuskE02P03U03N01</t>
  </si>
  <si>
    <t>AI_DuskE02P03U03N01</t>
  </si>
  <si>
    <t>DuskE02P03U03N02</t>
  </si>
  <si>
    <t>AI_DuskE02P03U03N02</t>
  </si>
  <si>
    <t>DuskE02P03U03N03</t>
  </si>
  <si>
    <t>AI_DuskE02P03U03N03</t>
  </si>
  <si>
    <t>DuskE02P04U01N05</t>
  </si>
  <si>
    <t>AI_DuskE02P04U01N05</t>
  </si>
  <si>
    <t>DuskE02P04U02N02</t>
  </si>
  <si>
    <t>AI_DuskE02P04U02N02</t>
  </si>
  <si>
    <t>DuskE02P04U02N09</t>
  </si>
  <si>
    <t>AI_DuskE02P04U02N09</t>
  </si>
  <si>
    <t>DuskE02P04U03N03</t>
  </si>
  <si>
    <t>AI_DuskE02P04U03N03</t>
  </si>
  <si>
    <t>DuskE02P04U03N04</t>
  </si>
  <si>
    <t>AI_DuskE02P04U03N04</t>
  </si>
  <si>
    <t>DuskE02P04U03N05</t>
  </si>
  <si>
    <t>AI_DuskE02P04U03N05</t>
  </si>
  <si>
    <t>DuskE02P05U01N09</t>
  </si>
  <si>
    <t>AI_DuskE02P05U01N09</t>
  </si>
  <si>
    <t>DuskE02P05U02N07</t>
  </si>
  <si>
    <t>AI_DuskE02P05U02N07</t>
  </si>
  <si>
    <t>DuskE02P05U03N02</t>
  </si>
  <si>
    <t>AI_DuskE02P05U03N02</t>
  </si>
  <si>
    <t>DuskE02P05U03N05</t>
  </si>
  <si>
    <t>AI_DuskE02P05U03N05</t>
  </si>
  <si>
    <t>DuskE02P05U03N09</t>
  </si>
  <si>
    <t>AI_DuskE02P05U03N09</t>
  </si>
  <si>
    <t>DuskE02P06U01N07</t>
  </si>
  <si>
    <t>AI_DuskE02P06U01N07</t>
  </si>
  <si>
    <t>DuskE02P06U01N09</t>
  </si>
  <si>
    <t>AI_DuskE02P06U01N09</t>
  </si>
  <si>
    <t>DuskE02P06U02N02</t>
  </si>
  <si>
    <t>AI_DuskE02P06U02N02</t>
  </si>
  <si>
    <t>DuskE02P06U02N05</t>
  </si>
  <si>
    <t>AI_DuskE02P06U02N05</t>
  </si>
  <si>
    <t>DuskE02P06U03N04</t>
  </si>
  <si>
    <t>AI_DuskE02P06U03N04</t>
  </si>
  <si>
    <t>DuskE02P07U02N05</t>
  </si>
  <si>
    <t>AI_DuskE02P07U02N05</t>
  </si>
  <si>
    <t>DuskE02P07U02N06</t>
  </si>
  <si>
    <t>AI_DuskE02P07U02N06</t>
  </si>
  <si>
    <t>DuskE02P07U03N01</t>
  </si>
  <si>
    <t>AI_DuskE02P07U03N01</t>
  </si>
  <si>
    <t>DuskE02P07U03N02</t>
  </si>
  <si>
    <t>AI_DuskE02P07U03N02</t>
  </si>
  <si>
    <t>DuskE02P07U03N03</t>
  </si>
  <si>
    <t>AI_DuskE02P07U03N03</t>
  </si>
  <si>
    <t>DuskE02P07U03N07</t>
  </si>
  <si>
    <t>AI_DuskE02P07U03N07</t>
  </si>
  <si>
    <t>DuskE02P07U03N09</t>
  </si>
  <si>
    <t>AI_DuskE02P07U03N09</t>
  </si>
  <si>
    <t>DuskE02P07U04N05</t>
  </si>
  <si>
    <t>AI_DuskE02P07U04N05</t>
  </si>
  <si>
    <t>DuskE02P08U01N02</t>
  </si>
  <si>
    <t>AI_DuskE02P08U01N02</t>
  </si>
  <si>
    <t>DuskE02P08U01N04</t>
  </si>
  <si>
    <t>AI_DuskE02P08U01N04</t>
  </si>
  <si>
    <t>DuskE02P08U02N01</t>
  </si>
  <si>
    <t>AI_DuskE02P08U02N01</t>
  </si>
  <si>
    <t>DuskE02P08U02N02</t>
  </si>
  <si>
    <t>AI_DuskE02P08U02N02</t>
  </si>
  <si>
    <t>DuskE02P08U02N05</t>
  </si>
  <si>
    <t>AI_DuskE02P08U02N05</t>
  </si>
  <si>
    <t>DuskE02P08U03N07</t>
  </si>
  <si>
    <t>AI_DuskE02P08U03N07</t>
  </si>
  <si>
    <t>DuskE02P08U03N09</t>
  </si>
  <si>
    <t>AI_DuskE02P08U03N09</t>
  </si>
  <si>
    <t>DuskH01P01U01N02</t>
  </si>
  <si>
    <t>AI_DuskH01P01U01N02</t>
  </si>
  <si>
    <t>DuskH01P01U02N07</t>
  </si>
  <si>
    <t>AI_DuskH01P01U02N07</t>
  </si>
  <si>
    <t>DuskH01P01U02N09</t>
  </si>
  <si>
    <t>AI_DuskH01P01U02N09</t>
  </si>
  <si>
    <t>DuskH01P01U03N04</t>
  </si>
  <si>
    <t>AI_DuskH01P01U03N04</t>
  </si>
  <si>
    <t>DuskH01P01U03N05</t>
  </si>
  <si>
    <t>AI_DuskH01P01U03N05</t>
  </si>
  <si>
    <t>DuskH01P01U03N09</t>
  </si>
  <si>
    <t>AI_DuskH01P01U03N09</t>
  </si>
  <si>
    <t>DuskH01P02U01N02</t>
  </si>
  <si>
    <t>AI_DuskH01P02U01N02</t>
  </si>
  <si>
    <t>DuskH01P02U01N07</t>
  </si>
  <si>
    <t>AI_DuskH01P02U01N07</t>
  </si>
  <si>
    <t>DuskH01P03U01N05</t>
  </si>
  <si>
    <t>AI_DuskH01P03U01N05</t>
  </si>
  <si>
    <t>DuskH01P03U01N07</t>
  </si>
  <si>
    <t>AI_DuskH01P03U01N07</t>
  </si>
  <si>
    <t>DuskH01P03U02N04</t>
  </si>
  <si>
    <t>AI_DuskH01P03U02N04</t>
  </si>
  <si>
    <t>DuskH01P03U03N05</t>
  </si>
  <si>
    <t>AI_DuskH01P03U03N05</t>
  </si>
  <si>
    <t>DuskH01P03U03N09</t>
  </si>
  <si>
    <t>AI_DuskH01P03U03N09</t>
  </si>
  <si>
    <t>DuskH01P03U04N03</t>
  </si>
  <si>
    <t>AI_DuskH01P03U04N03</t>
  </si>
  <si>
    <t>{"4":["fixed","DuskM01P03U01N04"],"5":["fixed","DuskM01P03U01N05"],"6":["fixed","DuskM01P03U01N06"]}</t>
  </si>
  <si>
    <t>{"2":["fixed","DuskM02P02U01N02"],"5":["fixed","DuskM02P02U01N05"]}</t>
  </si>
  <si>
    <t>{"4":["fixed","DuskE01P03U01N04"],"5":["fixed","DuskE01P03U01N05"],"6":["fixed","DuskE01P03U01N06"]}</t>
  </si>
  <si>
    <t>{"2":["fixed","DuskE02P02U01N02"],"5":["fixed","DuskE02P02U01N05"]}</t>
  </si>
  <si>
    <t>DuskSN06M_FirstReward</t>
  </si>
  <si>
    <t>[{"type":2,"code":"IM_Dusk_ExchangeItem","amount":400}]</t>
  </si>
  <si>
    <t>[{"type":2,"code":"IM_Dusk_ExchangeItem","amount":600}]</t>
  </si>
  <si>
    <t>[{"type":2,"code":"IM_Dusk_ExchangeItem","amount":30},{"type":9,"code":"DuskFillBox","amount":1}]</t>
  </si>
  <si>
    <t>[{"type":2,"code":"IM_Dusk_ExchangeItem","amount":32},{"type":9,"code":"DuskFillBox","amount":1}]</t>
  </si>
  <si>
    <t>[{"type":2,"code":"IM_Dusk_ExchangeItem","amount":34},{"type":9,"code":"DuskFillBox","amount":1}]</t>
  </si>
  <si>
    <t>DuskSN06M_PointReward</t>
  </si>
  <si>
    <t>[{"type":2,"code":"IM_Dusk_ExchangeItem","amount":36},{"type":9,"code":"DuskFillBox","amount":1}]</t>
  </si>
  <si>
    <t>[{"type":2,"code":"IM_Dusk_ExchangeItem","amount":38},{"type":9,"code":"DuskFillBox","amount":1}]</t>
  </si>
  <si>
    <t>[{"type":2,"code":"IM_Dusk_ExchangeItem","amount":40},{"type":9,"code":"DuskFillBox","amount":1}]</t>
  </si>
  <si>
    <t>[{"type":2,"code":"IM_Dusk_ExchangeItem","amount":65},{"type":9,"code":"DuskFillBox","amount":1}]</t>
  </si>
  <si>
    <t>[{"type":2,"code":"IM_Dusk_ExchangeItem","amount":70},{"type":9,"code":"DuskFillBox","amount":1}]</t>
  </si>
  <si>
    <t>[{"type":2,"code":"IM_Dusk_ExchangeItem","amount":75},{"type":9,"code":"DuskFillBox","amount":1}]</t>
  </si>
  <si>
    <t>[{"type":2,"code":"IM_Dusk_ExchangeItem","amount":80},{"type":9,"code":"DuskFillBox","amount":1}]</t>
  </si>
  <si>
    <t>[{"type":2,"code":"IM_Dusk_ExchangeItem","amount":30}]</t>
  </si>
  <si>
    <t>[{"type":2,"code":"IM_Dusk_ExchangeItem","amount":32}]</t>
  </si>
  <si>
    <t>[{"type":2,"code":"IM_Dusk_ExchangeItem","amount":34}]</t>
  </si>
  <si>
    <t>DuskSN06M_ShowReward</t>
  </si>
  <si>
    <t>[{"type":2,"code":"IM_Dusk_ExchangeItem","amount":36}]</t>
  </si>
  <si>
    <t>[{"type":2,"code":"IM_Dusk_ExchangeItem","amount":38}]</t>
  </si>
  <si>
    <t>[{"type":2,"code":"IM_Dusk_ExchangeItem","amount":40}]</t>
  </si>
  <si>
    <t>[{"type":2,"code":"IM_Dusk_ExchangeItem","amount":65}]</t>
  </si>
  <si>
    <t>[{"type":2,"code":"IM_Dusk_ExchangeItem","amount":70}]</t>
  </si>
  <si>
    <t>[{"type":2,"code":"IM_Dusk_ExchangeItem","amount":75}]</t>
  </si>
  <si>
    <t>[{"type":2,"code":"IM_Dusk_ExchangeItem","amount":80}]</t>
  </si>
  <si>
    <t>DuskFillBox</t>
  </si>
  <si>
    <t>Dusk_Buff_Star3_1_1</t>
  </si>
  <si>
    <t>[{"type":2,"code":"IM_Dusk_ExchangeItem","amount":2}]</t>
  </si>
  <si>
    <t>Dusk_Buff_Star3_1_2</t>
  </si>
  <si>
    <t>Dusk_Buff_Star3_1_3</t>
  </si>
  <si>
    <t>Dusk_Buff_Star3_1_4</t>
  </si>
  <si>
    <t>Dusk_Buff_Star3_1_5</t>
  </si>
  <si>
    <t>Dusk_Buff_Star3_1_6</t>
  </si>
  <si>
    <t>Dusk_Buff_Star3_1_7</t>
  </si>
  <si>
    <t>Dusk_Buff_Star3_1_8</t>
  </si>
  <si>
    <t>Dusk_Buff_Star3_2_1</t>
  </si>
  <si>
    <t>[{"type":2,"code":"IM_Dusk_ExchangeItem","amount":3}]</t>
  </si>
  <si>
    <t>Dusk_Buff_Star3_2_2</t>
  </si>
  <si>
    <t>Dusk_Buff_Star3_2_3</t>
  </si>
  <si>
    <t>Dusk_Buff_Star3_2_4</t>
  </si>
  <si>
    <t>[{"type":2,"code":"IM_Dusk_ExchangeItem","amount":4}]</t>
  </si>
  <si>
    <t>Dusk_Buff_Star3_2_5</t>
  </si>
  <si>
    <t>Dusk_Buff_Star3_2_6</t>
  </si>
  <si>
    <t>Dusk_Buff_Star3_2_7</t>
  </si>
  <si>
    <t>Dusk_Buff_Star3_2_8</t>
  </si>
  <si>
    <t>Dusk_Buff_Star4_1_1</t>
  </si>
  <si>
    <t>[{"type":2,"code":"IM_Dusk_ExchangeItem","amount":5}]</t>
  </si>
  <si>
    <t>Dusk_Buff_Star4_1_2</t>
  </si>
  <si>
    <t>Dusk_Buff_Star4_1_3</t>
  </si>
  <si>
    <t>Dusk_Buff_Star4_1_4</t>
  </si>
  <si>
    <t>Dusk_Buff_Star4_1_5</t>
  </si>
  <si>
    <t>Dusk_Buff_Star4_1_6</t>
  </si>
  <si>
    <t>Dusk_Buff_Star4_1_7</t>
  </si>
  <si>
    <t>[{"type":2,"code":"IM_Dusk_ExchangeItem","amount":6}]</t>
  </si>
  <si>
    <t>Dusk_Buff_Star4_1_8</t>
  </si>
  <si>
    <t>Dusk_Buff_Star4_2_1</t>
  </si>
  <si>
    <t>[{"type":2,"code":"IM_Dusk_ExchangeItem","amount":10}]</t>
  </si>
  <si>
    <t>Dusk_Buff_Star4_2_2</t>
  </si>
  <si>
    <t>[{"type":2,"code":"IM_Dusk_ExchangeItem","amount":11}]</t>
  </si>
  <si>
    <t>Dusk_Buff_Star4_2_3</t>
  </si>
  <si>
    <t>Dusk_Buff_Star4_2_4</t>
  </si>
  <si>
    <t>[{"type":2,"code":"IM_Dusk_ExchangeItem","amount":12}]</t>
  </si>
  <si>
    <t>Dusk_Buff_Star4_2_5</t>
  </si>
  <si>
    <t>Dusk_Buff_Star4_2_6</t>
  </si>
  <si>
    <t>Dusk_Buff_Star4_2_7</t>
  </si>
  <si>
    <t>Dusk_Buff_Star4_2_8</t>
  </si>
  <si>
    <t>Dusk_Buff_Star5_1_1</t>
  </si>
  <si>
    <t>[{"type":2,"code":"IM_Dusk_ExchangeItem","amount":8}]</t>
  </si>
  <si>
    <t>Dusk_Buff_Star5_1_2</t>
  </si>
  <si>
    <t>Dusk_Buff_Star5_1_3</t>
  </si>
  <si>
    <t>Dusk_Buff_Star5_1_4</t>
  </si>
  <si>
    <t>Dusk_Buff_Star5_1_5</t>
  </si>
  <si>
    <t>[{"type":2,"code":"IM_Dusk_ExchangeItem","amount":9}]</t>
  </si>
  <si>
    <t>Dusk_Buff_Star5_1_6</t>
  </si>
  <si>
    <t>Dusk_Buff_Star5_1_7</t>
  </si>
  <si>
    <t>Dusk_Buff_Star5_1_8</t>
  </si>
  <si>
    <t>Dusk_Buff_Star5_2_1</t>
  </si>
  <si>
    <t>[{"type":2,"code":"IM_Dusk_ExchangeItem","amount":16}]</t>
  </si>
  <si>
    <t>Dusk_Buff_Star5_2_2</t>
  </si>
  <si>
    <t>[{"type":2,"code":"IM_Dusk_ExchangeItem","amount":18}]</t>
  </si>
  <si>
    <t>Dusk_Buff_Star5_2_3</t>
  </si>
  <si>
    <t>[{"type":2,"code":"IM_Dusk_ExchangeItem","amount":19}]</t>
  </si>
  <si>
    <t>Dusk_Buff_Star5_2_4</t>
  </si>
  <si>
    <t>Dusk_Buff_Star5_2_5</t>
  </si>
  <si>
    <t>Dusk_Buff_Star5_2_6</t>
  </si>
  <si>
    <t>Dusk_Buff_Star5_2_7</t>
  </si>
  <si>
    <t>Dusk_Buff_Star5_2_8</t>
  </si>
  <si>
    <t>Dusk_Buff_Star6_1_1</t>
  </si>
  <si>
    <t>Dusk_Buff_Star6_1_2</t>
  </si>
  <si>
    <t>Dusk_Buff_Star6_1_3</t>
  </si>
  <si>
    <t>Dusk_Buff_Star6_1_4</t>
  </si>
  <si>
    <t>Dusk_Buff_Star6_1_5</t>
  </si>
  <si>
    <t>Dusk_Buff_Star6_1_6</t>
  </si>
  <si>
    <t>[{"type":2,"code":"IM_Dusk_ExchangeItem","amount":13}]</t>
  </si>
  <si>
    <t>Dusk_Buff_Star6_1_7</t>
  </si>
  <si>
    <t>Dusk_Buff_Star6_1_8</t>
  </si>
  <si>
    <t>[{"type":2,"code":"IM_Dusk_ExchangeItem","amount":14}]</t>
  </si>
  <si>
    <t>Dusk_Buff_Star6_2_1</t>
  </si>
  <si>
    <t>[{"type":2,"code":"IM_Dusk_ExchangeItem","amount":23}]</t>
  </si>
  <si>
    <t>Dusk_Buff_Star6_2_2</t>
  </si>
  <si>
    <t>[{"type":2,"code":"IM_Dusk_ExchangeItem","amount":25}]</t>
  </si>
  <si>
    <t>Dusk_Buff_Star6_2_3</t>
  </si>
  <si>
    <t>[{"type":2,"code":"IM_Dusk_ExchangeItem","amount":26}]</t>
  </si>
  <si>
    <t>Dusk_Buff_Star6_2_4</t>
  </si>
  <si>
    <t>[{"type":2,"code":"IM_Dusk_ExchangeItem","amount":28}]</t>
  </si>
  <si>
    <t>Dusk_Buff_Star6_2_5</t>
  </si>
  <si>
    <t>Dusk_Buff_Star6_2_6</t>
  </si>
  <si>
    <t>Dusk_Buff_Star6_2_7</t>
  </si>
  <si>
    <t>Dusk_Buff_Star6_2_8</t>
  </si>
  <si>
    <t>Model_YMJDe</t>
  </si>
  <si>
    <t>阿斯克</t>
  </si>
  <si>
    <t>Hero_Normal_YMJDe</t>
  </si>
  <si>
    <t>Hero_Unique_YMJDe</t>
  </si>
  <si>
    <t>YMJDe</t>
  </si>
  <si>
    <t>Model_FLEr</t>
  </si>
  <si>
    <t>格莱</t>
  </si>
  <si>
    <t>Hero_Normal_FLEr</t>
  </si>
  <si>
    <t>Hero_Unique_FLEr</t>
  </si>
  <si>
    <t>[Hero_PBattle_FLEr]</t>
  </si>
  <si>
    <t>FLEr</t>
  </si>
  <si>
    <t>Model_HLa</t>
  </si>
  <si>
    <t>海蒂</t>
  </si>
  <si>
    <t>Hero_Normal_HLa</t>
  </si>
  <si>
    <t>Hero_Unique_HLa</t>
  </si>
  <si>
    <t>[Hero_PBattle_HLa]</t>
  </si>
  <si>
    <t>HLa</t>
  </si>
  <si>
    <t>DuskM01P01U01N05</t>
  </si>
  <si>
    <t>AI_DuskM01P01U01N05</t>
  </si>
  <si>
    <t>DuskM01P01U02N02</t>
  </si>
  <si>
    <t>AI_DuskM01P01U02N02</t>
  </si>
  <si>
    <t>DuskM01P01U02N05</t>
  </si>
  <si>
    <t>AI_DuskM01P01U02N05</t>
  </si>
  <si>
    <t>DuskM01P01U02N06</t>
  </si>
  <si>
    <t>AI_DuskM01P01U02N06</t>
  </si>
  <si>
    <t>Hero_Proud_YMJDe</t>
  </si>
  <si>
    <t>[YMJDe]</t>
  </si>
  <si>
    <t>DuskM01P01U03N02</t>
  </si>
  <si>
    <t>AI_DuskM01P01U03N02</t>
  </si>
  <si>
    <t>DuskM01P01U03N04</t>
  </si>
  <si>
    <t>AI_DuskM01P01U03N04</t>
  </si>
  <si>
    <t>DuskM01P01U03N05</t>
  </si>
  <si>
    <t>AI_DuskM01P01U03N05</t>
  </si>
  <si>
    <t>DuskM01P01proN02</t>
  </si>
  <si>
    <t>Model_Enemy_Tombstone_Small</t>
  </si>
  <si>
    <t>墓碑</t>
  </si>
  <si>
    <t>AI_DuskM01P01proN02</t>
  </si>
  <si>
    <t>Skill_Enemy_Tombstone_Normal</t>
  </si>
  <si>
    <t>DuskM01P01proN05</t>
  </si>
  <si>
    <t>AI_DuskM01P01proN05</t>
  </si>
  <si>
    <t>DuskM01P02U01N02</t>
  </si>
  <si>
    <t>AI_DuskM01P02U01N02</t>
  </si>
  <si>
    <t>DuskM01P02U01N05</t>
  </si>
  <si>
    <t>AI_DuskM01P02U01N05</t>
  </si>
  <si>
    <t>DuskM01P02U01N06</t>
  </si>
  <si>
    <t>AI_DuskM01P02U01N06</t>
  </si>
  <si>
    <t>DuskM01P02U01N09</t>
  </si>
  <si>
    <t>AI_DuskM01P02U01N09</t>
  </si>
  <si>
    <t>DuskM01P02U02N01</t>
  </si>
  <si>
    <t>AI_DuskM01P02U02N01</t>
  </si>
  <si>
    <t>DuskM01P02U03N02</t>
  </si>
  <si>
    <t>AI_DuskM01P02U03N02</t>
  </si>
  <si>
    <t>DuskM01P02U03N03</t>
  </si>
  <si>
    <t>AI_DuskM01P02U03N03</t>
  </si>
  <si>
    <t>DuskM01P02proN06</t>
  </si>
  <si>
    <t>AI_DuskM01P02proN06</t>
  </si>
  <si>
    <t>Hero_Proud_FLEr</t>
  </si>
  <si>
    <t>[FLEr]</t>
  </si>
  <si>
    <t>Model_NDGEr</t>
  </si>
  <si>
    <t>珀蕾</t>
  </si>
  <si>
    <t>Hero_Normal_NDGEr</t>
  </si>
  <si>
    <t>Hero_Proud_NDGEr</t>
  </si>
  <si>
    <t>Hero_Unique_NDGEr</t>
  </si>
  <si>
    <t>[Hero_PBattle_NDGEr]</t>
  </si>
  <si>
    <t>[NDGEr]</t>
  </si>
  <si>
    <t>DuskM01P03U02N04</t>
  </si>
  <si>
    <t>Model_MLYTLSha</t>
  </si>
  <si>
    <t>安娜</t>
  </si>
  <si>
    <t>AI_DuskM01P03U02N04</t>
  </si>
  <si>
    <t>Hero_Normal_MLYTLSha</t>
  </si>
  <si>
    <t>Hero_Proud_MLYTLSha</t>
  </si>
  <si>
    <t>Hero_Unique_MLYTLSha</t>
  </si>
  <si>
    <t>[Hero_PBattle_MLYTLSha]</t>
  </si>
  <si>
    <t>[MLYTLSha]</t>
  </si>
  <si>
    <t>Model_SP_SSQXin</t>
  </si>
  <si>
    <t>银龙·夏目里绘</t>
  </si>
  <si>
    <t>Hero_Normal_SP_SSQXin</t>
  </si>
  <si>
    <t>Hero_Proud_SP_SSQXin</t>
  </si>
  <si>
    <t>Hero_Unique_SP_SSQXin</t>
  </si>
  <si>
    <t>[Hero_PBattle_SP_SSQXin]</t>
  </si>
  <si>
    <t>[SP_SSQXin]</t>
  </si>
  <si>
    <t>DuskM01P03U02N06</t>
  </si>
  <si>
    <t>Model_LFEr</t>
  </si>
  <si>
    <t>戴安娜</t>
  </si>
  <si>
    <t>AI_DuskM01P03U02N06</t>
  </si>
  <si>
    <t>Hero_Normal_LFEr</t>
  </si>
  <si>
    <t>Hero_Proud_LFEr</t>
  </si>
  <si>
    <t>Hero_Unique_LFEr</t>
  </si>
  <si>
    <t>[Hero_PBattle_LFEr]</t>
  </si>
  <si>
    <t>[LFEr]</t>
  </si>
  <si>
    <t>DuskM01P03U03N02</t>
  </si>
  <si>
    <t>AI_DuskM01P03U03N02</t>
  </si>
  <si>
    <t>KMLa_Transform</t>
  </si>
  <si>
    <t>Hero_Proud_HLa</t>
  </si>
  <si>
    <t>[HLa]</t>
  </si>
  <si>
    <t>Model_BQDShe</t>
  </si>
  <si>
    <t>志岐八</t>
  </si>
  <si>
    <t>Hero_Normal_BQDShe</t>
  </si>
  <si>
    <t>Hero_Proud_BQDShe</t>
  </si>
  <si>
    <t>Hero_Unique_BQDShe</t>
  </si>
  <si>
    <t>[Hero_PBattle_BQDShe]</t>
  </si>
  <si>
    <t>[BQDShe]</t>
  </si>
  <si>
    <t>DuskM01P04U03N06</t>
  </si>
  <si>
    <t>AI_DuskM01P04U03N06</t>
  </si>
  <si>
    <t>DuskM01P04U03N07</t>
  </si>
  <si>
    <t>AI_DuskM01P04U03N07</t>
  </si>
  <si>
    <t>DuskM01P05U01N01</t>
  </si>
  <si>
    <t>AI_DuskM01P05U01N01</t>
  </si>
  <si>
    <t>DuskM01P05U01N03</t>
  </si>
  <si>
    <t>AI_DuskM01P05U01N03</t>
  </si>
  <si>
    <t>DuskM01P05U02N04</t>
  </si>
  <si>
    <t>AI_DuskM01P05U02N04</t>
  </si>
  <si>
    <t>DuskM01P05U02N05</t>
  </si>
  <si>
    <t>AI_DuskM01P05U02N05</t>
  </si>
  <si>
    <t>DuskM01P05U02N06</t>
  </si>
  <si>
    <t>AI_DuskM01P05U02N06</t>
  </si>
  <si>
    <t>DuskM01P05U02N07</t>
  </si>
  <si>
    <t>AI_DuskM01P05U02N07</t>
  </si>
  <si>
    <t>DuskM01P05U03N02</t>
  </si>
  <si>
    <t>AI_DuskM01P05U03N02</t>
  </si>
  <si>
    <t>DuskM01P06U01N02</t>
  </si>
  <si>
    <t>AI_DuskM01P06U01N02</t>
  </si>
  <si>
    <t>DuskM01P06U01N06</t>
  </si>
  <si>
    <t>AI_DuskM01P06U01N06</t>
  </si>
  <si>
    <t>DuskM01P06U02N07</t>
  </si>
  <si>
    <t>Model_HSYZhai</t>
  </si>
  <si>
    <t>细川遥</t>
  </si>
  <si>
    <t>AI_DuskM01P06U02N07</t>
  </si>
  <si>
    <t>Hero_Normal_HSYZhai</t>
  </si>
  <si>
    <t>Hero_Proud_HSYZhai</t>
  </si>
  <si>
    <t>Hero_Unique_HSYZhai</t>
  </si>
  <si>
    <t>[Hero_PBattle_HSYZhai]</t>
  </si>
  <si>
    <t>[HSYZhai]</t>
  </si>
  <si>
    <t>{"a1":[10,0],"a2":0,"a3":0,"a4":80}</t>
  </si>
  <si>
    <t>DuskM01P06U03N04</t>
  </si>
  <si>
    <t>Model_SLMen</t>
  </si>
  <si>
    <t>罗塔妮安</t>
  </si>
  <si>
    <t>AI_DuskM01P06U03N04</t>
  </si>
  <si>
    <t>Hero_Normal_SLMen</t>
  </si>
  <si>
    <t>Hero_Proud_SLMen</t>
  </si>
  <si>
    <t>Hero_Unique_SLMen</t>
  </si>
  <si>
    <t>[Hero_PBattle_SLMen]</t>
  </si>
  <si>
    <t>[SLMen]</t>
  </si>
  <si>
    <t>AI_DuskM01P06proN05</t>
  </si>
  <si>
    <t>DuskM01P07U01N04</t>
  </si>
  <si>
    <t>AI_DuskM01P07U01N04</t>
  </si>
  <si>
    <t>Model_SSQXin</t>
  </si>
  <si>
    <t>夏目里绘</t>
  </si>
  <si>
    <t>Hero_Normal_SSQXin</t>
  </si>
  <si>
    <t>Hero_Proud_SSQXin</t>
  </si>
  <si>
    <t>Hero_Unique_SSQXin</t>
  </si>
  <si>
    <t>[Hero_PBattle_SSQXin]</t>
  </si>
  <si>
    <t>[SSQXin]</t>
  </si>
  <si>
    <t>DuskM01P07U02N05</t>
  </si>
  <si>
    <t>AI_DuskM01P07U02N05</t>
  </si>
  <si>
    <t>DuskM01P07U03N05</t>
  </si>
  <si>
    <t>AI_DuskM01P07U03N05</t>
  </si>
  <si>
    <t>DuskM01P07U03N07</t>
  </si>
  <si>
    <t>Model_MZGXiu</t>
  </si>
  <si>
    <t>村咲归蝶</t>
  </si>
  <si>
    <t>AI_DuskM01P07U03N07</t>
  </si>
  <si>
    <t>Hero_Normal_MZGXiu</t>
  </si>
  <si>
    <t>Hero_Proud_MZGXiu</t>
  </si>
  <si>
    <t>Hero_Unique_MZGXiu</t>
  </si>
  <si>
    <t>[Hero_PBattle_MZGXiu]</t>
  </si>
  <si>
    <t>[MZGXiu]</t>
  </si>
  <si>
    <t>DuskM01P07U04N02</t>
  </si>
  <si>
    <t>AI_DuskM01P07U04N02</t>
  </si>
  <si>
    <t>DuskM01P07U04N09</t>
  </si>
  <si>
    <t>AI_DuskM01P07U04N09</t>
  </si>
  <si>
    <t>DuskM01P08U01N01</t>
  </si>
  <si>
    <t>Model_YBYa_Redfox</t>
  </si>
  <si>
    <t>狐狸</t>
  </si>
  <si>
    <t>AI_DuskM01P08U01N01</t>
  </si>
  <si>
    <t>Skill_Summoned_YBYa_Redfox_Normal</t>
  </si>
  <si>
    <t>DuskM01P08U01N03</t>
  </si>
  <si>
    <t>AI_DuskM01P08U01N03</t>
  </si>
  <si>
    <t>DuskM01P08U01N09</t>
  </si>
  <si>
    <t>AI_DuskM01P08U01N09</t>
  </si>
  <si>
    <t>Model_YBYa</t>
  </si>
  <si>
    <t>黑木雅乐</t>
  </si>
  <si>
    <t>Hero_Normal_YBYa</t>
  </si>
  <si>
    <t>Hero_Proud_YBYa</t>
  </si>
  <si>
    <t>Hero_Unique_YBYa</t>
  </si>
  <si>
    <t>[Hero_PBattle_YBYa]</t>
  </si>
  <si>
    <t>[YBYa]</t>
  </si>
  <si>
    <t>DuskM01P08U02N09</t>
  </si>
  <si>
    <t>AI_DuskM01P08U02N09</t>
  </si>
  <si>
    <t>DuskM01P08U03N02</t>
  </si>
  <si>
    <t>Model_NCai</t>
  </si>
  <si>
    <t>路德维希</t>
  </si>
  <si>
    <t>AI_DuskM01P08U03N02</t>
  </si>
  <si>
    <t>Hero_Normal_NCai</t>
  </si>
  <si>
    <t>Hero_Proud_NCai</t>
  </si>
  <si>
    <t>Hero_Unique_NCai</t>
  </si>
  <si>
    <t>[Hero_PBattle_NCai]</t>
  </si>
  <si>
    <t>[NCai]</t>
  </si>
  <si>
    <t>DuskM01P08U04N05</t>
  </si>
  <si>
    <t>AI_DuskM01P08U04N05</t>
  </si>
  <si>
    <t>DuskM01P08U04N06</t>
  </si>
  <si>
    <t>AI_DuskM01P08U04N06</t>
  </si>
  <si>
    <t>DuskM02P01U01N04</t>
  </si>
  <si>
    <t>Model_NFDDi</t>
  </si>
  <si>
    <t>哈托</t>
  </si>
  <si>
    <t>AI_DuskM02P01U01N04</t>
  </si>
  <si>
    <t>Hero_Normal_NFDDi</t>
  </si>
  <si>
    <t>Hero_Proud_NFDDi</t>
  </si>
  <si>
    <t>Hero_Unique_NFDDi</t>
  </si>
  <si>
    <t>[Hero_PBattle_NFDDi]</t>
  </si>
  <si>
    <t>[NFDDi]</t>
  </si>
  <si>
    <t>DuskM02P01U01N05</t>
  </si>
  <si>
    <t>AI_DuskM02P01U01N05</t>
  </si>
  <si>
    <t>DuskM02P01U01N06</t>
  </si>
  <si>
    <t>AI_DuskM02P01U01N06</t>
  </si>
  <si>
    <t>DuskM02P01U01N09</t>
  </si>
  <si>
    <t>AI_DuskM02P01U01N09</t>
  </si>
  <si>
    <t>[XBKLDi]</t>
  </si>
  <si>
    <t>DuskM02P01U02N01</t>
  </si>
  <si>
    <t>AI_DuskM02P01U02N01</t>
  </si>
  <si>
    <t>DuskM02P01U02N05</t>
  </si>
  <si>
    <t>AI_DuskM02P01U02N05</t>
  </si>
  <si>
    <t>DuskM02P01U03N02</t>
  </si>
  <si>
    <t>AI_DuskM02P01U03N02</t>
  </si>
  <si>
    <t>DuskM02P01U03N04</t>
  </si>
  <si>
    <t>Model_TTKMeng</t>
  </si>
  <si>
    <t>阿蒙</t>
  </si>
  <si>
    <t>AI_DuskM02P01U03N04</t>
  </si>
  <si>
    <t>Hero_Normal_TTKMeng</t>
  </si>
  <si>
    <t>Hero_Proud_TTKMeng</t>
  </si>
  <si>
    <t>Hero_Unique_TTKMeng</t>
  </si>
  <si>
    <t>[Hero_PBattle_TTKMeng]</t>
  </si>
  <si>
    <t>[TTKMeng]</t>
  </si>
  <si>
    <t>DuskM02P01U03N05</t>
  </si>
  <si>
    <t>AI_DuskM02P01U03N05</t>
  </si>
  <si>
    <t>DuskM02P01U03N06</t>
  </si>
  <si>
    <t>AI_DuskM02P01U03N06</t>
  </si>
  <si>
    <t>AI_DuskM02P01proN05</t>
  </si>
  <si>
    <t>DuskM02P02U03N04</t>
  </si>
  <si>
    <t>AI_DuskM02P02U03N04</t>
  </si>
  <si>
    <t>DuskM02P02U03N05</t>
  </si>
  <si>
    <t>AI_DuskM02P02U03N05</t>
  </si>
  <si>
    <t>DuskM02P02U03N06</t>
  </si>
  <si>
    <t>AI_DuskM02P02U03N06</t>
  </si>
  <si>
    <t>DuskM02P02proN09</t>
  </si>
  <si>
    <t>AI_DuskM02P02proN09</t>
  </si>
  <si>
    <t>DuskM02P03U02N05</t>
  </si>
  <si>
    <t>AI_DuskM02P03U02N05</t>
  </si>
  <si>
    <t>DuskM02P03U03N09</t>
  </si>
  <si>
    <t>AI_DuskM02P03U03N09</t>
  </si>
  <si>
    <t>DuskM02P04U01N04</t>
  </si>
  <si>
    <t>AI_DuskM02P04U01N04</t>
  </si>
  <si>
    <t>DuskM02P04U01N06</t>
  </si>
  <si>
    <t>AI_DuskM02P04U01N06</t>
  </si>
  <si>
    <t>DuskM02P04U02N07</t>
  </si>
  <si>
    <t>AI_DuskM02P04U02N07</t>
  </si>
  <si>
    <t>DuskM02P04U03N01</t>
  </si>
  <si>
    <t>AI_DuskM02P04U03N01</t>
  </si>
  <si>
    <t>DuskM02P04U04N02</t>
  </si>
  <si>
    <t>AI_DuskM02P04U04N02</t>
  </si>
  <si>
    <t>DuskM02P04U04N04</t>
  </si>
  <si>
    <t>AI_DuskM02P04U04N04</t>
  </si>
  <si>
    <t>DuskM02P04U04N06</t>
  </si>
  <si>
    <t>AI_DuskM02P04U04N06</t>
  </si>
  <si>
    <t>DuskM02P05U01N04</t>
  </si>
  <si>
    <t>AI_DuskM02P05U01N04</t>
  </si>
  <si>
    <t>DuskM02P05U01N05</t>
  </si>
  <si>
    <t>AI_DuskM02P05U01N05</t>
  </si>
  <si>
    <t>DuskM02P05U01N06</t>
  </si>
  <si>
    <t>AI_DuskM02P05U01N06</t>
  </si>
  <si>
    <t>DuskM02P05U02N01</t>
  </si>
  <si>
    <t>AI_DuskM02P05U02N01</t>
  </si>
  <si>
    <t>DuskM02P05U02N02</t>
  </si>
  <si>
    <t>AI_DuskM02P05U02N02</t>
  </si>
  <si>
    <t>DuskM02P05U02N03</t>
  </si>
  <si>
    <t>AI_DuskM02P05U02N03</t>
  </si>
  <si>
    <t>DuskM02P05U03N07</t>
  </si>
  <si>
    <t>AI_DuskM02P05U03N07</t>
  </si>
  <si>
    <t>DuskM02P06U01N05</t>
  </si>
  <si>
    <t>AI_DuskM02P06U01N05</t>
  </si>
  <si>
    <t>DuskM02P06U02N04</t>
  </si>
  <si>
    <t>AI_DuskM02P06U02N04</t>
  </si>
  <si>
    <t>DuskM02P06U02N06</t>
  </si>
  <si>
    <t>AI_DuskM02P06U02N06</t>
  </si>
  <si>
    <t>DuskM02P06U03N05</t>
  </si>
  <si>
    <t>AI_DuskM02P06U03N05</t>
  </si>
  <si>
    <t>DuskM02P06U03N07</t>
  </si>
  <si>
    <t>AI_DuskM02P06U03N07</t>
  </si>
  <si>
    <t>DuskM02P06U03N09</t>
  </si>
  <si>
    <t>AI_DuskM02P06U03N09</t>
  </si>
  <si>
    <t>DuskM02P07U01N05</t>
  </si>
  <si>
    <t>AI_DuskM02P07U01N05</t>
  </si>
  <si>
    <t>DuskM02P07U01N07</t>
  </si>
  <si>
    <t>AI_DuskM02P07U01N07</t>
  </si>
  <si>
    <t>DuskM02P07U01N09</t>
  </si>
  <si>
    <t>AI_DuskM02P07U01N09</t>
  </si>
  <si>
    <t>DuskM02P07U02N01</t>
  </si>
  <si>
    <t>AI_DuskM02P07U02N01</t>
  </si>
  <si>
    <t>DuskM02P07U02N02</t>
  </si>
  <si>
    <t>AI_DuskM02P07U02N02</t>
  </si>
  <si>
    <t>DuskM02P07U02N03</t>
  </si>
  <si>
    <t>AI_DuskM02P07U02N03</t>
  </si>
  <si>
    <t>DuskM02P07U03N05</t>
  </si>
  <si>
    <t>AI_DuskM02P07U03N05</t>
  </si>
  <si>
    <t>DuskM02P07U04N02</t>
  </si>
  <si>
    <t>AI_DuskM02P07U04N02</t>
  </si>
  <si>
    <t>Model_HGEr</t>
  </si>
  <si>
    <t>格兰特</t>
  </si>
  <si>
    <t>Hero_Normal_HGEr</t>
  </si>
  <si>
    <t>Hero_Proud_HGEr</t>
  </si>
  <si>
    <t>Hero_Unique_HGEr</t>
  </si>
  <si>
    <t>[Hero_PBattle_HGEr]</t>
  </si>
  <si>
    <t>[HGEr]</t>
  </si>
  <si>
    <t>DuskM02P08U01N05</t>
  </si>
  <si>
    <t>AI_DuskM02P08U01N05</t>
  </si>
  <si>
    <t>DuskM02P08U01N07</t>
  </si>
  <si>
    <t>Model_TLSi</t>
  </si>
  <si>
    <t>琳达</t>
  </si>
  <si>
    <t>AI_DuskM02P08U01N07</t>
  </si>
  <si>
    <t>Hero_Normal_TLSi</t>
  </si>
  <si>
    <t>Hero_Proud_TLSi</t>
  </si>
  <si>
    <t>Hero_Unique_TLSi</t>
  </si>
  <si>
    <t>[Hero_PBattle_TLSi]</t>
  </si>
  <si>
    <t>[TLSi]</t>
  </si>
  <si>
    <t>DuskM02P08U02N09</t>
  </si>
  <si>
    <t>AI_DuskM02P08U02N09</t>
  </si>
  <si>
    <t>DuskM02P08U03N04</t>
  </si>
  <si>
    <t>AI_DuskM02P08U03N04</t>
  </si>
  <si>
    <t>DuskM02P08U03N05</t>
  </si>
  <si>
    <t>AI_DuskM02P08U03N05</t>
  </si>
  <si>
    <t>DuskM02P08U03N07</t>
  </si>
  <si>
    <t>AI_DuskM02P08U03N07</t>
  </si>
  <si>
    <t>DuskE01P01U01N02</t>
  </si>
  <si>
    <t>AI_DuskE01P01U01N02</t>
  </si>
  <si>
    <t>DuskE01P01U02N02</t>
  </si>
  <si>
    <t>AI_DuskE01P01U02N02</t>
  </si>
  <si>
    <t>DuskE01P01U02N05</t>
  </si>
  <si>
    <t>AI_DuskE01P01U02N05</t>
  </si>
  <si>
    <t>DuskE01P01U02N06</t>
  </si>
  <si>
    <t>AI_DuskE01P01U02N06</t>
  </si>
  <si>
    <t>DuskE01P01U03N02</t>
  </si>
  <si>
    <t>AI_DuskE01P01U03N02</t>
  </si>
  <si>
    <t>DuskE01P01U03N04</t>
  </si>
  <si>
    <t>AI_DuskE01P01U03N04</t>
  </si>
  <si>
    <t>DuskE01P01U03N05</t>
  </si>
  <si>
    <t>AI_DuskE01P01U03N05</t>
  </si>
  <si>
    <t>DuskE01P01proN02</t>
  </si>
  <si>
    <t>AI_DuskE01P01proN02</t>
  </si>
  <si>
    <t>DuskE01P01proN05</t>
  </si>
  <si>
    <t>AI_DuskE01P01proN05</t>
  </si>
  <si>
    <t>DuskE01P02U01N02</t>
  </si>
  <si>
    <t>AI_DuskE01P02U01N02</t>
  </si>
  <si>
    <t>DuskE01P02U01N05</t>
  </si>
  <si>
    <t>AI_DuskE01P02U01N05</t>
  </si>
  <si>
    <t>DuskE01P02U01N06</t>
  </si>
  <si>
    <t>AI_DuskE01P02U01N06</t>
  </si>
  <si>
    <t>DuskE01P02U01N09</t>
  </si>
  <si>
    <t>AI_DuskE01P02U01N09</t>
  </si>
  <si>
    <t>DuskE01P02U02N01</t>
  </si>
  <si>
    <t>AI_DuskE01P02U02N01</t>
  </si>
  <si>
    <t>DuskE01P02U03N02</t>
  </si>
  <si>
    <t>AI_DuskE01P02U03N02</t>
  </si>
  <si>
    <t>DuskE01P02U03N03</t>
  </si>
  <si>
    <t>AI_DuskE01P02U03N03</t>
  </si>
  <si>
    <t>DuskE01P02proN06</t>
  </si>
  <si>
    <t>AI_DuskE01P02proN06</t>
  </si>
  <si>
    <t>DuskE01P03U02N04</t>
  </si>
  <si>
    <t>AI_DuskE01P03U02N04</t>
  </si>
  <si>
    <t>DuskE01P03U02N06</t>
  </si>
  <si>
    <t>AI_DuskE01P03U02N06</t>
  </si>
  <si>
    <t>DuskE01P03U03N02</t>
  </si>
  <si>
    <t>AI_DuskE01P03U03N02</t>
  </si>
  <si>
    <t>DuskE01P04U03N06</t>
  </si>
  <si>
    <t>AI_DuskE01P04U03N06</t>
  </si>
  <si>
    <t>DuskE01P04U03N07</t>
  </si>
  <si>
    <t>AI_DuskE01P04U03N07</t>
  </si>
  <si>
    <t>DuskE01P05U01N01</t>
  </si>
  <si>
    <t>AI_DuskE01P05U01N01</t>
  </si>
  <si>
    <t>DuskE01P05U01N03</t>
  </si>
  <si>
    <t>AI_DuskE01P05U01N03</t>
  </si>
  <si>
    <t>DuskE01P05U01N09</t>
  </si>
  <si>
    <t>AI_DuskE01P05U01N09</t>
  </si>
  <si>
    <t>DuskE01P05U02N04</t>
  </si>
  <si>
    <t>AI_DuskE01P05U02N04</t>
  </si>
  <si>
    <t>DuskE01P05U02N05</t>
  </si>
  <si>
    <t>AI_DuskE01P05U02N05</t>
  </si>
  <si>
    <t>DuskE01P05U02N06</t>
  </si>
  <si>
    <t>AI_DuskE01P05U02N06</t>
  </si>
  <si>
    <t>DuskE01P05U02N07</t>
  </si>
  <si>
    <t>AI_DuskE01P05U02N07</t>
  </si>
  <si>
    <t>DuskE01P05U03N02</t>
  </si>
  <si>
    <t>AI_DuskE01P05U03N02</t>
  </si>
  <si>
    <t>DuskE01P05U03N07</t>
  </si>
  <si>
    <t>AI_DuskE01P05U03N07</t>
  </si>
  <si>
    <t>DuskE01P06U01N02</t>
  </si>
  <si>
    <t>AI_DuskE01P06U01N02</t>
  </si>
  <si>
    <t>DuskE01P06U01N06</t>
  </si>
  <si>
    <t>AI_DuskE01P06U01N06</t>
  </si>
  <si>
    <t>DuskE01P06U01N07</t>
  </si>
  <si>
    <t>AI_DuskE01P06U01N07</t>
  </si>
  <si>
    <t>DuskE01P06U02N04</t>
  </si>
  <si>
    <t>AI_DuskE01P06U02N04</t>
  </si>
  <si>
    <t>{"a1":[10,0],"a2":0,"a3":0,"a4":100}</t>
  </si>
  <si>
    <t>DuskE01P06U02N06</t>
  </si>
  <si>
    <t>AI_DuskE01P06U02N06</t>
  </si>
  <si>
    <t>DuskE01P06U02N07</t>
  </si>
  <si>
    <t>AI_DuskE01P06U02N07</t>
  </si>
  <si>
    <t>DuskE01P06U03N03</t>
  </si>
  <si>
    <t>AI_DuskE01P06U03N03</t>
  </si>
  <si>
    <t>DuskE01P06U03N04</t>
  </si>
  <si>
    <t>AI_DuskE01P06U03N04</t>
  </si>
  <si>
    <t>DuskE01P06proN05</t>
  </si>
  <si>
    <t>AI_DuskE01P06proN05</t>
  </si>
  <si>
    <t>DuskE01P07U01N01</t>
  </si>
  <si>
    <t>Model_FGao</t>
  </si>
  <si>
    <t>杜梅瑟</t>
  </si>
  <si>
    <t>AI_DuskE01P07U01N01</t>
  </si>
  <si>
    <t>Hero_Normal_FGao</t>
  </si>
  <si>
    <t>Hero_Proud_FGao</t>
  </si>
  <si>
    <t>Hero_Unique_FGao</t>
  </si>
  <si>
    <t>[Hero_PBattle_FGao]</t>
  </si>
  <si>
    <t>[FGao]</t>
  </si>
  <si>
    <t>DuskE01P07U01N04</t>
  </si>
  <si>
    <t>AI_DuskE01P07U01N04</t>
  </si>
  <si>
    <t>DuskE01P07U02N05</t>
  </si>
  <si>
    <t>AI_DuskE01P07U02N05</t>
  </si>
  <si>
    <t>DuskE01P07U02N07</t>
  </si>
  <si>
    <t>AI_DuskE01P07U02N07</t>
  </si>
  <si>
    <t>DuskE01P07U03N03</t>
  </si>
  <si>
    <t>AI_DuskE01P07U03N03</t>
  </si>
  <si>
    <t>DuskE01P07U03N07</t>
  </si>
  <si>
    <t>AI_DuskE01P07U03N07</t>
  </si>
  <si>
    <t>DuskE01P07U04N02</t>
  </si>
  <si>
    <t>AI_DuskE01P07U04N02</t>
  </si>
  <si>
    <t>DuskE01P07U04N06</t>
  </si>
  <si>
    <t>AI_DuskE01P07U04N06</t>
  </si>
  <si>
    <t>DuskE01P07U04N09</t>
  </si>
  <si>
    <t>AI_DuskE01P07U04N09</t>
  </si>
  <si>
    <t>DuskE01P08U01N01</t>
  </si>
  <si>
    <t>AI_DuskE01P08U01N01</t>
  </si>
  <si>
    <t>DuskE01P08U01N03</t>
  </si>
  <si>
    <t>AI_DuskE01P08U01N03</t>
  </si>
  <si>
    <t>DuskE01P08U02N07</t>
  </si>
  <si>
    <t>AI_DuskE01P08U02N07</t>
  </si>
  <si>
    <t>DuskE01P08U02N09</t>
  </si>
  <si>
    <t>AI_DuskE01P08U02N09</t>
  </si>
  <si>
    <t>DuskE01P08U03N02</t>
  </si>
  <si>
    <t>AI_DuskE01P08U03N02</t>
  </si>
  <si>
    <t>DuskE01P08U04N05</t>
  </si>
  <si>
    <t>AI_DuskE01P08U04N05</t>
  </si>
  <si>
    <t>DuskE01P08U04N06</t>
  </si>
  <si>
    <t>AI_DuskE01P08U04N06</t>
  </si>
  <si>
    <t>DuskE01P08U04N07</t>
  </si>
  <si>
    <t>AI_DuskE01P08U04N07</t>
  </si>
  <si>
    <t>DuskE01P08U04N09</t>
  </si>
  <si>
    <t>AI_DuskE01P08U04N09</t>
  </si>
  <si>
    <t>DuskE02P01U01N04</t>
  </si>
  <si>
    <t>AI_DuskE02P01U01N04</t>
  </si>
  <si>
    <t>DuskE02P01U01N05</t>
  </si>
  <si>
    <t>AI_DuskE02P01U01N05</t>
  </si>
  <si>
    <t>DuskE02P01U01N06</t>
  </si>
  <si>
    <t>AI_DuskE02P01U01N06</t>
  </si>
  <si>
    <t>DuskE02P01U01N09</t>
  </si>
  <si>
    <t>AI_DuskE02P01U01N09</t>
  </si>
  <si>
    <t>DuskE02P01U02N01</t>
  </si>
  <si>
    <t>AI_DuskE02P01U02N01</t>
  </si>
  <si>
    <t>DuskE02P01U02N05</t>
  </si>
  <si>
    <t>AI_DuskE02P01U02N05</t>
  </si>
  <si>
    <t>DuskE02P01U03N02</t>
  </si>
  <si>
    <t>AI_DuskE02P01U03N02</t>
  </si>
  <si>
    <t>DuskE02P01U03N04</t>
  </si>
  <si>
    <t>AI_DuskE02P01U03N04</t>
  </si>
  <si>
    <t>DuskE02P01U03N05</t>
  </si>
  <si>
    <t>AI_DuskE02P01U03N05</t>
  </si>
  <si>
    <t>DuskE02P01U03N06</t>
  </si>
  <si>
    <t>AI_DuskE02P01U03N06</t>
  </si>
  <si>
    <t>DuskE02P01proN05</t>
  </si>
  <si>
    <t>AI_DuskE02P01proN05</t>
  </si>
  <si>
    <t>DuskE02P02U03N04</t>
  </si>
  <si>
    <t>AI_DuskE02P02U03N04</t>
  </si>
  <si>
    <t>DuskE02P02U03N05</t>
  </si>
  <si>
    <t>AI_DuskE02P02U03N05</t>
  </si>
  <si>
    <t>DuskE02P02U03N06</t>
  </si>
  <si>
    <t>AI_DuskE02P02U03N06</t>
  </si>
  <si>
    <t>DuskE02P02proN09</t>
  </si>
  <si>
    <t>AI_DuskE02P02proN09</t>
  </si>
  <si>
    <t>DuskE02P03U02N05</t>
  </si>
  <si>
    <t>AI_DuskE02P03U02N05</t>
  </si>
  <si>
    <t>DuskE02P03U03N09</t>
  </si>
  <si>
    <t>AI_DuskE02P03U03N09</t>
  </si>
  <si>
    <t>DuskE02P04U01N04</t>
  </si>
  <si>
    <t>AI_DuskE02P04U01N04</t>
  </si>
  <si>
    <t>DuskE02P04U01N06</t>
  </si>
  <si>
    <t>AI_DuskE02P04U01N06</t>
  </si>
  <si>
    <t>DuskE02P04U02N07</t>
  </si>
  <si>
    <t>AI_DuskE02P04U02N07</t>
  </si>
  <si>
    <t>DuskE02P04U03N01</t>
  </si>
  <si>
    <t>AI_DuskE02P04U03N01</t>
  </si>
  <si>
    <t>DuskE02P04U04N02</t>
  </si>
  <si>
    <t>AI_DuskE02P04U04N02</t>
  </si>
  <si>
    <t>DuskE02P04U04N04</t>
  </si>
  <si>
    <t>AI_DuskE02P04U04N04</t>
  </si>
  <si>
    <t>DuskE02P04U04N06</t>
  </si>
  <si>
    <t>AI_DuskE02P04U04N06</t>
  </si>
  <si>
    <t>DuskE02P04U04N07</t>
  </si>
  <si>
    <t>AI_DuskE02P04U04N07</t>
  </si>
  <si>
    <t>DuskE02P05U01N04</t>
  </si>
  <si>
    <t>AI_DuskE02P05U01N04</t>
  </si>
  <si>
    <t>DuskE02P05U01N05</t>
  </si>
  <si>
    <t>AI_DuskE02P05U01N05</t>
  </si>
  <si>
    <t>DuskE02P05U01N06</t>
  </si>
  <si>
    <t>AI_DuskE02P05U01N06</t>
  </si>
  <si>
    <t>DuskE02P05U02N01</t>
  </si>
  <si>
    <t>AI_DuskE02P05U02N01</t>
  </si>
  <si>
    <t>DuskE02P05U02N02</t>
  </si>
  <si>
    <t>AI_DuskE02P05U02N02</t>
  </si>
  <si>
    <t>DuskE02P05U02N03</t>
  </si>
  <si>
    <t>AI_DuskE02P05U02N03</t>
  </si>
  <si>
    <t>Model_FLYDe</t>
  </si>
  <si>
    <t>西格</t>
  </si>
  <si>
    <t>Hero_Normal_FLYDe</t>
  </si>
  <si>
    <t>Hero_Proud_FLYDe</t>
  </si>
  <si>
    <t>Hero_Unique_FLYDe</t>
  </si>
  <si>
    <t>[Hero_PBattle_FLYDe]</t>
  </si>
  <si>
    <t>[FLYDe]</t>
  </si>
  <si>
    <t>DuskE02P05U03N07</t>
  </si>
  <si>
    <t>AI_DuskE02P05U03N07</t>
  </si>
  <si>
    <t>DuskE02P06U01N05</t>
  </si>
  <si>
    <t>AI_DuskE02P06U01N05</t>
  </si>
  <si>
    <t>DuskE02P06U02N04</t>
  </si>
  <si>
    <t>AI_DuskE02P06U02N04</t>
  </si>
  <si>
    <t>DuskE02P06U02N06</t>
  </si>
  <si>
    <t>AI_DuskE02P06U02N06</t>
  </si>
  <si>
    <t>DuskE02P06U03N05</t>
  </si>
  <si>
    <t>AI_DuskE02P06U03N05</t>
  </si>
  <si>
    <t>DuskE02P06U03N06</t>
  </si>
  <si>
    <t>AI_DuskE02P06U03N06</t>
  </si>
  <si>
    <t>DuskE02P06U03N07</t>
  </si>
  <si>
    <t>AI_DuskE02P06U03N07</t>
  </si>
  <si>
    <t>DuskE02P06U03N09</t>
  </si>
  <si>
    <t>AI_DuskE02P06U03N09</t>
  </si>
  <si>
    <t>DuskE02P07U01N05</t>
  </si>
  <si>
    <t>AI_DuskE02P07U01N05</t>
  </si>
  <si>
    <t>DuskE02P07U01N07</t>
  </si>
  <si>
    <t>AI_DuskE02P07U01N07</t>
  </si>
  <si>
    <t>DuskE02P07U01N09</t>
  </si>
  <si>
    <t>AI_DuskE02P07U01N09</t>
  </si>
  <si>
    <t>DuskE02P07U02N01</t>
  </si>
  <si>
    <t>AI_DuskE02P07U02N01</t>
  </si>
  <si>
    <t>DuskE02P07U02N02</t>
  </si>
  <si>
    <t>AI_DuskE02P07U02N02</t>
  </si>
  <si>
    <t>DuskE02P07U02N03</t>
  </si>
  <si>
    <t>AI_DuskE02P07U02N03</t>
  </si>
  <si>
    <t>DuskE02P07U03N05</t>
  </si>
  <si>
    <t>AI_DuskE02P07U03N05</t>
  </si>
  <si>
    <t>DuskE02P07U04N02</t>
  </si>
  <si>
    <t>AI_DuskE02P07U04N02</t>
  </si>
  <si>
    <t>Model_LDu</t>
  </si>
  <si>
    <t>艾西瓦娅</t>
  </si>
  <si>
    <t>Hero_Normal_LDu</t>
  </si>
  <si>
    <t>Hero_Proud_LDu</t>
  </si>
  <si>
    <t>Hero_Unique_LDu</t>
  </si>
  <si>
    <t>[Hero_PBattle_LDu]</t>
  </si>
  <si>
    <t>[LDu]</t>
  </si>
  <si>
    <t>DuskE02P08U01N05</t>
  </si>
  <si>
    <t>AI_DuskE02P08U01N05</t>
  </si>
  <si>
    <t>DuskE02P08U01N07</t>
  </si>
  <si>
    <t>AI_DuskE02P08U01N07</t>
  </si>
  <si>
    <t>DuskE02P08U02N09</t>
  </si>
  <si>
    <t>AI_DuskE02P08U02N09</t>
  </si>
  <si>
    <t>DuskE02P08U03N04</t>
  </si>
  <si>
    <t>AI_DuskE02P08U03N04</t>
  </si>
  <si>
    <t>DuskE02P08U03N05</t>
  </si>
  <si>
    <t>AI_DuskE02P08U03N05</t>
  </si>
  <si>
    <t>Model_TJHDe</t>
  </si>
  <si>
    <t>月野永梦</t>
  </si>
  <si>
    <t>Hero_Normal_TJHDe</t>
  </si>
  <si>
    <t>Hero_Proud_TJHDe</t>
  </si>
  <si>
    <t>Hero_Unique_TJHDe</t>
  </si>
  <si>
    <t>[TJHDe]</t>
  </si>
  <si>
    <t>DuskH01P01U01N07</t>
  </si>
  <si>
    <t>AI_DuskH01P01U01N07</t>
  </si>
  <si>
    <t>DuskH01P01U01N09</t>
  </si>
  <si>
    <t>AI_DuskH01P01U01N09</t>
  </si>
  <si>
    <t>DuskH01P01U02N06</t>
  </si>
  <si>
    <t>AI_DuskH01P01U02N06</t>
  </si>
  <si>
    <t>DuskH01P01U03N02</t>
  </si>
  <si>
    <t>AI_DuskH01P01U03N02</t>
  </si>
  <si>
    <t>DuskH01P02U01N01</t>
  </si>
  <si>
    <t>Model_YDZZong</t>
  </si>
  <si>
    <t>梵天丸</t>
  </si>
  <si>
    <t>AI_DuskH01P02U01N01</t>
  </si>
  <si>
    <t>Hero_Normal_YDZZong</t>
  </si>
  <si>
    <t>Hero_Proud_YDZZong</t>
  </si>
  <si>
    <t>Hero_Unique_YDZZong</t>
  </si>
  <si>
    <t>[Hero_PBattle_YDZZong]</t>
  </si>
  <si>
    <t>[YDZZong]</t>
  </si>
  <si>
    <t>DuskH01P02U01N03</t>
  </si>
  <si>
    <t>AI_DuskH01P02U01N03</t>
  </si>
  <si>
    <t>DuskH01P02U02N02</t>
  </si>
  <si>
    <t>AI_DuskH01P02U02N02</t>
  </si>
  <si>
    <t>DuskH01P02U02N05</t>
  </si>
  <si>
    <t>AI_DuskH01P02U02N05</t>
  </si>
  <si>
    <t>DuskH01P02U02N06</t>
  </si>
  <si>
    <t>AI_DuskH01P02U02N06</t>
  </si>
  <si>
    <t>DuskH01P02U02N09</t>
  </si>
  <si>
    <t>AI_DuskH01P02U02N09</t>
  </si>
  <si>
    <t>DuskH01P02U03N04</t>
  </si>
  <si>
    <t>AI_DuskH01P02U03N04</t>
  </si>
  <si>
    <t>DuskH01P02U03N05</t>
  </si>
  <si>
    <t>AI_DuskH01P02U03N05</t>
  </si>
  <si>
    <t>DuskH01P02U03N06</t>
  </si>
  <si>
    <t>Model_FLBDSi</t>
  </si>
  <si>
    <t>阿茴</t>
  </si>
  <si>
    <t>AI_DuskH01P02U03N06</t>
  </si>
  <si>
    <t>Hero_Normal_FLBDSi</t>
  </si>
  <si>
    <t>Hero_Proud_FLBDSi</t>
  </si>
  <si>
    <t>Hero_Unique_FLBDSi</t>
  </si>
  <si>
    <t>[Hero_PBattle_FLBDSi]</t>
  </si>
  <si>
    <t>[FLBDSi]</t>
  </si>
  <si>
    <t>DuskH01P02U03N07</t>
  </si>
  <si>
    <t>AI_DuskH01P02U03N07</t>
  </si>
  <si>
    <t>DuskH01P03U01N04</t>
  </si>
  <si>
    <t>AI_DuskH01P03U01N04</t>
  </si>
  <si>
    <t>DuskH01P03U01N09</t>
  </si>
  <si>
    <t>AI_DuskH01P03U01N09</t>
  </si>
  <si>
    <t>DuskH01P03U02N01</t>
  </si>
  <si>
    <t>Model_YXNMei</t>
  </si>
  <si>
    <t>阿国</t>
  </si>
  <si>
    <t>AI_DuskH01P03U02N01</t>
  </si>
  <si>
    <t>Hero_Normal_YXNMei</t>
  </si>
  <si>
    <t>Hero_Proud_YXNMei</t>
  </si>
  <si>
    <t>Hero_Unique_YXNMei</t>
  </si>
  <si>
    <t>[Hero_PBattle_YXNMei]</t>
  </si>
  <si>
    <t>[YXNMei]</t>
  </si>
  <si>
    <t>DuskH01P03U02N07</t>
  </si>
  <si>
    <t>AI_DuskH01P03U02N07</t>
  </si>
  <si>
    <t>DuskH01P03U02N09</t>
  </si>
  <si>
    <t>AI_DuskH01P03U02N09</t>
  </si>
  <si>
    <t>DuskH01P03U03N06</t>
  </si>
  <si>
    <t>AI_DuskH01P03U03N06</t>
  </si>
  <si>
    <t>DuskH01P03U03N07</t>
  </si>
  <si>
    <t>AI_DuskH01P03U03N07</t>
  </si>
  <si>
    <t>DuskH01P03U04N04</t>
  </si>
  <si>
    <t>AI_DuskH01P03U04N04</t>
  </si>
  <si>
    <t>DuskH01P03U04N07</t>
  </si>
  <si>
    <t>AI_DuskH01P03U04N07</t>
  </si>
  <si>
    <t>DuskH01P03U04N09</t>
  </si>
  <si>
    <t>AI_DuskH01P03U04N09</t>
  </si>
  <si>
    <t>DuskH01P03U05N01</t>
  </si>
  <si>
    <t>AI_DuskH01P03U05N01</t>
  </si>
  <si>
    <t>DuskH01P03U05N04</t>
  </si>
  <si>
    <t>AI_DuskH01P03U05N04</t>
  </si>
  <si>
    <t>DuskH01P03U05N05</t>
  </si>
  <si>
    <t>AI_DuskH01P03U05N05</t>
  </si>
  <si>
    <t>DuskH01P03U05N07</t>
  </si>
  <si>
    <t>AI_DuskH01P03U05N07</t>
  </si>
  <si>
    <t>DuskH01P03U05N09</t>
  </si>
  <si>
    <t>AI_DuskH01P03U05N09</t>
  </si>
  <si>
    <t>[DuskM01P01proN02]</t>
  </si>
  <si>
    <t>[DuskM01P01proN05]</t>
  </si>
  <si>
    <t>[DuskM01P06proN05]</t>
  </si>
  <si>
    <t>[DuskM02P01proN05]</t>
  </si>
  <si>
    <t>[DuskM02P02proN09]</t>
  </si>
  <si>
    <t>[DuskE01P01proN02]</t>
  </si>
  <si>
    <t>[DuskE01P01proN05]</t>
  </si>
  <si>
    <t>[DuskE01P02proN06]</t>
  </si>
  <si>
    <t>[DuskE01P06proN05]</t>
  </si>
  <si>
    <t>[DuskE02P01proN05]</t>
  </si>
  <si>
    <t>[DuskE02P02proN09]</t>
  </si>
  <si>
    <t>{"2":["fixed","DuskM01P01U01N02"],"5":["fixed","DuskM01P01U01N05"]}</t>
  </si>
  <si>
    <t>{"2":["fixed","DuskM01P02U01N02"],"5":["fixed","DuskM01P02U01N05"],"6":["fixed","DuskM01P02U01N06"],"9":["fixed","DuskM01P02U01N09"]}</t>
  </si>
  <si>
    <t>{"1":["fixed","DuskM01P05U01N01"],"2":["fixed","DuskM01P05U01N02"],"3":["fixed","DuskM01P05U01N03"],"4":["fixed","DuskM01P05U01N04"]}</t>
  </si>
  <si>
    <t>{"2":["fixed","DuskM01P06U01N02"],"5":["fixed","DuskM01P06U01N05"],"6":["fixed","DuskM01P06U01N06"]}</t>
  </si>
  <si>
    <t>{"4":["fixed","DuskM01P07U01N04"],"5":["fixed","DuskM01P07U01N05"]}</t>
  </si>
  <si>
    <t>{"1":["fixed","DuskM01P08U01N01"],"2":["fixed","DuskM01P08U01N02"],"3":["fixed","DuskM01P08U01N03"],"5":["fixed","DuskM01P08U01N05"],"9":["fixed","DuskM01P08U01N09"]}</t>
  </si>
  <si>
    <t>{"2":["fixed","DuskM02P01U01N02"],"4":["fixed","DuskM02P01U01N04"],"5":["fixed","DuskM02P01U01N05"],"6":["fixed","DuskM02P01U01N06"],"9":["fixed","DuskM02P01U01N09"]}</t>
  </si>
  <si>
    <t>{"4":["fixed","DuskM02P03U01N04"],"5":["fixed","DuskM02P03U01N05"],"6":["fixed","DuskM02P03U01N06"]}</t>
  </si>
  <si>
    <t>{"4":["fixed","DuskM02P04U01N04"],"5":["fixed","DuskM02P04U01N05"],"6":["fixed","DuskM02P04U01N06"]}</t>
  </si>
  <si>
    <t>{"4":["fixed","DuskM02P05U01N04"],"5":["fixed","DuskM02P05U01N05"],"6":["fixed","DuskM02P05U01N06"]}</t>
  </si>
  <si>
    <t>{"5":["fixed","DuskM02P06U01N05"],"9":["fixed","DuskM02P06U01N09"]}</t>
  </si>
  <si>
    <t>{"5":["fixed","DuskM02P07U01N05"],"7":["fixed","DuskM02P07U01N07"],"9":["fixed","DuskM02P07U01N09"]}</t>
  </si>
  <si>
    <t>{"2":["fixed","DuskM02P08U01N02"],"5":["fixed","DuskM02P08U01N05"],"7":["fixed","DuskM02P08U01N07"]}</t>
  </si>
  <si>
    <t>{"2":["fixed","DuskE01P01U01N02"],"5":["fixed","DuskE01P01U01N05"]}</t>
  </si>
  <si>
    <t>{"2":["fixed","DuskE01P02U01N02"],"5":["fixed","DuskE01P02U01N05"],"6":["fixed","DuskE01P02U01N06"],"9":["fixed","DuskE01P02U01N09"]}</t>
  </si>
  <si>
    <t>{"5":["fixed","DuskE01P04U01N05"]}</t>
  </si>
  <si>
    <t>{"1":["fixed","DuskE01P05U01N01"],"2":["fixed","DuskE01P05U01N02"],"3":["fixed","DuskE01P05U01N03"],"4":["fixed","DuskE01P05U01N04"],"9":["fixed","DuskE01P05U01N09"]}</t>
  </si>
  <si>
    <t>{"2":["fixed","DuskE01P06U01N02"],"5":["fixed","DuskE01P06U01N05"],"6":["fixed","DuskE01P06U01N06"],"7":["fixed","DuskE01P06U01N07"]}</t>
  </si>
  <si>
    <t>{"1":["fixed","DuskE01P07U01N01"],"4":["fixed","DuskE01P07U01N04"],"5":["fixed","DuskE01P07U01N05"]}</t>
  </si>
  <si>
    <t>{"1":["fixed","DuskE01P08U01N01"],"2":["fixed","DuskE01P08U01N02"],"3":["fixed","DuskE01P08U01N03"],"5":["fixed","DuskE01P08U01N05"],"9":["fixed","DuskE01P08U01N09"]}</t>
  </si>
  <si>
    <t>{"2":["fixed","DuskE02P01U01N02"],"4":["fixed","DuskE02P01U01N04"],"5":["fixed","DuskE02P01U01N05"],"6":["fixed","DuskE02P01U01N06"],"9":["fixed","DuskE02P01U01N09"]}</t>
  </si>
  <si>
    <t>{"4":["fixed","DuskE02P03U01N04"],"5":["fixed","DuskE02P03U01N05"],"6":["fixed","DuskE02P03U01N06"]}</t>
  </si>
  <si>
    <t>{"4":["fixed","DuskE02P04U01N04"],"5":["fixed","DuskE02P04U01N05"],"6":["fixed","DuskE02P04U01N06"]}</t>
  </si>
  <si>
    <t>{"4":["fixed","DuskE02P05U01N04"],"5":["fixed","DuskE02P05U01N05"],"6":["fixed","DuskE02P05U01N06"],"9":["fixed","DuskE02P05U01N09"]}</t>
  </si>
  <si>
    <t>{"5":["fixed","DuskE02P06U01N05"],"7":["fixed","DuskE02P06U01N07"],"9":["fixed","DuskE02P06U01N09"]}</t>
  </si>
  <si>
    <t>{"5":["fixed","DuskE02P07U01N05"],"7":["fixed","DuskE02P07U01N07"],"9":["fixed","DuskE02P07U01N09"]}</t>
  </si>
  <si>
    <t>{"2":["fixed","DuskE02P08U01N02"],"4":["fixed","DuskE02P08U01N04"],"5":["fixed","DuskE02P08U01N05"],"7":["fixed","DuskE02P08U01N07"]}</t>
  </si>
  <si>
    <t>{"2":["fixed","DuskH01P01U01N02"],"7":["fixed","DuskH01P01U01N07"],"9":["fixed","DuskH01P01U01N09"]}</t>
  </si>
  <si>
    <t>{"1":["fixed","DuskH01P02U01N01"],"2":["fixed","DuskH01P02U01N02"],"3":["fixed","DuskH01P02U01N03"],"7":["fixed","DuskH01P02U01N07"]}</t>
  </si>
  <si>
    <t>{"4":["fixed","DuskH01P03U01N04"],"5":["fixed","DuskH01P03U01N05"],"7":["fixed","DuskH01P03U01N07"],"9":["fixed","DuskH01P03U01N09"]}</t>
  </si>
  <si>
    <t>{"5":["fixed","DuskM01P04U01N05"]}</t>
  </si>
  <si>
    <t>[DuskM01P01U02N02,DuskM01P01U02N05,DuskM01P01U02N06,DuskM01P01U03N02,DuskM01P01U03N04,DuskM01P01U03N05]</t>
  </si>
  <si>
    <t>[DuskM01P02U02N01,DuskM01P02U03N02,DuskM01P02U03N03,DuskM01P02U03N05,DuskM01P02U03N06]</t>
  </si>
  <si>
    <t>[DuskM01P03U02N04,DuskM01P03U02N05,DuskM01P03U02N06,DuskM01P03U03N02,DuskM01P03U03N05]</t>
  </si>
  <si>
    <t>[DuskM01P04U02N07,DuskM01P04U02N09,DuskM01P04U03N04,DuskM01P04U03N05,DuskM01P04U03N06,DuskM01P04U03N07,DuskM01P04U03N09]</t>
  </si>
  <si>
    <t>[DuskM01P05U02N04,DuskM01P05U02N05,DuskM01P05U02N06,DuskM01P05U02N07,DuskM01P05U03N02,DuskM01P05U03N04,DuskM01P05U03N05,DuskM01P05U03N06]</t>
  </si>
  <si>
    <t>[DuskM01P06U02N02,DuskM01P06U02N07,DuskM01P06U02N09,DuskM01P06U03N04,DuskM01P06U03N05,DuskM01P06U03N06]</t>
  </si>
  <si>
    <t>[DuskM01P07U02N02,DuskM01P07U02N05,DuskM01P07U02N06,DuskM01P07U03N04,DuskM01P07U03N05,DuskM01P07U03N07,DuskM01P07U04N02,DuskM01P07U04N09]</t>
  </si>
  <si>
    <t>[DuskM01P08U02N04,DuskM01P08U02N05,DuskM01P08U02N09,DuskM01P08U03N02,DuskM01P08U03N04,DuskM01P08U03N06,DuskM01P08U04N05,DuskM01P08U04N06]</t>
  </si>
  <si>
    <t>[DuskM02P01U02N01,DuskM02P01U02N05,DuskM02P01U03N02,DuskM02P01U03N04,DuskM02P01U03N05,DuskM02P01U03N06]</t>
  </si>
  <si>
    <t>[DuskM02P02U02N01,DuskM02P02U02N02,DuskM02P02U02N03,DuskM02P02U03N04,DuskM02P02U03N05,DuskM02P02U03N06]</t>
  </si>
  <si>
    <t>[DuskM02P03U02N02,DuskM02P03U02N04,DuskM02P03U02N05,DuskM02P03U03N01,DuskM02P03U03N02,DuskM02P03U03N03,DuskM02P03U03N09]</t>
  </si>
  <si>
    <t>[DuskM02P04U02N02,DuskM02P04U02N07,DuskM02P04U02N09,DuskM02P04U03N01,DuskM02P04U03N03,DuskM02P04U03N05,DuskM02P04U04N02,DuskM02P04U04N04,DuskM02P04U04N06]</t>
  </si>
  <si>
    <t>[DuskM02P05U02N01,DuskM02P05U02N02,DuskM02P05U02N03,DuskM02P05U03N02,DuskM02P05U03N07,DuskM02P05U03N09]</t>
  </si>
  <si>
    <t>[DuskM02P06U02N02,DuskM02P06U02N04,DuskM02P06U02N06,DuskM02P06U03N05,DuskM02P06U03N07,DuskM02P06U03N09]</t>
  </si>
  <si>
    <t>[DuskM02P07U02N01,DuskM02P07U02N02,DuskM02P07U02N03,DuskM02P07U02N05,DuskM02P07U03N01,DuskM02P07U03N02,DuskM02P07U03N03,DuskM02P07U03N05,DuskM02P07U04N02]</t>
  </si>
  <si>
    <t>[DuskM02P08U02N01,DuskM02P08U02N02,DuskM02P08U02N09,DuskM02P08U03N04,DuskM02P08U03N05,DuskM02P08U03N07]</t>
  </si>
  <si>
    <t>[DuskE01P01U02N02,DuskE01P01U02N05,DuskE01P01U02N06,DuskE01P01U03N02,DuskE01P01U03N04,DuskE01P01U03N05]</t>
  </si>
  <si>
    <t>[DuskE01P02U02N01,DuskE01P02U03N02,DuskE01P02U03N03,DuskE01P02U03N05,DuskE01P02U03N06]</t>
  </si>
  <si>
    <t>[DuskE01P03U02N04,DuskE01P03U02N05,DuskE01P03U02N06,DuskE01P03U03N02,DuskE01P03U03N05]</t>
  </si>
  <si>
    <t>[DuskE01P04U02N07,DuskE01P04U02N09,DuskE01P04U03N04,DuskE01P04U03N05,DuskE01P04U03N06,DuskE01P04U03N07,DuskE01P04U03N09]</t>
  </si>
  <si>
    <t>[DuskE01P05U02N01,DuskE01P05U02N04,DuskE01P05U02N05,DuskE01P05U02N06,DuskE01P05U02N07,DuskE01P05U03N02,DuskE01P05U03N04,DuskE01P05U03N05,DuskE01P05U03N06,DuskE01P05U03N07]</t>
  </si>
  <si>
    <t>[DuskE01P06U02N02,DuskE01P06U02N04,DuskE01P06U02N06,DuskE01P06U02N07,DuskE01P06U02N09,DuskE01P06U03N03,DuskE01P06U03N04,DuskE01P06U03N05,DuskE01P06U03N06]</t>
  </si>
  <si>
    <t>[DuskE01P07U02N02,DuskE01P07U02N05,DuskE01P07U02N06,DuskE01P07U02N07,DuskE01P07U03N03,DuskE01P07U03N04,DuskE01P07U03N05,DuskE01P07U03N07,DuskE01P07U04N02,DuskE01P07U04N06,DuskE01P07U04N09]</t>
  </si>
  <si>
    <t>[DuskE01P08U02N04,DuskE01P08U02N05,DuskE01P08U02N07,DuskE01P08U02N09,DuskE01P08U03N02,DuskE01P08U03N04,DuskE01P08U03N05,DuskE01P08U03N06,DuskE01P08U04N05,DuskE01P08U04N06,DuskE01P08U04N07,DuskE01P08U04N09]</t>
  </si>
  <si>
    <t>[DuskE02P01U02N01,DuskE02P01U02N05,DuskE02P01U03N02,DuskE02P01U03N04,DuskE02P01U03N05,DuskE02P01U03N06]</t>
  </si>
  <si>
    <t>[DuskE02P02U02N01,DuskE02P02U02N02,DuskE02P02U02N03,DuskE02P02U03N04,DuskE02P02U03N05,DuskE02P02U03N06]</t>
  </si>
  <si>
    <t>[DuskE02P03U02N02,DuskE02P03U02N04,DuskE02P03U02N05,DuskE02P03U03N01,DuskE02P03U03N02,DuskE02P03U03N03,DuskE02P03U03N09]</t>
  </si>
  <si>
    <t>[DuskE02P04U02N02,DuskE02P04U02N07,DuskE02P04U02N09,DuskE02P04U03N01,DuskE02P04U03N03,DuskE02P04U03N04,DuskE02P04U03N05,DuskE02P04U04N02,DuskE02P04U04N04,DuskE02P04U04N06,DuskE02P04U04N07]</t>
  </si>
  <si>
    <t>[DuskE02P05U02N01,DuskE02P05U02N02,DuskE02P05U02N03,DuskE02P05U02N07,DuskE02P05U03N02,DuskE02P05U03N05,DuskE02P05U03N07,DuskE02P05U03N09]</t>
  </si>
  <si>
    <t>[DuskE02P06U02N02,DuskE02P06U02N04,DuskE02P06U02N05,DuskE02P06U02N06,DuskE02P06U03N04,DuskE02P06U03N05,DuskE02P06U03N06,DuskE02P06U03N07,DuskE02P06U03N09]</t>
  </si>
  <si>
    <t>[DuskE02P07U02N01,DuskE02P07U02N02,DuskE02P07U02N03,DuskE02P07U02N05,DuskE02P07U02N06,DuskE02P07U03N01,DuskE02P07U03N02,DuskE02P07U03N03,DuskE02P07U03N05,DuskE02P07U03N07,DuskE02P07U03N09,DuskE02P07U04N02,DuskE02P07U04N05]</t>
  </si>
  <si>
    <t>[DuskE02P08U02N01,DuskE02P08U02N02,DuskE02P08U02N05,DuskE02P08U02N09,DuskE02P08U03N04,DuskE02P08U03N05,DuskE02P08U03N07,DuskE02P08U03N09]</t>
  </si>
  <si>
    <t>[DuskH01P01U02N06,DuskH01P01U02N07,DuskH01P01U02N09,DuskH01P01U03N02,DuskH01P01U03N04,DuskH01P01U03N05,DuskH01P01U03N09]</t>
  </si>
  <si>
    <t>[DuskH01P02U02N02,DuskH01P02U02N05,DuskH01P02U02N06,DuskH01P02U02N09,DuskH01P02U03N04,DuskH01P02U03N05,DuskH01P02U03N06,DuskH01P02U03N07]</t>
  </si>
  <si>
    <t>[DuskH01P03U02N01,DuskH01P03U02N04,DuskH01P03U02N07,DuskH01P03U02N09,DuskH01P03U03N05,DuskH01P03U03N06,DuskH01P03U03N07,DuskH01P03U03N09,DuskH01P03U04N03,DuskH01P03U04N04,DuskH01P03U04N07,DuskH01P03U04N09,DuskH01P03U05N01,DuskH01P03U05N04,DuskH01P03U05N05,DuskH01P03U05N07,DuskH01P03U05N09]</t>
  </si>
  <si>
    <t>{"1":[1,1,1],"2":[2,4,1],"3":[5,6,1]}</t>
  </si>
  <si>
    <t>{"1":[1,1,1],"2":[2,2,1],"3":[3,5,1]}</t>
  </si>
  <si>
    <t>{"1":[1,1,1],"2":[2,4,1],"3":[5,5,1]}</t>
  </si>
  <si>
    <t>{"1":[1,1,1],"2":[2,3,1],"3":[4,7,1]}</t>
  </si>
  <si>
    <t>{"1":[1,1,1],"2":[2,5,1],"3":[6,8,1]}</t>
  </si>
  <si>
    <t>{"1":[1,1,1],"2":[2,4,1],"3":[5,7,1],"4":[8,8,1]}</t>
  </si>
  <si>
    <t>{"1":[1,1,1],"2":[2,3,1],"3":[4,6,1]}</t>
  </si>
  <si>
    <t>{"1":[1,1,1],"2":[2,4,1],"3":[5,7,1]}</t>
  </si>
  <si>
    <t>{"1":[1,1,1],"2":[2,4,1],"3":[5,7,1],"4":[8,9,1]}</t>
  </si>
  <si>
    <t>{"1":[1,1,1],"2":[2,5,1],"3":[6,9,1]}</t>
  </si>
  <si>
    <t>{"1":[1,1,1],"2":[2,6,1],"3":[7,10,1]}</t>
  </si>
  <si>
    <t>{"1":[1,1,1],"2":[2,6,1],"3":[7,9,1]}</t>
  </si>
  <si>
    <t>{"1":[1,1,1],"2":[2,5,1],"3":[6,9,1],"4":[10,11,1]}</t>
  </si>
  <si>
    <t>{"1":[1,1,1],"2":[2,5,1],"3":[6,9,1],"4":[10,12,1]}</t>
  </si>
  <si>
    <t>{"1":[1,1,1],"2":[2,4,1],"3":[5,8,1],"4":[9,11,1]}</t>
  </si>
  <si>
    <t>{"1":[1,1,1],"2":[2,6,1],"3":[7,12,1],"4":[13,13,1]}</t>
  </si>
  <si>
    <t>{"1":[1,1,1],"2":[2,5,1],"3":[6,9,1],"4":[10,13,1],"5":[14,17,1]}</t>
  </si>
  <si>
    <t>抽卡机制</t>
    <phoneticPr fontId="11" type="noConversion"/>
  </si>
  <si>
    <t>{"1":["library","1"],"4":["library","2"],"6":["library","3"]}</t>
  </si>
  <si>
    <t>{"1":["library","1"],"2":["library","2"],"5":["library","3"]}</t>
  </si>
  <si>
    <t>{"1":["library","1"],"4":["library","2"],"5":["library","3"]}</t>
  </si>
  <si>
    <t>{"1":["library","1"],"3":["library","2"],"7":["library","3"]}</t>
  </si>
  <si>
    <t>{"1":["library","1"],"5":["library","2"],"8":["library","3"]}</t>
  </si>
  <si>
    <t>{"1":["library","1"],"4":["library","2"],"7":["library","3"],"8":["library","4"]}</t>
  </si>
  <si>
    <t>{"1":["library","1"],"3":["library","2"],"6":["library","3"]}</t>
  </si>
  <si>
    <t>{"1":["library","1"],"4":["library","2"],"7":["library","3"]}</t>
  </si>
  <si>
    <t>{"1":["library","1"],"4":["library","2"],"7":["library","3"],"9":["library","4"]}</t>
  </si>
  <si>
    <t>{"1":["library","1"],"5":["library","2"],"9":["library","3"]}</t>
  </si>
  <si>
    <t>{"1":["library","1"],"6":["library","2"],"10":["library","3"]}</t>
  </si>
  <si>
    <t>{"1":["library","1"],"6":["library","2"],"9":["library","3"]}</t>
  </si>
  <si>
    <t>{"1":["library","1"],"5":["library","2"],"9":["library","3"],"11":["library","4"]}</t>
  </si>
  <si>
    <t>{"1":["library","1"],"5":["library","2"],"9":["library","3"],"12":["library","4"]}</t>
  </si>
  <si>
    <t>{"1":["library","1"],"4":["library","2"],"8":["library","3"],"11":["library","4"]}</t>
  </si>
  <si>
    <t>{"1":["library","1"],"6":["library","2"],"12":["library","3"],"13":["library","4"]}</t>
  </si>
  <si>
    <t>{"1":["library","1"],"5":["library","2"],"9":["library","3"],"13":["library","4"],"17":["library","5"]}</t>
  </si>
  <si>
    <t>[{"type":6,"code":"Weapon_14013","amount":1}]</t>
    <phoneticPr fontId="27" type="noConversion"/>
  </si>
  <si>
    <t>[{"type":6,"code":"Shoes_14011","amount":1}]</t>
    <phoneticPr fontId="27" type="noConversion"/>
  </si>
  <si>
    <t>[{"type":6,"code":"Shoes_14011","amount":1},{"type":2,"code":"IM_Dusk_ExchangeItem","amount":100}]</t>
    <phoneticPr fontId="11" type="noConversion"/>
  </si>
  <si>
    <t>[{"type":6,"code":"Weapon_14013","amount":1},{"type":2,"code":"IM_Dusk_ExchangeItem","amount":100}]</t>
    <phoneticPr fontId="11" type="noConversion"/>
  </si>
  <si>
    <t>[{"type":6,"code":"Tops_14013","amount":1},{"type":2,"code":"IM_Dusk_ExchangeItem","amount":100}]</t>
    <phoneticPr fontId="11" type="noConversion"/>
  </si>
  <si>
    <t>Hero_ABlock_YMJDe_Extra</t>
  </si>
  <si>
    <t>Dusk_YMJDe_Buff_Star3</t>
  </si>
  <si>
    <t>Dusk_YMJDe_Buff_Star4</t>
  </si>
  <si>
    <t>Dusk_YMJDe_Buff_Star5</t>
  </si>
  <si>
    <t>Dusk_YMJDe_Buff_Star6</t>
  </si>
  <si>
    <t>Hero_ABlock_FLEr_Extra</t>
    <phoneticPr fontId="11" type="noConversion"/>
  </si>
  <si>
    <t>Dusk_FLEr_Buff_Star3</t>
    <phoneticPr fontId="11" type="noConversion"/>
  </si>
  <si>
    <t>Dusk_FLEr_Buff_Star4</t>
  </si>
  <si>
    <t>Dusk_FLEr_Buff_Star5</t>
  </si>
  <si>
    <t>[0.10,0.10]</t>
    <phoneticPr fontId="11" type="noConversion"/>
  </si>
  <si>
    <t>Hero_ABlock_HLa_Extra</t>
    <phoneticPr fontId="11" type="noConversion"/>
  </si>
  <si>
    <t>{"HLa":{"3":"Dusk_Buff_Star3_1_1","4":"Dusk_Buff_Star4_1_1","5":"Dusk_Buff_Star5_1_1","6":"Dusk_Buff_Star6_1_1"}}</t>
  </si>
  <si>
    <t>{"HLa":{"3":"Dusk_Buff_Star3_1_2","4":"Dusk_Buff_Star4_1_2","5":"Dusk_Buff_Star5_1_2","6":"Dusk_Buff_Star6_1_2"}}</t>
  </si>
  <si>
    <t>{"HLa":{"3":"Dusk_Buff_Star3_1_3","4":"Dusk_Buff_Star4_1_3","5":"Dusk_Buff_Star5_1_3","6":"Dusk_Buff_Star6_1_3"}}</t>
  </si>
  <si>
    <t>{"HLa":{"3":"Dusk_Buff_Star3_1_4","4":"Dusk_Buff_Star4_1_4","5":"Dusk_Buff_Star5_1_4","6":"Dusk_Buff_Star6_1_4"}}</t>
  </si>
  <si>
    <t>{"HLa":{"3":"Dusk_Buff_Star3_1_5","4":"Dusk_Buff_Star4_1_5","5":"Dusk_Buff_Star5_1_5","6":"Dusk_Buff_Star6_1_5"}}</t>
  </si>
  <si>
    <t>{"HLa":{"3":"Dusk_Buff_Star3_1_6","4":"Dusk_Buff_Star4_1_6","5":"Dusk_Buff_Star5_1_6","6":"Dusk_Buff_Star6_1_6"}}</t>
  </si>
  <si>
    <t>{"HLa":{"3":"Dusk_Buff_Star3_1_7","4":"Dusk_Buff_Star4_1_7","5":"Dusk_Buff_Star5_1_7","6":"Dusk_Buff_Star6_1_7"}}</t>
  </si>
  <si>
    <t>{"HLa":{"3":"Dusk_Buff_Star3_1_8","4":"Dusk_Buff_Star4_1_8","5":"Dusk_Buff_Star5_1_8","6":"Dusk_Buff_Star6_1_8"}}</t>
  </si>
  <si>
    <t>{"HLa":{"3":"Dusk_Buff_Star3_2_1","4":"Dusk_Buff_Star4_2_1","5":"Dusk_Buff_Star5_2_1","6":"Dusk_Buff_Star6_2_1"}}</t>
  </si>
  <si>
    <t>{"HLa":{"3":"Dusk_Buff_Star3_2_2","4":"Dusk_Buff_Star4_2_2","5":"Dusk_Buff_Star5_2_2","6":"Dusk_Buff_Star6_2_2"}}</t>
  </si>
  <si>
    <t>{"HLa":{"3":"Dusk_Buff_Star3_2_3","4":"Dusk_Buff_Star4_2_3","5":"Dusk_Buff_Star5_2_3","6":"Dusk_Buff_Star6_2_3"}}</t>
  </si>
  <si>
    <t>{"HLa":{"3":"Dusk_Buff_Star3_2_4","4":"Dusk_Buff_Star4_2_4","5":"Dusk_Buff_Star5_2_4","6":"Dusk_Buff_Star6_2_4"}}</t>
  </si>
  <si>
    <t>{"HLa":{"3":"Dusk_Buff_Star3_2_5","4":"Dusk_Buff_Star4_2_5","5":"Dusk_Buff_Star5_2_5","6":"Dusk_Buff_Star6_2_5"}}</t>
  </si>
  <si>
    <t>{"HLa":{"3":"Dusk_Buff_Star3_2_6","4":"Dusk_Buff_Star4_2_6","5":"Dusk_Buff_Star5_2_6","6":"Dusk_Buff_Star6_2_6"}}</t>
  </si>
  <si>
    <t>{"HLa":{"3":"Dusk_Buff_Star3_2_7","4":"Dusk_Buff_Star4_2_7","5":"Dusk_Buff_Star5_2_7","6":"Dusk_Buff_Star6_2_7"}}</t>
  </si>
  <si>
    <t>{"HLa":{"3":"Dusk_Buff_Star3_2_8","4":"Dusk_Buff_Star4_2_8","5":"Dusk_Buff_Star5_2_8","6":"Dusk_Buff_Star6_2_8"}}</t>
  </si>
  <si>
    <t>{"FLEr":{"3":"Dusk_FLEr_Buff_Star3","4":"Dusk_FLEr_Buff_Star4","5":"Dusk_FLEr_Buff_Star5"},"YMJDe":{"3":"Dusk_YMJDe_Buff_Star3","4":"Dusk_YMJDe_Buff_Star4","5":"Dusk_YMJDe_Buff_Star5","6":"Dusk_YMJDe_Buff_Star6"}}</t>
  </si>
  <si>
    <t>单UP卡池</t>
    <phoneticPr fontId="11" type="noConversion"/>
  </si>
  <si>
    <t>[{"id":"DuskM01P01proN02","pos":2,"forbidid":"XBKLDi"},{"id":"DuskM01P01proN05","pos":5,"forbidid":"XBKLDi"}]</t>
    <phoneticPr fontId="11" type="noConversion"/>
  </si>
  <si>
    <t>[{"id":"DuskM01P02proN06","pos":6,"forbidid":"XBKLDi"}]</t>
    <phoneticPr fontId="11" type="noConversion"/>
  </si>
  <si>
    <t>[{"id":"DuskM01P03proN05","pos":5,"forbidid":"XBKLDi"}]</t>
    <phoneticPr fontId="11" type="noConversion"/>
  </si>
  <si>
    <t>[{"id":"DuskM01P04proN05","pos":5,"forbidid":"XBKLDi"}]</t>
    <phoneticPr fontId="11" type="noConversion"/>
  </si>
  <si>
    <t>[{"id":"DuskM01P06proN05","pos":5,"forbidid":"XBKLDi"}]</t>
    <phoneticPr fontId="11" type="noConversion"/>
  </si>
  <si>
    <t>[{"id":"DuskM02P02proN09","pos":9,"forbidid":"XBKLDi"}]</t>
    <phoneticPr fontId="11" type="noConversion"/>
  </si>
  <si>
    <t>[{"id":"DuskE01P01proN02","pos":2,"forbidid":"XBKLDi"},{"id":"DuskE01P01proN05","pos":5,"forbidid":"XBKLDi"}]</t>
    <phoneticPr fontId="11" type="noConversion"/>
  </si>
  <si>
    <t>[{"id":"DuskE01P02proN06","pos":6,"forbidid":"XBKLDi"}]</t>
    <phoneticPr fontId="11" type="noConversion"/>
  </si>
  <si>
    <t>[{"id":"DuskE01P03proN05","pos":5,"forbidid":"XBKLDi"}]</t>
    <phoneticPr fontId="11" type="noConversion"/>
  </si>
  <si>
    <t>[{"id":"DuskE01P04proN05","pos":5,"forbidid":"XBKLDi"}]</t>
    <phoneticPr fontId="11" type="noConversion"/>
  </si>
  <si>
    <t>[{"id":"DuskE01P06proN05","pos":5,"forbidid":"XBKLDi"}]</t>
    <phoneticPr fontId="11" type="noConversion"/>
  </si>
  <si>
    <t>[{"id":"DuskE02P02proN09","pos":9,"forbidid":"XBKLDi"}]</t>
    <phoneticPr fontId="11" type="noConversion"/>
  </si>
  <si>
    <t>Activity_Dusk_1</t>
    <phoneticPr fontId="11" type="noConversion"/>
  </si>
  <si>
    <t>[{"type":"TimeOut","winner":"SideA"}]</t>
    <phoneticPr fontId="11" type="noConversion"/>
  </si>
  <si>
    <t>[50,30]</t>
    <phoneticPr fontId="11" type="noConversion"/>
  </si>
  <si>
    <t>诸神黄昏</t>
    <phoneticPr fontId="11" type="noConversion"/>
  </si>
  <si>
    <t>[Hero_PBattle_FLEr,Skill_Buff_Overlying_Dusk2]</t>
    <phoneticPr fontId="11" type="noConversion"/>
  </si>
  <si>
    <t>{"a1":[10,0],"a2":0,"a3":0,"a4":60}</t>
    <phoneticPr fontId="11" type="noConversion"/>
  </si>
  <si>
    <t>[Hero_PBattle_HLa,Skill_Buff_Overlying_Dusk1]</t>
    <phoneticPr fontId="11" type="noConversion"/>
  </si>
  <si>
    <t>[DuskM01P02proN06]</t>
    <phoneticPr fontId="11" type="noConversion"/>
  </si>
  <si>
    <t>DuskM01P03proN05</t>
    <phoneticPr fontId="11" type="noConversion"/>
  </si>
  <si>
    <t>DuskM01P06proN05</t>
    <phoneticPr fontId="11" type="noConversion"/>
  </si>
  <si>
    <t>DuskM02P01proN05</t>
    <phoneticPr fontId="11" type="noConversion"/>
  </si>
  <si>
    <t>Skill</t>
    <phoneticPr fontId="11" type="noConversion"/>
  </si>
  <si>
    <t>活动本特殊技</t>
    <phoneticPr fontId="11" type="noConversion"/>
  </si>
  <si>
    <t>技能标识</t>
  </si>
  <si>
    <t>技能类型</t>
  </si>
  <si>
    <t>技能名</t>
  </si>
  <si>
    <t>技能美术字</t>
  </si>
  <si>
    <t>召唤物ID</t>
  </si>
  <si>
    <t>$召唤物名字</t>
  </si>
  <si>
    <t>预显示</t>
  </si>
  <si>
    <t>技能范围</t>
  </si>
  <si>
    <t>短描述</t>
  </si>
  <si>
    <t>长描述</t>
  </si>
  <si>
    <t>养成效果名</t>
  </si>
  <si>
    <t>技能函数</t>
  </si>
  <si>
    <t>技能参数</t>
  </si>
  <si>
    <t>能否触发连击</t>
  </si>
  <si>
    <t>能否触发反击</t>
  </si>
  <si>
    <t>技能连击率</t>
  </si>
  <si>
    <t>技能特殊效果</t>
  </si>
  <si>
    <t>是否在关卡中展示</t>
  </si>
  <si>
    <t>是否显示EX</t>
  </si>
  <si>
    <t>主角技能标签</t>
  </si>
  <si>
    <t>亡语技无视目标发动</t>
    <phoneticPr fontId="11" type="noConversion"/>
  </si>
  <si>
    <t>实际技能类型</t>
    <phoneticPr fontId="11" type="noConversion"/>
  </si>
  <si>
    <t>SkillPic</t>
  </si>
  <si>
    <t>Summoned</t>
  </si>
  <si>
    <t>$Summoned_Name</t>
  </si>
  <si>
    <t>TargetPreview</t>
  </si>
  <si>
    <t>SkillRange</t>
  </si>
  <si>
    <t>Desc_short</t>
  </si>
  <si>
    <t>$Desc_short</t>
  </si>
  <si>
    <t>AttrEffects</t>
  </si>
  <si>
    <t>Actions</t>
  </si>
  <si>
    <t>Args</t>
  </si>
  <si>
    <t>AllowDoubleHit</t>
  </si>
  <si>
    <t>AllowCounterHit</t>
  </si>
  <si>
    <t>SkillDoubleRate</t>
  </si>
  <si>
    <t>SkillEffect</t>
  </si>
  <si>
    <t>ShowInBattle</t>
  </si>
  <si>
    <t>IsEXSkill</t>
  </si>
  <si>
    <t>MasterSkillTag</t>
  </si>
  <si>
    <t>NotAskForTarget</t>
    <phoneticPr fontId="11" type="noConversion"/>
  </si>
  <si>
    <t>SkillType</t>
    <phoneticPr fontId="11" type="noConversion"/>
  </si>
  <si>
    <t>CHECK:[NORMAL,PROUD,PASSIVE,SUPER,ULTRA,BUFF,TALENT,SOUL,EQUIP,DEATH,UNIQUE,BATTLEPASSIVE]</t>
  </si>
  <si>
    <t>FOREIGN:Summoned.Id</t>
  </si>
  <si>
    <t>FOREIGN:TargetPreviewRule.Id</t>
  </si>
  <si>
    <t>FOREIGN:SkillAttrEffect.Id</t>
  </si>
  <si>
    <t>FOREIGN:SkillSpecialEffect.Id</t>
  </si>
  <si>
    <t>Skill_Buff_Overlying_Dusk1</t>
    <phoneticPr fontId="11" type="noConversion"/>
  </si>
  <si>
    <t>BATTLEPASSIVE</t>
  </si>
  <si>
    <t>相邻站位生命值增加20%</t>
    <phoneticPr fontId="11" type="noConversion"/>
  </si>
  <si>
    <t>Sk_Desc_Empty</t>
  </si>
  <si>
    <t>Skill_Buff_Overlying</t>
  </si>
  <si>
    <t>[{"id":"Mode","type":"FIXED","value":[4]},{"id":"Factor","type":"FIXED","value":[0.2]}]</t>
    <phoneticPr fontId="11" type="noConversion"/>
  </si>
  <si>
    <t>Skill_Buff_Overlying_Dusk2</t>
    <phoneticPr fontId="11" type="noConversion"/>
  </si>
  <si>
    <t>相邻站位伤害增加20%</t>
    <phoneticPr fontId="11" type="noConversion"/>
  </si>
  <si>
    <t>[{"id":"Mode","type":"FIXED","value":[1]},{"id":"Factor","type":"FIXED","value":[0.2]}]</t>
    <phoneticPr fontId="11" type="noConversion"/>
  </si>
  <si>
    <t>{"start":"2021-11-07 05:00:00"}</t>
    <phoneticPr fontId="11" type="noConversion"/>
  </si>
  <si>
    <t>中文</t>
  </si>
  <si>
    <t>文字长度</t>
    <phoneticPr fontId="11" type="noConversion"/>
  </si>
  <si>
    <t>备注页签名</t>
    <phoneticPr fontId="11" type="noConversion"/>
  </si>
  <si>
    <t>Zh_CN</t>
  </si>
  <si>
    <t>$Zh_CN</t>
  </si>
  <si>
    <t>$Zh_Width</t>
    <phoneticPr fontId="11" type="noConversion"/>
  </si>
  <si>
    <t>$Sheet</t>
    <phoneticPr fontId="11" type="noConversion"/>
  </si>
  <si>
    <t>活动本特殊机制</t>
    <phoneticPr fontId="11" type="noConversion"/>
  </si>
  <si>
    <t>Translate_4</t>
    <phoneticPr fontId="11" type="noConversion"/>
  </si>
  <si>
    <t>特殊机制</t>
  </si>
  <si>
    <t>DuskS01S01_Reward</t>
    <phoneticPr fontId="11" type="noConversion"/>
  </si>
  <si>
    <t>DuskS01S03_Reward</t>
    <phoneticPr fontId="11" type="noConversion"/>
  </si>
  <si>
    <t>SpecialRule_Dusk_Rule_2</t>
  </si>
  <si>
    <t>SpecialRule_Dusk_Rule_3</t>
  </si>
  <si>
    <t>SpecialRule_Dusk_Tittle_1</t>
    <phoneticPr fontId="11" type="noConversion"/>
  </si>
  <si>
    <t>SpecialRule_Dusk_Rule_1</t>
    <phoneticPr fontId="11" type="noConversion"/>
  </si>
  <si>
    <t>[SpecialRule_Dusk_Tittle_1,SpecialRule_Dusk_Rule_1]</t>
    <phoneticPr fontId="11" type="noConversion"/>
  </si>
  <si>
    <t>[SpecialRule_Dusk_Tittle_1,SpecialRule_Dusk_Rule_2]</t>
  </si>
  <si>
    <t>[SpecialRule_Dusk_Tittle_1,SpecialRule_Dusk_Rule_3]</t>
    <phoneticPr fontId="11" type="noConversion"/>
  </si>
  <si>
    <t>[SpecialRule_Dusk_Tittle_1,SpecialRule_Dusk_Rule_4]</t>
    <phoneticPr fontId="11" type="noConversion"/>
  </si>
  <si>
    <t>[SpecialRule_Dusk_Tittle_1,SpecialRule_Dusk_Rule_5]</t>
  </si>
  <si>
    <t>SpecialRule_Dusk_Rule_4</t>
  </si>
  <si>
    <t>SpecialRule_Dusk_Rule_5</t>
  </si>
  <si>
    <t>SpecialRule_Dusk_Rule_6</t>
  </si>
  <si>
    <t>[SpecialRule_Dusk_Tittle_1,SpecialRule_Dusk_Rule_6]</t>
    <phoneticPr fontId="11" type="noConversion"/>
  </si>
  <si>
    <t>[SpecialRule_Dusk_Tittle_1,SpecialRule_Dusk_Rule_5]</t>
    <phoneticPr fontId="11" type="noConversion"/>
  </si>
  <si>
    <t>[SpecialRule_Dusk_Tittle_1,SpecialRule_Dusk_Rule_4,SpecialRule_Dusk_Rule_5]</t>
    <phoneticPr fontId="11" type="noConversion"/>
  </si>
  <si>
    <t>&lt;outline color='#000000' size = '1'&gt;&lt;font face='${fontName}' size='16' color='#ffffff'&gt;当前关卡&lt;/font&gt;&lt;font face='${fontName}' size='16' color='#ffaa16'&gt;格莱死亡则战斗失败&lt;/font&gt;&lt;font face='${fontName}' size='16' color='#ffffff'&gt;队长在保护格莱的同时要努力战斗呀！&lt;/font&gt;&lt;/outline&gt;</t>
    <phoneticPr fontId="11" type="noConversion"/>
  </si>
  <si>
    <t>&lt;outline color='#000000' size = '1'&gt;&lt;font face='${fontName}' size='16' color='#ffffff'&gt;当前关卡&lt;/font&gt;&lt;font face='${fontName}' size='16' color='#ffaa16'&gt;海蒂死亡则战斗失败&lt;/font&gt;&lt;font face='${fontName}' size='16' color='#ffffff'&gt;队长在保护海蒂的同时要努力战斗呀！&lt;/font&gt;&lt;/outline&gt;</t>
  </si>
  <si>
    <t>&lt;outline color='#000000' size = '1'&gt;&lt;font face='${fontName}' size='16' color='#ffffff'&gt;当前关卡&lt;/font&gt;&lt;font face='${fontName}' size='16' color='#ffaa16'&gt;阿斯克死亡则战斗失败&lt;/font&gt;&lt;font face='${fontName}' size='16' color='#ffffff'&gt;队长在保护阿斯克的同时要努力战斗呀！&lt;/font&gt;&lt;/outline&gt;</t>
  </si>
  <si>
    <t>&lt;outline color='#000000' size = '1'&gt;&lt;font face='${fontName}' size='16' color='#ffffff'&gt;当前关卡&lt;/font&gt;&lt;font face='${fontName}' size='16' color='#ffaa16'&gt;在相邻位置上阵伙伴，可以给伙伴双方增加20%的伤害率&lt;/font&gt;&lt;font face='${fontName}' size='16' color='#ffffff'&gt;队长要善于利用加成哦！&lt;/font&gt;&lt;/outline&gt;</t>
  </si>
  <si>
    <t>&lt;outline color='#000000' size = '1'&gt;&lt;font face='${fontName}' size='16' color='#ffffff'&gt;当前关卡&lt;/font&gt;&lt;font face='${fontName}' size='16' color='#ffaa16'&gt;在相邻位置上阵伙伴，可以给伙伴双方增加20%的血量上限&lt;/font&gt;&lt;font face='${fontName}' size='16' color='#ffffff'&gt;队长要善于利用加成哦！&lt;/font&gt;&lt;/outline&gt;</t>
  </si>
  <si>
    <t>Activity_Dusk_2</t>
  </si>
  <si>
    <t>[[{"duration":180000,"EnergySpeed":0,"EnemyEnergySpeed":1}]]</t>
    <phoneticPr fontId="11" type="noConversion"/>
  </si>
  <si>
    <t>[50,150]</t>
    <phoneticPr fontId="11" type="noConversion"/>
  </si>
  <si>
    <t>[Hero_PBattle_HLa,Skill_Buff_Overlying_Dusk1,Skill_Buff_Overlying_Dusk2]</t>
    <phoneticPr fontId="11" type="noConversion"/>
  </si>
  <si>
    <t>&lt;outline color='#000000' size = '1'&gt;&lt;font face='${fontName}' size='16' color='#ffffff'&gt;当前关卡&lt;/font&gt;&lt;font face='${fontName}' size='16' color='#ffaa16'&gt;队长死亡则战斗失败，&lt;/font&gt;&lt;font face='${fontName}' size='16' color='#ffffff'&gt;队长要努力活下去呀！&lt;/font&gt;&lt;/outline&gt;</t>
    <phoneticPr fontId="11" type="noConversion"/>
  </si>
  <si>
    <t>SpecialRule_Dusk_Rule_7</t>
    <phoneticPr fontId="11" type="noConversion"/>
  </si>
  <si>
    <t>[SpecialRule_Dusk_Tittle_1,SpecialRule_Dusk_Rule_5,SpecialRule_Dusk_Rule_7]</t>
    <phoneticPr fontId="11" type="noConversion"/>
  </si>
  <si>
    <t>{"start":"2021-11-01 05:00:00"}</t>
    <phoneticPr fontId="11" type="noConversion"/>
  </si>
  <si>
    <t>[{"id":"DuskM02P01proN05","pos":4,"forbidid":"XBKLDi"}]</t>
    <phoneticPr fontId="11" type="noConversion"/>
  </si>
  <si>
    <t>{"a1":[10,0],"a2":0,"a3":0,"a4":50}</t>
    <phoneticPr fontId="11" type="noConversion"/>
  </si>
  <si>
    <t>Skill_YMJDe_Passive_Activity</t>
    <phoneticPr fontId="11" type="noConversion"/>
  </si>
  <si>
    <t>Sk_Name_Hero_PBattle_YMJDe</t>
  </si>
  <si>
    <t>耶梦加得战斗被动技能</t>
  </si>
  <si>
    <t>ico_aske_sk4</t>
  </si>
  <si>
    <t>Sk_DescShort_Hero_PBattle_YMJDe</t>
  </si>
  <si>
    <t>耶梦加得战斗被动技能短描述</t>
  </si>
  <si>
    <t>Sk_Desc_Hero_PBattle_YMJDe</t>
  </si>
  <si>
    <t>耶梦加得战斗被动技能长描述</t>
  </si>
  <si>
    <t>[{"id":"Energy","type":"FIXED","value":[4]}]</t>
  </si>
  <si>
    <t>Hero_PBattle_YMJDe_Dusk</t>
    <phoneticPr fontId="11" type="noConversion"/>
  </si>
  <si>
    <t>[Hero_PBattle_YMJDe_Dusk,Skill_Buff_Overlying_Dusk2]</t>
    <phoneticPr fontId="11" type="noConversion"/>
  </si>
  <si>
    <t>[Hero_PBattle_YMJDe_Dusk]</t>
    <phoneticPr fontId="11" type="noConversion"/>
  </si>
  <si>
    <t>{"a1":[10,0],"a2":0,"a3":0,"a4":40}</t>
    <phoneticPr fontId="11" type="noConversion"/>
  </si>
  <si>
    <t>[{"id":"DuskE02P01proN05","pos":4,"forbidid":"XBKLDi"}]</t>
    <phoneticPr fontId="11" type="noConversion"/>
  </si>
  <si>
    <t>[{"type":3,"code":"FLEr","amount":2}]</t>
    <phoneticPr fontId="27" type="noConversion"/>
  </si>
  <si>
    <t>法术SSR武器</t>
  </si>
  <si>
    <t>法术SSR鞋</t>
  </si>
  <si>
    <t>突破源晶青橙</t>
  </si>
  <si>
    <t>精选之证*1</t>
  </si>
  <si>
    <t>万能碎片</t>
  </si>
  <si>
    <t>金色伙伴石*1</t>
  </si>
  <si>
    <t>召唤之证*1</t>
  </si>
  <si>
    <t>失落之镜*50</t>
  </si>
  <si>
    <t>金币*10000</t>
  </si>
  <si>
    <t>大梦魇瓶*2</t>
  </si>
  <si>
    <t>水晶*10000</t>
  </si>
  <si>
    <t>[{"type":2,"code":"IM_Dusk_ExchangeItem","amount":3000}]</t>
    <phoneticPr fontId="11" type="noConversion"/>
  </si>
  <si>
    <t>[{"type":2,"code":"IM_Dusk_ExchangeItem","amount":300}]</t>
    <phoneticPr fontId="11" type="noConversion"/>
  </si>
  <si>
    <t>[{"type":2,"code":"IM_Dusk_ExchangeItem","amount":20}]</t>
    <phoneticPr fontId="11" type="noConversion"/>
  </si>
  <si>
    <t>坠日图纸</t>
  </si>
  <si>
    <t>坠日养成材料</t>
  </si>
  <si>
    <t>活动本背景图</t>
  </si>
  <si>
    <t>[{"type":22,"code":"HomeBackground_Dusk","amount":1}]</t>
    <phoneticPr fontId="11" type="noConversion"/>
  </si>
  <si>
    <t>DrawCard_1UP_HLa_10</t>
  </si>
  <si>
    <t>[{"1":[{"type":9,"code":"DrawCard_1UP_HLa_10_Bag1","amount":1}]},{"1":[{"type":9,"code":"DrawCard_1UP_HLa_10_Bag2","amount":1}]},{"1":[{"type":9,"code":"DrawCard_1UP_HLa_10_Bag3","amount":1}]},{"1":[{"type":9,"code":"DrawCard_1UP_HLa_10_Bag4","amount":1}]},{"1":[{"type":9,"code":"DrawCard_1UP_HLa_10_Bag5","amount":1}]},{"1":[{"type":9,"code":"DrawCard_1UP_HLa_10_Bag6","amount":1}]},{"1":[{"type":9,"code":"DrawCard_1UP_HLa_10_Bag7","amount":1}]},{"1":[{"type":9,"code":"DrawCard_1UP_HLa_10_Bag8","amount":1}]},{"1":[{"type":9,"code":"DrawCard_1UP_HLa_10_Bag9","amount":1}]},{"1":[{"type":9,"code":"DrawCard_1UP_HLa_10_Bag10","amount":1}]}]</t>
  </si>
  <si>
    <t>DrawCard_1UP_HLa_10_Bag1</t>
  </si>
  <si>
    <t>[{"1":[{"type":9,"code":"DrawCard_1UP_HLa_10_Bag1_Group","amount":1}]},{"9":[{"type":9,"code":"DrawCard_1UP_HLa_10_Bag1_Loop","amount":1}]}]</t>
  </si>
  <si>
    <t>DrawCard_1UP_HLa_10_Bag2</t>
  </si>
  <si>
    <t>DrawCard_1UP_HLa_10_Bag3</t>
  </si>
  <si>
    <t>[{"15":[{"type":9,"code":"DrawCard_1UP_HLa_10_SSR_Random","amount":1}]},{"250":[{"type":9,"code":"DrawHero_NormalSR","amount":1}]},{"735":[{"type":9,"code":"DrawHero_NormalR","amount":1}]}]</t>
  </si>
  <si>
    <t>DrawCard_1UP_HLa_10_Bag4</t>
  </si>
  <si>
    <t>DrawCard_1UP_HLa_10_Bag5</t>
  </si>
  <si>
    <t>DrawCard_1UP_HLa_10_Bag6</t>
  </si>
  <si>
    <t>DrawCard_1UP_HLa_10_Bag7</t>
  </si>
  <si>
    <t>DrawCard_1UP_HLa_10_Bag8</t>
  </si>
  <si>
    <t>DrawCard_1UP_HLa_10_Bag9</t>
  </si>
  <si>
    <t>DrawCard_1UP_HLa_10_Bag10</t>
  </si>
  <si>
    <t>DrawCard_1UP_HLa_1</t>
  </si>
  <si>
    <t>[{"1":[{"type":9,"code":"DrawCard_1UP_HLa_1_Bag1","amount":1}]},{"1":[{"type":9,"code":"DrawCard_1UP_HLa_10_Bag2","amount":1}]},{"1":[{"type":9,"code":"DrawCard_1UP_HLa_10_Bag3","amount":1}]},{"1":[{"type":9,"code":"DrawCard_1UP_HLa_10_Bag4","amount":1}]},{"1":[{"type":9,"code":"DrawCard_1UP_HLa_10_Bag5","amount":1}]},{"1":[{"type":9,"code":"DrawCard_1UP_HLa_10_Bag6","amount":1}]},{"1":[{"type":9,"code":"DrawCard_1UP_HLa_10_Bag7","amount":1}]},{"1":[{"type":9,"code":"DrawCard_1UP_HLa_10_Bag8","amount":1}]},{"1":[{"type":9,"code":"DrawCard_1UP_HLa_10_Bag9","amount":1}]},{"1":[{"type":9,"code":"DrawCard_1UP_HLa_10_Bag10","amount":1}]}]</t>
  </si>
  <si>
    <t>DrawCard_1UP_HLa_1_Bag1</t>
  </si>
  <si>
    <t>[{"120":[{"type":9,"code":"DrawCard_1UP_HLa_10_SSR_UP","amount":1}]},{"180":[{"type":9,"code":"DrawCard_1UP_HLa_10_SSR_Normal","amount":1}]},{"700":[{"type":9,"code":"DrawHero_NormalSR","amount":1}]}]</t>
  </si>
  <si>
    <t>DrawCard_1UP_HLa_10_SSR_UP</t>
  </si>
  <si>
    <t>[{"3":[{"type":3,"code":"HLa","amount":3}]}]</t>
  </si>
  <si>
    <t>DrawCard_1UP_HLa_10_SSR_Normal</t>
  </si>
  <si>
    <t>DrawCard_1UP_HLa_10_SSR_Random</t>
  </si>
  <si>
    <t>[{"40":[{"type":9,"code":"DrawCard_1UP_HLa_10_SSR_UP","amount":1}]},{"60":[{"type":9,"code":"DrawCard_1UP_HLa_10_SSR_Normal","amount":1}]}]</t>
  </si>
  <si>
    <t>DrawCard_1UP_HLa_10_Bag1_Group</t>
  </si>
  <si>
    <t>[{"10":[{"type":9,"code":"DrawCard_1UP_HLa_10_Bag1_Group1","amount":1}]},{"10":[{"type":9,"code":"DrawCard_1UP_HLa_10_Bag1_Group1","amount":1}]},{"10":[{"type":9,"code":"DrawCard_1UP_HLa_10_Bag1_Group1","amount":1}]},{"10":[{"type":9,"code":"DrawCard_1UP_HLa_10_Bag1_Group1","amount":1}]},{"10":[{"type":9,"code":"DrawCard_1UP_HLa_10_Bag1_Group1","amount":1}]},{"10":[{"type":9,"code":"DrawCard_1UP_HLa_10_Bag1_Group1","amount":1}]},{"10":[{"type":9,"code":"DrawCard_1UP_HLa_10_Bag1_Group2","amount":1}]},{"10":[{"type":9,"code":"DrawCard_1UP_HLa_10_Bag1_Group2","amount":1}]},{"10":[{"type":9,"code":"DrawCard_1UP_HLa_10_Bag1_Group2","amount":1}]},{"10":[{"type":9,"code":"DrawCard_1UP_HLa_10_Bag1_Group2","amount":1}]},{"10":[{"type":9,"code":"DrawCard_1UP_HLa_10_Bag1_Group2","amount":1}]}]</t>
  </si>
  <si>
    <t>DrawCard_1UP_HLa_10_Bag1_Group1</t>
  </si>
  <si>
    <t>[{"1":[{"type":9,"code":"DrawCard_1UP_HLa_10_Bag1_Group1_1To1","amount":1}]},{"2":[{"type":9,"code":"DrawCard_1UP_HLa_10_Bag1_Group1_2To2","amount":1}]},{"3":[{"type":9,"code":"DrawCard_1UP_HLa_10_Bag1_Group1_3To3","amount":1}]},{"4":[{"type":9,"code":"DrawCard_1UP_HLa_10_Bag1_Group1_4To7","amount":1}]},{"8":[{"type":9,"code":"DrawCard_1UP_HLa_10_Bag1_Group1_8To8","amount":1}]}]</t>
  </si>
  <si>
    <t>DrawCard_1UP_HLa_10_Bag1_Group2</t>
  </si>
  <si>
    <t>[{"1":[{"type":9,"code":"DrawCard_1UP_HLa_10_Bag1_Group2_1To1","amount":1}]},{"2":[{"type":9,"code":"DrawCard_1UP_HLa_10_Bag1_Group2_2To2","amount":1}]},{"3":[{"type":9,"code":"DrawCard_1UP_HLa_10_Bag1_Group2_3To3","amount":1}]},{"4":[{"type":9,"code":"DrawCard_1UP_HLa_10_Bag1_Group2_4To7","amount":1}]},{"8":[{"type":9,"code":"DrawCard_1UP_HLa_10_Bag1_Group2_8To8","amount":1}]}]</t>
  </si>
  <si>
    <t>DrawCard_1UP_HLa_10_Bag1_Group1_1To1</t>
  </si>
  <si>
    <t>[{"35":[{"type":9,"code":"DrawCard_1UP_HLa_10_SSR","amount":1}]},{"65":[{"type":9,"code":"DrawCard_1UP_HLa_10_Bag1_Group1_2To2","amount":1}]}]</t>
  </si>
  <si>
    <t>DrawCard_1UP_HLa_10_Bag1_Group1_2To2</t>
  </si>
  <si>
    <t>[{"1":[{"type":9,"code":"DrawHero_NormalSR","amount":1}]},{"2":[{"type":9,"code":"DrawCard_1UP_HLa_10_SSR","amount":1}]}]</t>
  </si>
  <si>
    <t>DrawCard_1UP_HLa_10_Bag1_Group2_1To1</t>
  </si>
  <si>
    <t>[{"35":[{"type":9,"code":"DrawCard_1UP_HLa_10_SSR","amount":1}]},{"65":[{"type":9,"code":"DrawCard_1UP_HLa_10_Bag1_Group2_2To2","amount":1}]}]</t>
  </si>
  <si>
    <t>DrawCard_1UP_HLa_10_Bag1_Group2_2To2</t>
  </si>
  <si>
    <t>DrawCard_1UP_HLa_10_Bag1_Group1_3To3</t>
  </si>
  <si>
    <t>[{"50":[{"type":9,"code":"DrawHero_NormalSR","amount":1}]},{"50":[{"type":9,"code":"DrawCard_1UP_HLa_10_SSR_Random","amount":1}]}]</t>
  </si>
  <si>
    <t>DrawCard_1UP_HLa_10_Bag1_Group2_3To3</t>
  </si>
  <si>
    <t>[{"84":[{"type":9,"code":"DrawHero_NormalSR","amount":1}]},{"14":[{"type":9,"code":"DrawCard_1UP_HLa_10_SSR_Random","amount":1}]}]</t>
  </si>
  <si>
    <t>DrawCard_1UP_HLa_10_Bag1_Group1_4To7</t>
  </si>
  <si>
    <t>[{"1":[{"type":9,"code":"DrawCard_1UP_HLa_10_Bag1_Group1_4","amount":1}]},{"2":[{"type":9,"code":"DrawCard_1UP_HLa_10_Bag1_Group1_5","amount":1}]},{"3":[{"type":9,"code":"DrawCard_1UP_HLa_10_Bag1_Group1_6","amount":1}]},{"4":[{"type":9,"code":"DrawCard_1UP_HLa_10_Bag1_Group1_7","amount":1}]}]</t>
  </si>
  <si>
    <t>DrawCard_1UP_HLa_10_Bag1_Group2_4To7</t>
  </si>
  <si>
    <t>[{"1":[{"type":9,"code":"DrawCard_1UP_HLa_10_Bag1_Group2_4","amount":1}]},{"2":[{"type":9,"code":"DrawCard_1UP_HLa_10_Bag1_Group2_5","amount":1}]},{"3":[{"type":9,"code":"DrawCard_1UP_HLa_10_Bag1_Group2_6","amount":1}]},{"4":[{"type":9,"code":"DrawCard_1UP_HLa_10_Bag1_Group2_7","amount":1}]}]</t>
  </si>
  <si>
    <t>DrawCard_1UP_HLa_10_Bag1_Group1_4</t>
  </si>
  <si>
    <t>[{"10":[{"type":9,"code":"DrawCard_1UP_HLa_10_Bag1_A","amount":1}]},{"90":[{"type":9,"code":"DrawCard_1UP_HLa_10_Bag1_B","amount":1}]}]</t>
  </si>
  <si>
    <t>DrawCard_1UP_HLa_10_Bag1_Group1_5</t>
  </si>
  <si>
    <t>[{"20":[{"type":9,"code":"DrawCard_1UP_HLa_10_Bag1_A","amount":1}]},{"80":[{"type":9,"code":"DrawCard_1UP_HLa_10_Bag1_B","amount":1}]}]</t>
  </si>
  <si>
    <t>DrawCard_1UP_HLa_10_Bag1_Group1_6</t>
  </si>
  <si>
    <t>[{"40":[{"type":9,"code":"DrawCard_1UP_HLa_10_Bag1_A","amount":1}]},{"60":[{"type":9,"code":"DrawCard_1UP_HLa_10_Bag1_B","amount":1}]}]</t>
  </si>
  <si>
    <t>DrawCard_1UP_HLa_10_Bag1_Group1_7</t>
  </si>
  <si>
    <t>[{"30":[{"type":9,"code":"DrawCard_1UP_HLa_10_Bag1_A","amount":1}]},{"70":[{"type":9,"code":"DrawCard_1UP_HLa_10_Bag1_B","amount":1}]}]</t>
  </si>
  <si>
    <t>DrawCard_1UP_HLa_10_Bag1_Group2_4</t>
  </si>
  <si>
    <t>DrawCard_1UP_HLa_10_Bag1_Group2_5</t>
  </si>
  <si>
    <t>DrawCard_1UP_HLa_10_Bag1_Group2_6</t>
  </si>
  <si>
    <t>DrawCard_1UP_HLa_10_Bag1_Group2_7</t>
  </si>
  <si>
    <t>DrawCard_1UP_HLa_10_Bag1_A</t>
  </si>
  <si>
    <t>[{"1":[{"type":9,"code":"DrawCard_1UP_HLa_10_SSR","amount":1}]},{"2":[{"type":9,"code":"DrawHero_NormalSR","amount":1}]},{"3":[{"type":9,"code":"DrawHero_NormalSR","amount":1}]},{"4":[{"type":9,"code":"DrawHero_NormalSR","amount":1}]}]</t>
  </si>
  <si>
    <t>DrawCard_1UP_HLa_10_Bag1_B</t>
  </si>
  <si>
    <t>[{"1":[{"type":9,"code":"DrawHero_NormalSR","amount":1}]},{"2":[{"type":9,"code":"DrawHero_NormalSR","amount":1}]},{"3":[{"type":9,"code":"DrawHero_NormalSR","amount":1}]},{"4":[{"type":9,"code":"DrawCard_1UP_HLa_10_SSR","amount":1}]}]</t>
  </si>
  <si>
    <t>DrawCard_1UP_HLa_10_Bag1_Group1_8To8</t>
  </si>
  <si>
    <t>DrawCard_1UP_HLa_10_Bag1_Group2_8To8</t>
  </si>
  <si>
    <t>DrawCard_1UP_HLa_10_Bag1_Loop</t>
  </si>
  <si>
    <t>[{"1":[{"type":9,"code":"DrawCard_1UP_HLa_10_Bag1_Loop_1","amount":1}]},{"1":[{"type":9,"code":"DrawCard_1UP_HLa_10_Bag1_Loop_1","amount":1}]},{"2":[{"type":9,"code":"DrawCard_1UP_HLa_10_Bag1_Loop_2","amount":1}]},{"2":[{"type":9,"code":"DrawCard_1UP_HLa_10_Bag1_Loop_2","amount":1}]},{"2":[{"type":9,"code":"DrawCard_1UP_HLa_10_Bag1_Loop_2","amount":1}]},{"3":[{"type":9,"code":"DrawCard_1UP_HLa_10_Bag1_Loop_3","amount":1}]},{"3":[{"type":9,"code":"DrawCard_1UP_HLa_10_Bag1_Loop_3","amount":1}]},{"3":[{"type":9,"code":"DrawCard_1UP_HLa_10_Bag1_Loop_3","amount":1}]},{"3":[{"type":9,"code":"DrawCard_1UP_HLa_10_Bag1_Loop_3","amount":1}]},{"3":[{"type":9,"code":"DrawCard_1UP_HLa_10_Bag1_Loop_3","amount":1}]},{"3":[{"type":9,"code":"DrawCard_1UP_HLa_10_Bag1_Loop_3","amount":1}]},{"4":[{"type":9,"code":"DrawCard_1UP_HLa_10_Bag1_Loop_4","amount":1}]},{"4":[{"type":9,"code":"DrawCard_1UP_HLa_10_Bag1_Loop_4","amount":1}]},{"4":[{"type":9,"code":"DrawCard_1UP_HLa_10_Bag1_Loop_4","amount":1}]},{"4":[{"type":9,"code":"DrawCard_1UP_HLa_10_Bag1_Loop_4","amount":1}]},{"4":[{"type":9,"code":"DrawCard_1UP_HLa_10_Bag1_Loop_4","amount":1}]},{"4":[{"type":9,"code":"DrawCard_1UP_HLa_10_Bag1_Loop_4","amount":1}]},{"4":[{"type":9,"code":"DrawCard_1UP_HLa_10_Bag1_Loop_4","amount":1}]},{"4":[{"type":9,"code":"DrawCard_1UP_HLa_10_Bag1_Loop_4","amount":1}]},{"4":[{"type":9,"code":"DrawCard_1UP_HLa_10_Bag1_Loop_4","amount":1}]}]</t>
  </si>
  <si>
    <t>DrawCard_1UP_HLa_10_Bag1_Loop_1</t>
  </si>
  <si>
    <t>[{"1":[{"type":9,"code":"DrawCard_1UP_HLa_10_SSR","amount":1}]},{"2":"Reset"}]</t>
  </si>
  <si>
    <t>DrawCard_1UP_HLa_10_Bag1_Loop_2</t>
  </si>
  <si>
    <t>[{"1":[{"type":9,"code":"DrawCard_1UP_HLa_10_SSR","amount":1}]},{"2":[{"type":9,"code":"DrawHero_NormalSR","amount":1}]},{"3":"Reset"}]</t>
  </si>
  <si>
    <t>DrawCard_1UP_HLa_10_Bag1_Loop_3</t>
  </si>
  <si>
    <t>[{"1":[{"type":9,"code":"DrawCard_1UP_HLa_10_SSR","amount":1}]},{"2":[{"type":9,"code":"DrawHero_NormalSR","amount":1}]},{"4":"Reset"}]</t>
  </si>
  <si>
    <t>DrawCard_1UP_HLa_10_Bag1_Loop_4</t>
  </si>
  <si>
    <t>[{"1":[{"type":9,"code":"DrawCard_1UP_HLa_10_SSR","amount":1}]},{"2":[{"type":9,"code":"DrawHero_NormalSR","amount":1}]},{"5":"Reset"}]</t>
  </si>
  <si>
    <t>DrawCard_1UP_HLa_10_SSR</t>
  </si>
  <si>
    <t>[{"1":[{"type":9,"code":"DrawCard_1UP_HLa_10_SSR_T1","amount":1}]},{"2":[{"type":9,"code":"DrawCard_1UP_HLa_10_SSR_T2","amount":1}]},{"3":[{"type":9,"code":"DrawCard_1UP_HLa_10_SSR_Loop","amount":1}]}]</t>
  </si>
  <si>
    <t>DrawCard_1UP_HLa_10_SSR_T1</t>
  </si>
  <si>
    <t>[{"0":[{"type":9,"code":"DrawCard_1UP_HLa_10_SSR_T1_VT1","amount":1}]},{"13":[{"type":9,"code":"DrawCard_1UP_HLa_10_SSR_T1_VT2","amount":1}]},{"15":[{"type":9,"code":"DrawCard_1UP_HLa_10_SSR_T1_VT3","amount":1}]}]</t>
  </si>
  <si>
    <t>DrawCard_1UP_HLa_10_SSR_T2</t>
  </si>
  <si>
    <t>[{"1":[{"type":9,"code":"DrawCard_1UP_HLa_10_SSR_T2_Random","amount":1}]},{"2":[{"type":9,"code":"DrawCard_1UP_HLa_10_SSR_UP","amount":1}]}]</t>
  </si>
  <si>
    <t>DrawCard_1UP_HLa_10_SSR_T1_VT1</t>
  </si>
  <si>
    <t>[{"333":[{"type":9,"code":"DrawCard_1UP_HLa_10_SSR_UP","amount":1}]},{"1000":[{"type":9,"code":"DrawCard_1UP_HLa_10_SSR_T2","amount":1}]}]</t>
  </si>
  <si>
    <t>DrawCard_1UP_HLa_10_SSR_T1_VT2</t>
  </si>
  <si>
    <t>[{"250":[{"type":9,"code":"DrawCard_1UP_HLa_10_SSR_UP","amount":1}]},{"1000":[{"type":9,"code":"DrawCard_1UP_HLa_10_SSR_T2","amount":1}]}]</t>
  </si>
  <si>
    <t>DrawCard_1UP_HLa_10_SSR_T1_VT3</t>
  </si>
  <si>
    <t>[{"177":[{"type":9,"code":"DrawCard_1UP_HLa_10_SSR_UP","amount":1}]},{"1000":[{"type":9,"code":"DrawCard_1UP_HLa_10_SSR_T2","amount":1}]}]</t>
  </si>
  <si>
    <t>DrawCard_1UP_HLa_10_SSR_T2_Random</t>
  </si>
  <si>
    <t>[{"200":[{"type":9,"code":"DrawCard_1UP_HLa_10_SSR_UP","amount":1}]},{"800":[{"type":9,"code":"DrawCard_1UP_HLa_10_SSR_Normal","amount":1}]}]</t>
  </si>
  <si>
    <t>DrawCard_1UP_HLa_10_SSR_Loop</t>
  </si>
  <si>
    <t>[{"1":[{"type":9,"code":"DrawCard_1UP_HLa_10_SSR_Loop_1","amount":1}]},{"1":[{"type":9,"code":"DrawCard_1UP_HLa_10_SSR_Loop_1","amount":1}]},{"2":[{"type":9,"code":"DrawCard_1UP_HLa_10_SSR_Loop_2","amount":1}]},{"2":[{"type":9,"code":"DrawCard_1UP_HLa_10_SSR_Loop_2","amount":1}]},{"2":[{"type":9,"code":"DrawCard_1UP_HLa_10_SSR_Loop_2","amount":1}]},{"2":[{"type":9,"code":"DrawCard_1UP_HLa_10_SSR_Loop_2","amount":1}]},{"2":[{"type":9,"code":"DrawCard_1UP_HLa_10_SSR_Loop_2","amount":1}]},{"2":[{"type":9,"code":"DrawCard_1UP_HLa_10_SSR_Loop_2","amount":1}]},{"2":[{"type":9,"code":"DrawCard_1UP_HLa_10_SSR_Loop_2","amount":1}]},{"3":[{"type":9,"code":"DrawCard_1UP_HLa_10_SSR_Loop_3","amount":1}]},{"3":[{"type":9,"code":"DrawCard_1UP_HLa_10_SSR_Loop_3","amount":1}]},{"3":[{"type":9,"code":"DrawCard_1UP_HLa_10_SSR_Loop_3","amount":1}]},{"3":[{"type":9,"code":"DrawCard_1UP_HLa_10_SSR_Loop_3","amount":1}]},{"3":[{"type":9,"code":"DrawCard_1UP_HLa_10_SSR_Loop_3","amount":1}]},{"3":[{"type":9,"code":"DrawCard_1UP_HLa_10_SSR_Loop_3","amount":1}]},{"3":[{"type":9,"code":"DrawCard_1UP_HLa_10_SSR_Loop_3","amount":1}]},{"3":[{"type":9,"code":"DrawCard_1UP_HLa_10_SSR_Loop_3","amount":1}]},{"3":[{"type":9,"code":"DrawCard_1UP_HLa_10_SSR_Loop_3","amount":1}]},{"3":[{"type":9,"code":"DrawCard_1UP_HLa_10_SSR_Loop_3","amount":1}]},{"3":[{"type":9,"code":"DrawCard_1UP_HLa_10_SSR_Loop_3","amount":1}]}]</t>
  </si>
  <si>
    <t>DrawCard_1UP_HLa_10_SSR_Loop_1</t>
  </si>
  <si>
    <t>[{"1":[{"type":9,"code":"DrawCard_1UP_HLa_10_SSR_UP","amount":1}]},{"2":"Reset"}]</t>
  </si>
  <si>
    <t>DrawCard_1UP_HLa_10_SSR_Loop_2</t>
  </si>
  <si>
    <t>[{"1":[{"type":9,"code":"DrawCard_1UP_HLa_10_SSR_Normal","amount":1}]},{"2":[{"type":9,"code":"DrawCard_1UP_HLa_10_SSR_UP","amount":1}]},{"3":"Reset"}]</t>
  </si>
  <si>
    <t>DrawCard_1UP_HLa_10_SSR_Loop_3</t>
  </si>
  <si>
    <t>[{"1":[{"type":9,"code":"DrawCard_1UP_HLa_10_SSR_Normal","amount":1}]},{"2":[{"type":9,"code":"DrawCard_1UP_HLa_10_SSR_UP","amount":1}]},{"3":[{"type":9,"code":"DrawCard_1UP_HLa_10_SSR_Normal","amount":1}]},{"4":"Reset"}]</t>
  </si>
  <si>
    <t>[{"8":[{"type":3,"code":"BBLMa","amount":3}]},{"8":[{"type":3,"code":"ZZBBWei","amount":3}]},{"6":[{"type":3,"code":"KTSJKe","amount":3}]}]</t>
    <phoneticPr fontId="11" type="noConversion"/>
  </si>
  <si>
    <t>Mus_Story_Dusk_Main</t>
    <phoneticPr fontId="11" type="noConversion"/>
  </si>
  <si>
    <t>Mus_Story_Dusk_Farewell</t>
    <phoneticPr fontId="11" type="noConversion"/>
  </si>
  <si>
    <t>["Mus_Battle_Dusk","",""]</t>
    <phoneticPr fontId="11" type="noConversion"/>
  </si>
  <si>
    <t>Hero_PBattle_KMLa</t>
  </si>
  <si>
    <r>
      <t>活动关卡</t>
    </r>
    <r>
      <rPr>
        <sz val="12"/>
        <color rgb="FF333333"/>
        <rFont val="Segoe UI"/>
        <family val="2"/>
      </rPr>
      <t>-</t>
    </r>
    <r>
      <rPr>
        <sz val="12"/>
        <color rgb="FF333333"/>
        <rFont val="宋体"/>
        <family val="3"/>
        <charset val="134"/>
      </rPr>
      <t>普通</t>
    </r>
    <phoneticPr fontId="11" type="noConversion"/>
  </si>
  <si>
    <t>[1]</t>
    <phoneticPr fontId="11" type="noConversion"/>
  </si>
  <si>
    <t>[[{"duration":120000,"EnergySpeed":1,"EnemyEnergySpeed":1}]]</t>
    <phoneticPr fontId="11" type="noConversion"/>
  </si>
  <si>
    <t>[{"type":"TimeOut","winner":"SideB"},{"type":"KeyUnitsDied","factor":{"unitTag":"DuskE01P02proN06","count":1},"winner":"SideB"}]</t>
    <phoneticPr fontId="11" type="noConversion"/>
  </si>
  <si>
    <t>[{"type":"TimeOut","winner":"SideB"},{"type":"KeyUnitsDied","factor":{"unitTag":"DuskE01P03proN05","count":1},"winner":"SideB"}]</t>
    <phoneticPr fontId="11" type="noConversion"/>
  </si>
  <si>
    <t>[{"type":"TimeOut","winner":"SideB"},{"type":"KeyUnitsDied","factor":{"unitTag":"DuskE01P06proN05","count":1},"winner":"SideB"}]</t>
    <phoneticPr fontId="11" type="noConversion"/>
  </si>
  <si>
    <t>[{"type":"TimeOut","winner":"SideB"},{"type":"KeyUnitsDied","factor":{"unitTag":"DuskE02P01proN05","count":1},"winner":"SideB"}]</t>
    <phoneticPr fontId="11" type="noConversion"/>
  </si>
  <si>
    <t>[{"type":"TimeOut","winner":"SideB"},{"type":"KeyUnitsDied","factor":{"unitTag":"DuskM01P02proN06","count":1},"winner":"SideB"}]</t>
    <phoneticPr fontId="11" type="noConversion"/>
  </si>
  <si>
    <t>[{"type":"TimeOut","winner":"SideB"},{"type":"KeyUnitsDied","factor":{"unitTag":"DuskM01P03proN05","count":1},"winner":"SideB"}]</t>
    <phoneticPr fontId="11" type="noConversion"/>
  </si>
  <si>
    <t>[{"type":"TimeOut","winner":"SideB"},{"type":"KeyUnitsDied","factor":{"unitTag":"DuskM01P06proN05","count":1},"winner":"SideB"}]</t>
    <phoneticPr fontId="11" type="noConversion"/>
  </si>
  <si>
    <t>[{"type":"TimeOut","winner":"SideB"},{"type":"KeyUnitsDied","factor":{"unitTag":"DuskM02P01proN05","count":1},"winner":"SideB"}]</t>
    <phoneticPr fontId="11" type="noConversion"/>
  </si>
  <si>
    <t>Skill_YMJDe_Passive_Activity_Boss</t>
    <phoneticPr fontId="11" type="noConversion"/>
  </si>
  <si>
    <t>Hero_Unique_HLa</t>
    <phoneticPr fontId="11" type="noConversion"/>
  </si>
  <si>
    <t>Hero_Unique_YMJDe</t>
    <phoneticPr fontId="11" type="noConversion"/>
  </si>
  <si>
    <t>{"pattern":"COVER","value":120}</t>
    <phoneticPr fontId="11" type="noConversion"/>
  </si>
  <si>
    <t>&lt;outline color='#000000' size = '1'&gt;&lt;font face='${fontName}' size='16' color='#ffffff'&gt;当前关卡&lt;/font&gt;&lt;font face='${fontName}' size='16' color='#ffaa16'&gt;有且仅有120点能量可用，&lt;/font&gt;&lt;font face='${fontName}' size='16' color='#ffffff'&gt;队长要合理利用哦！&lt;/font&gt;&lt;/outline&gt;</t>
    <phoneticPr fontId="11" type="noConversion"/>
  </si>
  <si>
    <t>[{"type":2,"code":"CO_Weapon_15109_3","amount":1}]</t>
    <phoneticPr fontId="11" type="noConversion"/>
  </si>
  <si>
    <t>[{"type":2,"code":"CO_WeaponStone_3","amount":1}]</t>
    <phoneticPr fontId="27" type="noConversion"/>
  </si>
  <si>
    <t>[0.35,0.35]</t>
    <phoneticPr fontId="11" type="noConversion"/>
  </si>
  <si>
    <t>[0.55,0.55]</t>
    <phoneticPr fontId="11" type="noConversion"/>
  </si>
  <si>
    <t>[0.05,0.05]</t>
    <phoneticPr fontId="11" type="noConversion"/>
  </si>
  <si>
    <t>{"HLa":"Hero_ABlock_HLa_Extra","YMJDe":"Hero_ABlock_YMJDe_Extra","FLEr":"Hero_ABlock_FLEr_Extra"}</t>
    <phoneticPr fontId="11" type="noConversion"/>
  </si>
  <si>
    <t>Activity</t>
    <phoneticPr fontId="27" type="noConversion"/>
  </si>
  <si>
    <t>活动副本</t>
    <phoneticPr fontId="11" type="noConversion"/>
  </si>
  <si>
    <t>活动id</t>
  </si>
  <si>
    <t>活动类型</t>
    <phoneticPr fontId="27" type="noConversion"/>
  </si>
  <si>
    <t>前端UI模板</t>
    <phoneticPr fontId="27" type="noConversion"/>
  </si>
  <si>
    <t>左侧美术图</t>
    <phoneticPr fontId="27" type="noConversion"/>
  </si>
  <si>
    <t>活动名称(标题)</t>
  </si>
  <si>
    <t>活动说明（描述）</t>
  </si>
  <si>
    <t>时间触发机制</t>
    <phoneticPr fontId="27" type="noConversion"/>
  </si>
  <si>
    <t>时间参数</t>
    <phoneticPr fontId="27" type="noConversion"/>
  </si>
  <si>
    <t>时间循环机制</t>
    <phoneticPr fontId="27" type="noConversion"/>
  </si>
  <si>
    <t>循环机制参数</t>
    <phoneticPr fontId="27" type="noConversion"/>
  </si>
  <si>
    <t>服务器条件</t>
    <phoneticPr fontId="27" type="noConversion"/>
  </si>
  <si>
    <t>玩家条件</t>
    <phoneticPr fontId="27" type="noConversion"/>
  </si>
  <si>
    <t>活动配置</t>
    <phoneticPr fontId="27" type="noConversion"/>
  </si>
  <si>
    <t>是否邮件补发</t>
  </si>
  <si>
    <t>补发邮件的ID</t>
    <phoneticPr fontId="27" type="noConversion"/>
  </si>
  <si>
    <t>每日重置</t>
  </si>
  <si>
    <t>活动是否开启</t>
    <phoneticPr fontId="27" type="noConversion"/>
  </si>
  <si>
    <t>是否是主活动</t>
    <phoneticPr fontId="27" type="noConversion"/>
  </si>
  <si>
    <t>展示页面</t>
    <phoneticPr fontId="27" type="noConversion"/>
  </si>
  <si>
    <t>显示顺序号</t>
    <phoneticPr fontId="27" type="noConversion"/>
  </si>
  <si>
    <t>活动图标</t>
    <phoneticPr fontId="27" type="noConversion"/>
  </si>
  <si>
    <t>活动标签</t>
    <phoneticPr fontId="27" type="noConversion"/>
  </si>
  <si>
    <t>可见版本</t>
    <phoneticPr fontId="27" type="noConversion"/>
  </si>
  <si>
    <t>CS</t>
    <phoneticPr fontId="27" type="noConversion"/>
  </si>
  <si>
    <t>dict</t>
    <phoneticPr fontId="27" type="noConversion"/>
  </si>
  <si>
    <t>Id</t>
    <phoneticPr fontId="27" type="noConversion"/>
  </si>
  <si>
    <t>$Title</t>
    <phoneticPr fontId="27" type="noConversion"/>
  </si>
  <si>
    <t>Type</t>
    <phoneticPr fontId="27" type="noConversion"/>
  </si>
  <si>
    <t>UI</t>
    <phoneticPr fontId="27" type="noConversion"/>
  </si>
  <si>
    <t>LeftBanner</t>
    <phoneticPr fontId="27" type="noConversion"/>
  </si>
  <si>
    <t>Title</t>
    <phoneticPr fontId="27" type="noConversion"/>
  </si>
  <si>
    <t>Desc</t>
    <phoneticPr fontId="27" type="noConversion"/>
  </si>
  <si>
    <t>$Desc</t>
    <phoneticPr fontId="27" type="noConversion"/>
  </si>
  <si>
    <t>Time</t>
    <phoneticPr fontId="27" type="noConversion"/>
  </si>
  <si>
    <t>TimeFactor</t>
    <phoneticPr fontId="27" type="noConversion"/>
  </si>
  <si>
    <t>Loop</t>
    <phoneticPr fontId="27" type="noConversion"/>
  </si>
  <si>
    <t>LoopFactor</t>
    <phoneticPr fontId="27" type="noConversion"/>
  </si>
  <si>
    <t>ServerCondition</t>
    <phoneticPr fontId="27" type="noConversion"/>
  </si>
  <si>
    <t>ClientCondition</t>
    <phoneticPr fontId="27" type="noConversion"/>
  </si>
  <si>
    <t>ActivityConfig</t>
    <phoneticPr fontId="27" type="noConversion"/>
  </si>
  <si>
    <t>Mail</t>
    <phoneticPr fontId="27" type="noConversion"/>
  </si>
  <si>
    <t>MailId</t>
    <phoneticPr fontId="27" type="noConversion"/>
  </si>
  <si>
    <t>Reset</t>
    <phoneticPr fontId="27" type="noConversion"/>
  </si>
  <si>
    <t>Enable</t>
    <phoneticPr fontId="27" type="noConversion"/>
  </si>
  <si>
    <t>Primary</t>
    <phoneticPr fontId="27" type="noConversion"/>
  </si>
  <si>
    <t>ShowTab</t>
    <phoneticPr fontId="27" type="noConversion"/>
  </si>
  <si>
    <t>ShowIndex</t>
    <phoneticPr fontId="27" type="noConversion"/>
  </si>
  <si>
    <t>Icon</t>
    <phoneticPr fontId="27" type="noConversion"/>
  </si>
  <si>
    <t>Tag</t>
    <phoneticPr fontId="11" type="noConversion"/>
  </si>
  <si>
    <t>Version</t>
    <phoneticPr fontId="27" type="noConversion"/>
  </si>
  <si>
    <t>FOREIGN:Translate.Id</t>
    <phoneticPr fontId="27" type="noConversion"/>
  </si>
  <si>
    <t>FOREIGN:Mail.Id</t>
    <phoneticPr fontId="27" type="noConversion"/>
  </si>
  <si>
    <t>CHECK:[WONDERFUL,MONDAY,WONDERFUL2,RECOMMEND]</t>
    <phoneticPr fontId="11" type="noConversion"/>
  </si>
  <si>
    <t>ActivityBlock_Dusk</t>
  </si>
  <si>
    <t>芬布尔之冬</t>
    <phoneticPr fontId="11" type="noConversion"/>
  </si>
  <si>
    <t>ActivityBlock</t>
  </si>
  <si>
    <t>ACTIVITYDUSK</t>
    <phoneticPr fontId="11" type="noConversion"/>
  </si>
  <si>
    <t>ActivityBlock_Dusk_Name</t>
  </si>
  <si>
    <t>RANGE_CONTINUE</t>
  </si>
  <si>
    <t>{"ButtonIcon":"dusk_btn_zy_dh","ButtonText":"ActivityBlock_Dusk_Exchange","Activity":["ActivityBlock_Dusk_Map","ActivityBlock_Dusk_DailyTask","ActivityBlock_Dusk_AchieveMentTask"],"ModelId":[{"type":"Hero","model":"HLa","desc":"AB_Dusk_Model_Desc1","url":"view://RecruitView&amp;viewType=push&amp;recruitType=DrawCard_1UP_HLa"},{"type":"Hero","model":"YMJDe","desc":"AB_Dusk_Model_Desc2","url":"view://PassMainView"}],"BonusHero":["HLa","YMJDe","FLEr"],"ResourcesBanner":["IR_DuskStamina","IM_Dusk_ExchangeItem","IR_Diamond"],"ActivityStaminaId":"IR_DuskStamina","Bmg":"scene_main_dusk","RuleDesc":["ActivityTotal_Dusk_RuleDesc_1","ActivityTotal_Dusk_RuleDesc_2","ActivityTotal_Dusk_RuleDesc_3","ActivityTotal_Dusk_RuleDesc_4","ActivityTotal_Dusk_RuleDesc_5"],"SubActivityEndTip":"SubActivity_Dusk_AB_1st","SubActivityStartTip":"SubActivity_Dusk_AB_2st","SubActivityPassPointTip":"SubActivity_Dusk_AB_3st","SubActivityTip":"SubActivity_Dusk_AB_4st","SubActivityTip1":"SubActivity_Dusk_AB_5st","bgm":"Mus_Story_Dusk_Main","ExchangeUrl":"view://ShopCoopExchangeView&amp;activityId=ActivityBlock_Dusk_Exchange","EightDaysUrl":"view://ActivityView&amp;id=EightDays_Dusk","RedPointRelatedActivity":["ActivityBlock_Dusk_Exchange","EightDays_Dusk"],"LoginActivity":"EightDays_Dusk","JumpActivityId":"ActivityBlock_Dusk_Exchange","StartStory":{"mapId":"ActivityBlock_Dusk_Map","pointId":"DuskS01S01"}}</t>
    <phoneticPr fontId="11" type="noConversion"/>
  </si>
  <si>
    <t>ActivityBlock_Dusk_Map</t>
  </si>
  <si>
    <t>极光之下</t>
  </si>
  <si>
    <t>ActivityBlockMap_New</t>
    <phoneticPr fontId="11" type="noConversion"/>
  </si>
  <si>
    <t>ACTIVITYBLOCKMAP</t>
    <phoneticPr fontId="11" type="noConversion"/>
  </si>
  <si>
    <t>ActivityBlock_Dusk_Map_Name</t>
  </si>
  <si>
    <t>{"ActivityBlockMap":["DuskM01","DuskM02"],"BonusHero":["HLa","YMJDe","FLEr"],"ShowReward":"ShowReward_Dusk_ABR","ButtonIcon":"dusk_btn_zy_rukou","BonusHeroDesc":["ABMap_Dusk_RuleDesc_1","ABMap_Dusk_RuleDesc_2","ABMap_Dusk_RuleDesc_3","ABMap_Dusk_RuleDesc_4","ABMap_Dusk_RuleDesc_5","ABMap_Dusk_RuleDesc_6","ABMap_Dusk_RuleDesc_7","ABMap_Dusk_RuleDesc_8","ABMap_Dusk_RuleDesc_9","ABMap_Dusk_RuleDesc_10"],"ResourcesBanner":["IR_Gold","IR_Crystal","IR_DuskStamina","IR_Diamond"],"BlockNum":27,"ChangeBtnImg":{"DuskM01":{"Image":"dusk_btn_fbgq_pt.png","Part":"ActivityBlockPoint_Part_1"},"DuskM02":{"Image":"dusk_btn_fbgq_kn.png","Part":"ActivityBlockPoint_Part_2"}}}</t>
    <phoneticPr fontId="11" type="noConversion"/>
  </si>
  <si>
    <t>ActivityBlock_Dusk_DailyTask</t>
  </si>
  <si>
    <t>日常任务</t>
    <phoneticPr fontId="11" type="noConversion"/>
  </si>
  <si>
    <t>TASK</t>
  </si>
  <si>
    <t>ABDAILYTASK</t>
  </si>
  <si>
    <t>ActivityBlock_Dusk_DailyTask_Name</t>
  </si>
  <si>
    <t>{"task":["Dusk_DailyTask_01","Dusk_DailyTask_02","Dusk_DailyTask_03","Dusk_DailyTask_04","Dusk_DailyTask_05","Dusk_DailyTask_06"],"entitle":"ABDailyTask_Dusk_entitle","Bmg":"renwu_bd_bj","titleImg":"dusk_txt_renwu_bg1"}</t>
    <phoneticPr fontId="11" type="noConversion"/>
  </si>
  <si>
    <t>Mail_Dusk_DailyTask_Activity</t>
  </si>
  <si>
    <t>ActivityBlock_Dusk_AchieveMentTask</t>
  </si>
  <si>
    <t>成就任务</t>
  </si>
  <si>
    <t>ABACHIEVEMENTTASK</t>
  </si>
  <si>
    <t>ActivityBlock_Dusk_AchieveMentTask_Name</t>
  </si>
  <si>
    <t>{"task":["Dusk_AchieveMentTask_01","Dusk_AchieveMentTask_02","Dusk_AchieveMentTask_03","Dusk_AchieveMentTask_04","Dusk_AchieveMentTask_05","Dusk_AchieveMentTask_06","Dusk_AchieveMentTask_07","Dusk_AchieveMentTask_08","Dusk_AchieveMentTask_09","Dusk_AchieveMentTask_10","Dusk_AchieveMentTask_11","Dusk_AchieveMentTask_12","Dusk_AchieveMentTask_13","Dusk_AchieveMentTask_14","Dusk_AchieveMentTask_15","Dusk_AchieveMentTask_16","Dusk_AchieveMentTask_17","Dusk_AchieveMentTask_18","Dusk_AchieveMentTask_19","Dusk_AchieveMentTask_20","Dusk_AchieveMentTask_21","Dusk_AchieveMentTask_22"],"Bmg":"renwu_bd_bj","titleImg":"dusk_txt_renwu_bg2","entitle":"HalloweenAchieveMentTask_entitle","ShowProgress":1,"Allachieve":[{"num":18,"reward":"Dusk_AchieveMentTask_023_Reward","translate":"ActivityBlock_Dusk_AchieveMentTask_23_Desc"}]}</t>
    <phoneticPr fontId="11" type="noConversion"/>
  </si>
  <si>
    <t>Mail_Dusk_AchieveMentTask_Activity</t>
  </si>
  <si>
    <t>ActivityBlock_Dusk_ExtraNormal</t>
  </si>
  <si>
    <t>ExtraRewardBoard</t>
  </si>
  <si>
    <t>{"block":["Normal","Elite"],"Reward":"Dusk_Stamina_ExtraNormal_R"}</t>
  </si>
  <si>
    <t>ActivityBlock_Dusk_ExtraMap</t>
  </si>
  <si>
    <t>{"block":["Map"],"Reward":"Dusk_Stamina_ExtraMap_R"}</t>
  </si>
  <si>
    <t>ActivityBlock_Dusk_ExtraSorce</t>
  </si>
  <si>
    <t>{"block":["GOLD","EXP","CRYSTAL"],"Reward":"Dusk_Stamina_ExtraSource_R"}</t>
  </si>
  <si>
    <t>EightDays_Dusk</t>
  </si>
  <si>
    <t>每日登录</t>
    <phoneticPr fontId="11" type="noConversion"/>
  </si>
  <si>
    <t>TASK</t>
    <phoneticPr fontId="11" type="noConversion"/>
  </si>
  <si>
    <t>Login14</t>
    <phoneticPr fontId="11" type="noConversion"/>
  </si>
  <si>
    <t>dusk_btn_14qd_anniu</t>
    <phoneticPr fontId="11" type="noConversion"/>
  </si>
  <si>
    <t>EightDays_Dusk_Name</t>
  </si>
  <si>
    <t>ActivityBlock_Login_Desc</t>
    <phoneticPr fontId="11" type="noConversion"/>
  </si>
  <si>
    <t>活动期间，累计登录达到指定天数，即可获得各种奖励</t>
    <phoneticPr fontId="11" type="noConversion"/>
  </si>
  <si>
    <t>{"task":["Dusk_Login_01","Dusk_Login_02","Dusk_Login_03","Dusk_Login_04","Dusk_Login_05","Dusk_Login_06","Dusk_Login_07","Dusk_Login_08","Dusk_Login_09","Dusk_Login_10"],"showHero":{"modelId":"Model_YMJDe","anim":"0","pos":{"x":"340","y":"140"},"scale":"0.8"},"specailDay":[4,7,10],"IsTimeClose":1,"GetRewardClose":1,"titleTxt":"EightDays_Dusk_Name","descTxt":"Activity_Dusk_Supply_Tips","bmg":"dusk_img_14qd_ljdl","titleImg":"dusk_img_14qd_biaoti","cellBgImg":["dusk_btn_14qd_ldj","dusk_btn_14qd_ld_j","dusk_btn_14qd_ld_wxz","dusk_btn_14qd_ld_xz","dusk_btn_14qd_ld_ylq"],"cellTitleImg":"musicfestival_btn_14qd_ldi"}</t>
    <phoneticPr fontId="11" type="noConversion"/>
  </si>
  <si>
    <t>Mail_EightDays_Dusk</t>
  </si>
  <si>
    <t>ActivityBlock_Dusk_Exchange</t>
    <phoneticPr fontId="11" type="noConversion"/>
  </si>
  <si>
    <t>兑换活动</t>
    <phoneticPr fontId="11" type="noConversion"/>
  </si>
  <si>
    <t>EXCHANGE</t>
    <phoneticPr fontId="11" type="noConversion"/>
  </si>
  <si>
    <t>NewExchange</t>
    <phoneticPr fontId="11" type="noConversion"/>
  </si>
  <si>
    <t>ActivityBlock_Dusk_Exchange_Title</t>
  </si>
  <si>
    <t>ActivityBlock_Dusk_Exchange_Desc</t>
  </si>
  <si>
    <t>方向指南会在「极光之下」里掉落哦~</t>
  </si>
  <si>
    <t>{"exchange":["ActivityBlock_Dusk_Exchange_1","ActivityBlock_Dusk_Exchange_2","ActivityBlock_Dusk_Exchange_3","ActivityBlock_Dusk_Exchange_4","ActivityBlock_Dusk_Exchange_5","ActivityBlock_Dusk_Exchange_6","ActivityBlock_Dusk_Exchange_7","ActivityBlock_Dusk_Exchange_8","ActivityBlock_Dusk_Exchange_9","ActivityBlock_Dusk_Exchange_10","ActivityBlock_Dusk_Exchange_11","ActivityBlock_Dusk_Exchange_12","ActivityBlock_Dusk_Exchange_13","ActivityBlock_Dusk_Exchange_14","ActivityBlock_Dusk_Exchange_15"],"ResourceBanner":["IM_Dusk_ExchangeItem"],"ModelId":"Model_HLa","ModelIdOffset":{"pos":[225,185],"scale":0.7},"BubleDesc":["ActivityBlock_Dusk_Buble_1","ActivityBlock_Dusk_Buble_2","ActivityBlock_Dusk_Buble_3","ActivityBlock_Dusk_Buble_4","ActivityBlock_Dusk_Buble_5"]}</t>
    <phoneticPr fontId="11" type="noConversion"/>
  </si>
  <si>
    <t xml:space="preserve">  </t>
    <phoneticPr fontId="11" type="noConversion"/>
  </si>
  <si>
    <t>Translate_1</t>
    <phoneticPr fontId="11" type="noConversion"/>
  </si>
  <si>
    <t>信长活动</t>
  </si>
  <si>
    <t>芬布尔之冬</t>
  </si>
  <si>
    <t>诸神黄昏活动标题</t>
  </si>
  <si>
    <t>诸神黄昏活动副本标题</t>
  </si>
  <si>
    <t>诸神黄昏日常任务</t>
  </si>
  <si>
    <t>诸神黄昏成就任务</t>
  </si>
  <si>
    <t>灵魂之息</t>
  </si>
  <si>
    <t>诸神黄昏兑换任务</t>
  </si>
  <si>
    <t>长夜将明</t>
  </si>
  <si>
    <t>诸神黄昏每日签到任务</t>
  </si>
  <si>
    <t>ActivityBlock_Dusk_Map_Name_1_1</t>
  </si>
  <si>
    <t>极光</t>
    <phoneticPr fontId="11" type="noConversion"/>
  </si>
  <si>
    <t>ActivityBlock_Dusk_Map_Name_1_2</t>
  </si>
  <si>
    <t>之下</t>
    <phoneticPr fontId="27" type="noConversion"/>
  </si>
  <si>
    <t>Mail_Dusk_DailyTask_Activity_Title</t>
  </si>
  <si>
    <t>「芬布尔之冬」日常任务补发奖励</t>
  </si>
  <si>
    <t>日常任务补发邮件标题</t>
    <phoneticPr fontId="11" type="noConversion"/>
  </si>
  <si>
    <t>Mail_Dusk_DailyTask_Activity_Content</t>
  </si>
  <si>
    <t>亲爱的链接者：
您在昨日「芬布尔之冬」活动的日常任务中有未领取的奖励，特此补发给您~</t>
  </si>
  <si>
    <t>日常任务补发邮件内容</t>
    <phoneticPr fontId="11" type="noConversion"/>
  </si>
  <si>
    <t>Mail_Dusk_AchieveMentTask_Activity_Title</t>
  </si>
  <si>
    <t>「芬布尔之冬」活动成就补发奖励</t>
  </si>
  <si>
    <t>成就任务补发邮件标题</t>
    <phoneticPr fontId="11" type="noConversion"/>
  </si>
  <si>
    <t>Mail_Dusk_AchieveMentTask_Activity_Content</t>
  </si>
  <si>
    <t>亲爱的链接者：
您在「芬布尔之冬」活动的成就任务中有未领取的奖励，特此补发给您~</t>
  </si>
  <si>
    <t>成就任务补发邮件内容</t>
    <phoneticPr fontId="11" type="noConversion"/>
  </si>
  <si>
    <t>Mail_Send_Dusk_Name</t>
  </si>
  <si>
    <t>系统通知</t>
    <phoneticPr fontId="11" type="noConversion"/>
  </si>
  <si>
    <t>发件人</t>
  </si>
  <si>
    <t>Mail_EightDays_Dusk_Title</t>
  </si>
  <si>
    <t>「芬布尔之冬」活动累计登录补发奖励</t>
  </si>
  <si>
    <t>每日签到补发邮件标题</t>
    <phoneticPr fontId="11" type="noConversion"/>
  </si>
  <si>
    <t>Mail_EightDays_Dusk_Content</t>
  </si>
  <si>
    <t>亲爱的链接者：
您在「芬布尔之冬」活动的10日登录中有未领取的奖励，特此补发给您~</t>
  </si>
  <si>
    <t>每日签到补发邮件内容</t>
    <phoneticPr fontId="11" type="noConversion"/>
  </si>
  <si>
    <t>IR_DuskStamina_Name</t>
  </si>
  <si>
    <t>星光提灯</t>
  </si>
  <si>
    <t>诸神黄昏活动体力道具名字</t>
  </si>
  <si>
    <t>IM_DuskStamina_Desc</t>
  </si>
  <si>
    <t>即使再微弱的星光，也不会被黑夜吞没。</t>
  </si>
  <si>
    <t>诸神黄昏活动体力道具描述</t>
  </si>
  <si>
    <t>IR_DuskStamina_FunctionDesc</t>
  </si>
  <si>
    <t>用于「芬布尔之冬」活动副本关卡入场消耗</t>
  </si>
  <si>
    <t>诸神黄昏活动体力功能描述</t>
  </si>
  <si>
    <t>IM_Dusk_ExchangeItem_Name</t>
  </si>
  <si>
    <t>方向指南</t>
  </si>
  <si>
    <t>活动兑换道具名称</t>
    <phoneticPr fontId="11" type="noConversion"/>
  </si>
  <si>
    <t>IM_Dusk_ExchangeItem_Desc</t>
  </si>
  <si>
    <t>月落日升，山川云霞；冰封万里，春日繁花——我都替你看吧。</t>
  </si>
  <si>
    <t>活动兑换道具包装描述</t>
    <phoneticPr fontId="11" type="noConversion"/>
  </si>
  <si>
    <t>IM_Dusk_ExchangeItem_FunctionDesc</t>
  </si>
  <si>
    <t>收集该道具可于「芬布尔之冬」的兑换活动「灵魂之息」中兑换超值奖励</t>
  </si>
  <si>
    <t>活动兑换道具功能描述</t>
    <phoneticPr fontId="11" type="noConversion"/>
  </si>
  <si>
    <t>Source_IR_DuskStamina</t>
  </si>
  <si>
    <t>活动</t>
    <phoneticPr fontId="11" type="noConversion"/>
  </si>
  <si>
    <t>道具来源类型</t>
    <phoneticPr fontId="27" type="noConversion"/>
  </si>
  <si>
    <t>Source_IR_DuskStamina_Desc</t>
  </si>
  <si>
    <t>可在「芬布尔之冬」活动获得</t>
  </si>
  <si>
    <t>ActivityTotal_Dusk_RuleDesc_1</t>
  </si>
  <si>
    <t>1.本次「芬布尔之冬」活动，包含大型活动副本、活动日常任务、活动成就任务和道具兑换多种玩法。</t>
  </si>
  <si>
    <t>活动主界面规则</t>
  </si>
  <si>
    <t>ActivityTotal_Dusk_RuleDesc_2</t>
  </si>
  <si>
    <t>2.此次活动的大型活动副本「极光之下」分为上下两篇，其中每个关卡有2个难度：「普通」、「崩坏」。</t>
  </si>
  <si>
    <t>ActivityTotal_Dusk_RuleDesc_3</t>
  </si>
  <si>
    <t>3.进入「极光之下」活动副本会消耗星光提灯，星光提灯会随时间自动恢复。通关主线梦境副本、探索、日常试炼也有概率获得星光提灯，通过这些途径每日最多可获得400盏星光提灯。</t>
    <phoneticPr fontId="11" type="noConversion"/>
  </si>
  <si>
    <t>ActivityTotal_Dusk_RuleDesc_4</t>
  </si>
  <si>
    <t>4.过关「极光之下」活动副本会获得道具「方向指南」，它可在「灵魂之息」中兑换超值奖励哦~</t>
  </si>
  <si>
    <t>ActivityTotal_Dusk_RuleDesc_5</t>
  </si>
  <si>
    <t>5.此次「极光之下」活动副本采用了「公平战力」机制，上阵伙伴等级如果不足300级将被提升至300级。所以选择正确的策略才是通关关键哦~</t>
  </si>
  <si>
    <t>AB_Dusk_Model_Desc1</t>
  </si>
  <si>
    <t>「雾色」卡池召唤获得</t>
    <phoneticPr fontId="11" type="noConversion"/>
  </si>
  <si>
    <t>主界面看板娘文本</t>
    <phoneticPr fontId="11" type="noConversion"/>
  </si>
  <si>
    <t>AB_Dusk_Model_Desc2</t>
  </si>
  <si>
    <t>「招财万福」获得</t>
    <phoneticPr fontId="11" type="noConversion"/>
  </si>
  <si>
    <t>月落</t>
  </si>
  <si>
    <t>上篇名称</t>
    <phoneticPr fontId="11" type="noConversion"/>
  </si>
  <si>
    <t>绚光</t>
  </si>
  <si>
    <t>下篇名称</t>
    <phoneticPr fontId="27" type="noConversion"/>
  </si>
  <si>
    <t>BlockMap_DuskAM01_Name_1_1</t>
  </si>
  <si>
    <t>普</t>
    <phoneticPr fontId="11" type="noConversion"/>
  </si>
  <si>
    <t>副本难度</t>
    <phoneticPr fontId="11" type="noConversion"/>
  </si>
  <si>
    <t>BlockMap_DuskAM01_Name_1_2</t>
  </si>
  <si>
    <t>通</t>
    <phoneticPr fontId="11" type="noConversion"/>
  </si>
  <si>
    <t>BlockMap_DuskAM01_Name_2_1</t>
  </si>
  <si>
    <t>崩</t>
    <phoneticPr fontId="11" type="noConversion"/>
  </si>
  <si>
    <t>BlockMap_DuskAM01_Name_2_2</t>
  </si>
  <si>
    <t>坏</t>
    <phoneticPr fontId="11" type="noConversion"/>
  </si>
  <si>
    <t>BlockMap_DuskAM01_Name_3_1</t>
  </si>
  <si>
    <t>噩</t>
    <phoneticPr fontId="11" type="noConversion"/>
  </si>
  <si>
    <t>BlockMap_DuskAM01_Name_3_2</t>
  </si>
  <si>
    <t>梦</t>
    <phoneticPr fontId="11" type="noConversion"/>
  </si>
  <si>
    <t>Activity_Dusk_Block_UI_1</t>
  </si>
  <si>
    <t>已拥有</t>
  </si>
  <si>
    <t>活动副本</t>
  </si>
  <si>
    <t>Activity_Dusk_Block_UI_2</t>
  </si>
  <si>
    <t>切</t>
    <phoneticPr fontId="11" type="noConversion"/>
  </si>
  <si>
    <t>活动副本入口</t>
    <phoneticPr fontId="11" type="noConversion"/>
  </si>
  <si>
    <t>Activity_Dusk_Block_UI_3</t>
  </si>
  <si>
    <t>换</t>
    <phoneticPr fontId="11" type="noConversion"/>
  </si>
  <si>
    <t>Activity_Dusk_Block_UI_4</t>
  </si>
  <si>
    <t>难度</t>
    <phoneticPr fontId="11" type="noConversion"/>
  </si>
  <si>
    <t>Activity_Dusk_Block_UI_5</t>
  </si>
  <si>
    <t>伙伴</t>
    <phoneticPr fontId="11" type="noConversion"/>
  </si>
  <si>
    <t>Activity_Dusk_Block_UI_6</t>
  </si>
  <si>
    <t>普通梦境</t>
    <phoneticPr fontId="11" type="noConversion"/>
  </si>
  <si>
    <t>活动副本切换难度</t>
    <phoneticPr fontId="11" type="noConversion"/>
  </si>
  <si>
    <t>Activity_Dusk_Block_UI_7</t>
  </si>
  <si>
    <t>崩坏梦境</t>
    <phoneticPr fontId="11" type="noConversion"/>
  </si>
  <si>
    <t>Change_Dusk_Normal_Tips</t>
  </si>
  <si>
    <t>已切换为普通梦境</t>
    <phoneticPr fontId="11" type="noConversion"/>
  </si>
  <si>
    <t>活动副本切换难度tips</t>
    <phoneticPr fontId="11" type="noConversion"/>
  </si>
  <si>
    <t>Change_Dusk_Crazy_Tips</t>
  </si>
  <si>
    <t>已切换为崩坏梦境</t>
    <phoneticPr fontId="11" type="noConversion"/>
  </si>
  <si>
    <t>Change_Dusk_Hard_Tips</t>
  </si>
  <si>
    <t>已切换为噩梦梦境</t>
    <phoneticPr fontId="11" type="noConversion"/>
  </si>
  <si>
    <t>ACTIVITY_Dusk_NOT_ENOUGH_1</t>
  </si>
  <si>
    <t>进入关卡所需「星光提灯」不足</t>
  </si>
  <si>
    <t>活动副本tips提示</t>
    <phoneticPr fontId="11" type="noConversion"/>
  </si>
  <si>
    <t>Act_Dusk_Power_RecPerMin</t>
  </si>
  <si>
    <t>每${num}分钟恢复1盏星光提灯</t>
    <phoneticPr fontId="11" type="noConversion"/>
  </si>
  <si>
    <t>活动体力规则</t>
    <phoneticPr fontId="11" type="noConversion"/>
  </si>
  <si>
    <t>Act_Dusk_Power_RecNext</t>
  </si>
  <si>
    <t>下盏星光提灯恢复</t>
    <phoneticPr fontId="11" type="noConversion"/>
  </si>
  <si>
    <t>Act_Dusk_Power_RecAll</t>
  </si>
  <si>
    <t>恢复全部星光提灯</t>
  </si>
  <si>
    <t>ABMap_Dusk_RuleDesc_1</t>
    <phoneticPr fontId="11" type="noConversion"/>
  </si>
  <si>
    <t>角色加成：本次活动副本上阵角色海蒂、阿斯克、格莱会有特殊加成。</t>
    <phoneticPr fontId="11" type="noConversion"/>
  </si>
  <si>
    <t>加成角色规则</t>
  </si>
  <si>
    <t>ABMap_Dusk_RuleDesc_2</t>
  </si>
  <si>
    <t>「海蒂」</t>
  </si>
  <si>
    <t>ABMap_Dusk_RuleDesc_3</t>
  </si>
  <si>
    <t>1.海蒂在活动副本中伤害率增加80%，免伤率增加80%。</t>
  </si>
  <si>
    <t>ABMap_Dusk_RuleDesc_4</t>
  </si>
  <si>
    <t>2.使用海蒂通关活动副本会获得更多的常规奖励，海蒂的星级越高，获得的常规奖励越多：3、4、5、6星分别增加5%、15%、25%、35%的常规奖励。[首次奖励不受到此加成效果的影响]</t>
    <phoneticPr fontId="11" type="noConversion"/>
  </si>
  <si>
    <t>ABMap_Dusk_RuleDesc_5</t>
  </si>
  <si>
    <t>「阿斯克」</t>
  </si>
  <si>
    <t>ABMap_Dusk_RuleDesc_6</t>
  </si>
  <si>
    <t>1.阿斯克在活动副本中伤害率增加80%，免伤率增加80%。</t>
  </si>
  <si>
    <t>ABMap_Dusk_RuleDesc_7</t>
  </si>
  <si>
    <t>2.在活动副本中上阵阿斯克会提高全体友方角色伤害率和免伤率，阿斯克的星级越高，伤害率和免伤率增加的越多：3、4、5、6星分别加15%、35%、45%、55%的伤害率和免伤率。</t>
    <phoneticPr fontId="11" type="noConversion"/>
  </si>
  <si>
    <t>ABMap_Dusk_RuleDesc_8</t>
  </si>
  <si>
    <t>「格莱」</t>
    <phoneticPr fontId="11" type="noConversion"/>
  </si>
  <si>
    <t>ABMap_Dusk_RuleDesc_9</t>
  </si>
  <si>
    <t>1格莱在活动副本中伤害率增加60%，免伤率增加60%。</t>
    <phoneticPr fontId="11" type="noConversion"/>
  </si>
  <si>
    <t>ABMap_Dusk_RuleDesc_10</t>
  </si>
  <si>
    <t>Activity_Stage_Dusk_ActionPoint_Resume</t>
  </si>
  <si>
    <t>道具返回</t>
  </si>
  <si>
    <t>Activity_Point_Dusk_Hp_Rate</t>
  </si>
  <si>
    <t>剩余血量  ${num}%</t>
    <phoneticPr fontId="11" type="noConversion"/>
  </si>
  <si>
    <t>Activity_Boss_Dusk_Point_Text1</t>
  </si>
  <si>
    <t>Activity_Boss_Dusk_Point_Text2</t>
  </si>
  <si>
    <t>剩余血量</t>
  </si>
  <si>
    <t>Activity_Stage_Dusk_Type_Switch_Tips</t>
  </si>
  <si>
    <t>需先通关普通难度</t>
  </si>
  <si>
    <t>ACTIVITY_Dusk_ENERGY_NOT_ENOUGH</t>
  </si>
  <si>
    <t>进入关卡所需的道具不足~</t>
    <phoneticPr fontId="29" type="noConversion"/>
  </si>
  <si>
    <t>EMap_Dusk_TimeLimit_Tips</t>
  </si>
  <si>
    <t>崩坏难度关卡于${time}开放</t>
    <phoneticPr fontId="29" type="noConversion"/>
  </si>
  <si>
    <t>落日黄昏</t>
  </si>
  <si>
    <t>每日任务名字</t>
    <phoneticPr fontId="11" type="noConversion"/>
  </si>
  <si>
    <t>阴云压境</t>
  </si>
  <si>
    <t>凛冬寒风</t>
  </si>
  <si>
    <t>子夜暖星</t>
  </si>
  <si>
    <t>浓雾将散</t>
  </si>
  <si>
    <t>曙光乍现</t>
  </si>
  <si>
    <t>登录游戏1次</t>
    <phoneticPr fontId="27" type="noConversion"/>
  </si>
  <si>
    <t>每日任务描述</t>
    <phoneticPr fontId="11" type="noConversion"/>
  </si>
  <si>
    <t>通关10次「极光之下」副本关卡</t>
  </si>
  <si>
    <t>参与1次幻境回廊</t>
    <phoneticPr fontId="27" type="noConversion"/>
  </si>
  <si>
    <t>购买1次体力</t>
    <phoneticPr fontId="27" type="noConversion"/>
  </si>
  <si>
    <t>对伙伴赠送1次礼物</t>
    <phoneticPr fontId="27" type="noConversion"/>
  </si>
  <si>
    <t>完成上述所有任务</t>
    <phoneticPr fontId="11" type="noConversion"/>
  </si>
  <si>
    <t>ABDailyTask_Dusk_entitle</t>
  </si>
  <si>
    <t>DailyTask</t>
    <phoneticPr fontId="11" type="noConversion"/>
  </si>
  <si>
    <t>ABAchieveMentTask_Dusk_entitle</t>
  </si>
  <si>
    <t>AchieveMentTask</t>
    <phoneticPr fontId="11" type="noConversion"/>
  </si>
  <si>
    <t>Dusk_AchieveMentTask_StageStarSum_1_Name</t>
  </si>
  <si>
    <t>活动关卡总星级达到10</t>
  </si>
  <si>
    <t>活动成就</t>
    <phoneticPr fontId="27" type="noConversion"/>
  </si>
  <si>
    <t>Dusk_AchieveMentTask_StageStarSum_2_Name</t>
  </si>
  <si>
    <t>活动关卡总星级达到20</t>
  </si>
  <si>
    <t>Dusk_AchieveMentTask_StageStarSum_3_Name</t>
  </si>
  <si>
    <t>活动关卡总星级达到30</t>
  </si>
  <si>
    <t>Dusk_AchieveMentTask_StageStarSum_4_Name</t>
  </si>
  <si>
    <t>活动关卡总星级达到35</t>
  </si>
  <si>
    <t>Dusk_AchieveMentTask_StageStarSum_5_Name</t>
  </si>
  <si>
    <t>活动关卡总星级达到40</t>
  </si>
  <si>
    <t>Dusk_AchieveMentTask_winActStage_1_Name</t>
  </si>
  <si>
    <t>累计通关50次「极光之下」副本关卡</t>
  </si>
  <si>
    <t>Dusk_AchieveMentTask_winActStage_2_Name</t>
  </si>
  <si>
    <t>累计通关100次「极光之下」副本关卡</t>
  </si>
  <si>
    <t>Dusk_AchieveMentTask_winActStage_3_Name</t>
  </si>
  <si>
    <t>累计通关200次「极光之下」副本关卡</t>
  </si>
  <si>
    <t>Dusk_AchieveMentTask_winActStage_4_Name</t>
  </si>
  <si>
    <t>累计通关300次「极光之下」副本关卡</t>
  </si>
  <si>
    <t>Dusk_AchieveMentTask_winActStage_5_Name</t>
  </si>
  <si>
    <t>累计通关400次「极光之下」副本关卡</t>
  </si>
  <si>
    <t>Dusk_AchieveMentTask_ExchangeAchieve_1_Name</t>
  </si>
  <si>
    <t>累计获得5000个方向指南</t>
    <phoneticPr fontId="11" type="noConversion"/>
  </si>
  <si>
    <t>Dusk_AchieveMentTask_ExchangeAchieve_2_Name</t>
  </si>
  <si>
    <t>累计获得10000个方向指南</t>
    <phoneticPr fontId="11" type="noConversion"/>
  </si>
  <si>
    <t>Dusk_AchieveMentTask_ExchangeAchieve_3_Name</t>
  </si>
  <si>
    <t>累计获得16000个方向指南</t>
    <phoneticPr fontId="11" type="noConversion"/>
  </si>
  <si>
    <t>Dusk_AchieveMentTask_ExchangeAchieve_4_Name</t>
  </si>
  <si>
    <t>累计获得20000个方向指南</t>
    <phoneticPr fontId="11" type="noConversion"/>
  </si>
  <si>
    <t>Dusk_AchieveMentTask_ExchangeAchieve_5_Name</t>
  </si>
  <si>
    <t>累计获得25000个方向指南</t>
    <phoneticPr fontId="11" type="noConversion"/>
  </si>
  <si>
    <t>Dusk_AchieveMentTask_TodayLogin_5_Name</t>
  </si>
  <si>
    <t>完成所有成就任务</t>
    <phoneticPr fontId="11" type="noConversion"/>
  </si>
  <si>
    <t>Dusk_AchieveMentTask_StageStarSum_1_Desc</t>
  </si>
  <si>
    <t>Dusk_AchieveMentTask_StageStarSum_2_Desc</t>
  </si>
  <si>
    <t>Dusk_AchieveMentTask_StageStarSum_3_Desc</t>
  </si>
  <si>
    <t>Dusk_AchieveMentTask_StageStarSum_4_Desc</t>
  </si>
  <si>
    <t>Dusk_AchieveMentTask_StageStarSum_5_Desc</t>
  </si>
  <si>
    <t>Dusk_AchieveMentTask_winActStage_1_Desc</t>
  </si>
  <si>
    <t>Dusk_AchieveMentTask_winActStage_2_Desc</t>
  </si>
  <si>
    <t>Dusk_AchieveMentTask_winActStage_3_Desc</t>
  </si>
  <si>
    <t>Dusk_AchieveMentTask_winActStage_4_Desc</t>
  </si>
  <si>
    <t>Dusk_AchieveMentTask_winActStage_5_Desc</t>
  </si>
  <si>
    <t>Dusk_AchieveMentTask_ExchangeAchieve_1_Desc</t>
  </si>
  <si>
    <t>Dusk_AchieveMentTask_ExchangeAchieve_2_Desc</t>
  </si>
  <si>
    <t>Dusk_AchieveMentTask_ExchangeAchieve_3_Desc</t>
  </si>
  <si>
    <t>Dusk_AchieveMentTask_ExchangeAchieve_4_Desc</t>
  </si>
  <si>
    <t>Dusk_AchieveMentTask_ExchangeAchieve_5_Desc</t>
  </si>
  <si>
    <t>Dusk_AchieveMentTask_TodayLogin_1_Desc</t>
  </si>
  <si>
    <t>累计登录2天</t>
    <phoneticPr fontId="27" type="noConversion"/>
  </si>
  <si>
    <t>Dusk_AchieveMentTask_TodayLogin_2_Desc</t>
  </si>
  <si>
    <t>累计登录4天</t>
    <phoneticPr fontId="27" type="noConversion"/>
  </si>
  <si>
    <t>Dusk_AchieveMentTask_TodayLogin_3_Desc</t>
  </si>
  <si>
    <t>累计登录6天</t>
    <phoneticPr fontId="27" type="noConversion"/>
  </si>
  <si>
    <t>Dusk_AchieveMentTask_TodayLogin_4_Desc</t>
  </si>
  <si>
    <t>累计登录8天</t>
    <phoneticPr fontId="27" type="noConversion"/>
  </si>
  <si>
    <t>Dusk_AchieveMentTask_TodayLogin_5_Desc</t>
  </si>
  <si>
    <t>ActivityBlock_Dusk_Exchange</t>
  </si>
  <si>
    <t>兑换</t>
    <phoneticPr fontId="11" type="noConversion"/>
  </si>
  <si>
    <t>兑换活动入口</t>
    <phoneticPr fontId="27" type="noConversion"/>
  </si>
  <si>
    <t>累计获得5000个方向指南</t>
  </si>
  <si>
    <t>累计获得10000个方向指南</t>
  </si>
  <si>
    <t>累计获得16000个方向指南</t>
  </si>
  <si>
    <t>累计获得20000个方向指南</t>
  </si>
  <si>
    <t>累计获得25000个方向指南</t>
  </si>
  <si>
    <t>通关「极光之下」副本上篇普通难度第5关</t>
  </si>
  <si>
    <t>通关「极光之下」副本上篇普通难度第8关</t>
  </si>
  <si>
    <t>通关「极光之下」副本下篇普通难度第4关</t>
  </si>
  <si>
    <t>通关「极光之下」副本下篇普通难度第7关</t>
  </si>
  <si>
    <t>通关「极光之下」副本下篇普通难度第8关</t>
  </si>
  <si>
    <t>通关「极光之下」副本3个崩坏难度关</t>
  </si>
  <si>
    <t>通关「极光之下」副本6个崩坏难度关</t>
  </si>
  <si>
    <t>通关「极光之下」副本8个崩坏难度关</t>
  </si>
  <si>
    <t>通关「极光之下」副本10个崩坏难度关</t>
  </si>
  <si>
    <t>通关「极光之下」副本12个崩坏难度关</t>
  </si>
  <si>
    <t>通关「极光之下」副本14个崩坏难度关</t>
  </si>
  <si>
    <t>通关「极光之下」副本16个崩坏难度关</t>
  </si>
  <si>
    <t>完成任意18个「芬布尔之冬」活动的成就任务</t>
  </si>
  <si>
    <t>黄昏</t>
  </si>
  <si>
    <t>活动关卡名字</t>
    <phoneticPr fontId="27" type="noConversion"/>
  </si>
  <si>
    <t>预言</t>
  </si>
  <si>
    <t>棋局</t>
  </si>
  <si>
    <t>窥探</t>
  </si>
  <si>
    <t>黑夜</t>
  </si>
  <si>
    <t>严冬</t>
  </si>
  <si>
    <t>不变</t>
  </si>
  <si>
    <t>压抑</t>
  </si>
  <si>
    <t>突兀</t>
  </si>
  <si>
    <t>冷光</t>
  </si>
  <si>
    <t>高悬</t>
  </si>
  <si>
    <t>阴霾</t>
  </si>
  <si>
    <t>停滞</t>
  </si>
  <si>
    <t>枯萎</t>
  </si>
  <si>
    <t>冰封</t>
  </si>
  <si>
    <t>掩埋</t>
  </si>
  <si>
    <t>裂缝</t>
  </si>
  <si>
    <t>火焰</t>
  </si>
  <si>
    <t>唤醒</t>
  </si>
  <si>
    <t>喘息</t>
  </si>
  <si>
    <t>往事</t>
  </si>
  <si>
    <t>所求</t>
  </si>
  <si>
    <t>颜色</t>
  </si>
  <si>
    <t>礼物</t>
  </si>
  <si>
    <t>终止</t>
  </si>
  <si>
    <t>付出</t>
  </si>
  <si>
    <t>欺瞒</t>
  </si>
  <si>
    <t>终章</t>
  </si>
  <si>
    <t>黎明</t>
  </si>
  <si>
    <t>相信</t>
  </si>
  <si>
    <t>归程</t>
  </si>
  <si>
    <t>异景</t>
  </si>
  <si>
    <t>撕裂</t>
  </si>
  <si>
    <t>活动关卡名</t>
    <phoneticPr fontId="11" type="noConversion"/>
  </si>
  <si>
    <t>言语</t>
  </si>
  <si>
    <t>告别</t>
  </si>
  <si>
    <t>太阳的余晖，即将被吞没。</t>
  </si>
  <si>
    <t>活动关卡描述</t>
    <phoneticPr fontId="27" type="noConversion"/>
  </si>
  <si>
    <t>残酷的预言，动摇的人心。</t>
  </si>
  <si>
    <t>不想被当做棋子，就要成为棋局中的掌控者。</t>
  </si>
  <si>
    <t>四处都是眼线，窥探着一举一动。</t>
  </si>
  <si>
    <t>黄昏之后，便是寒冷彻骨的雪原长夜。</t>
  </si>
  <si>
    <t>这极北之地的长冬，似乎不会过去。</t>
  </si>
  <si>
    <t>无法改变，也不被允许改变。</t>
  </si>
  <si>
    <t>这始终如一的规则，压抑而窒息。</t>
  </si>
  <si>
    <t>不和谐的杂音，整齐中的突兀。</t>
  </si>
  <si>
    <t>乌云后，惨白的月亮为利刃镀上冷光。</t>
  </si>
  <si>
    <t>铁律、铁律！是高悬的达摩克里斯之剑。</t>
  </si>
  <si>
    <t>盖顶的阴霾，从未真正远去。</t>
  </si>
  <si>
    <t>不变的风景，停滞的脚步。</t>
  </si>
  <si>
    <t>死寂枯萎之地，不会有花盛开。</t>
  </si>
  <si>
    <t>不如就此，让一切被冰封……</t>
  </si>
  <si>
    <t>无尽头的长夜，将希望掩埋。</t>
  </si>
  <si>
    <t>完美的牢笼，终于产生了裂缝。</t>
  </si>
  <si>
    <t>小小的火焰，也能让雪原燃烧。</t>
  </si>
  <si>
    <t>打破铁律，唤醒彼此。</t>
  </si>
  <si>
    <t>阳光从裂纹处撒落，珍惜这片刻的喘息。</t>
  </si>
  <si>
    <t>往事历历在目，约定未被忘却。</t>
  </si>
  <si>
    <t>放上筹码，说出所求。</t>
  </si>
  <si>
    <t>只有一种颜色，终究是太单调了。</t>
  </si>
  <si>
    <t>这不仅仅是礼物，更是一段故事，一个不一样的世界。</t>
  </si>
  <si>
    <t>就此终止，让一切结束吧……可真的甘心么？</t>
  </si>
  <si>
    <t>我会付出我的一切。</t>
  </si>
  <si>
    <t>善意的谎言，亦是欺瞒。</t>
  </si>
  <si>
    <t>再漫长的故事，也会迎来终章。</t>
  </si>
  <si>
    <t>穿过最黑暗的长夜，奔向黎明。</t>
  </si>
  <si>
    <t>是你让我相信，这世界有不同的颜色。</t>
  </si>
  <si>
    <t>不忘记归程，便终有方向。</t>
  </si>
  <si>
    <t>最美的异景，藏在眼眸中。</t>
  </si>
  <si>
    <t>撕裂虚幻的温情。</t>
  </si>
  <si>
    <t>活动关卡描述</t>
    <phoneticPr fontId="11" type="noConversion"/>
  </si>
  <si>
    <t>我想去看看，存在于你言语中的世界。</t>
  </si>
  <si>
    <t>让一切落幕，让我们告别。</t>
  </si>
  <si>
    <t>DuskS01S01_Name</t>
  </si>
  <si>
    <t>1.1月夜对峙</t>
  </si>
  <si>
    <t>剧情关关卡名</t>
    <phoneticPr fontId="27" type="noConversion"/>
  </si>
  <si>
    <t>DuskS01S02_Name</t>
  </si>
  <si>
    <t>1.2初见之时</t>
  </si>
  <si>
    <t>DuskS01S03_Name</t>
  </si>
  <si>
    <t>1.3绝处逢生</t>
  </si>
  <si>
    <t>DuskS01S04_Name</t>
  </si>
  <si>
    <t>1.4极光之下</t>
  </si>
  <si>
    <t>DuskS02S01_Name</t>
  </si>
  <si>
    <t>1.5背水一战</t>
  </si>
  <si>
    <t>DuskS02S02_Name</t>
  </si>
  <si>
    <t>1.6凛冬漫长</t>
  </si>
  <si>
    <t>DuskS02S03_Name</t>
  </si>
  <si>
    <t>1.7奔向黎明</t>
  </si>
  <si>
    <t>DuskS02S04_Name</t>
  </si>
  <si>
    <t>1.8你的眼睛</t>
  </si>
  <si>
    <t>ActivityBlock_Dusk_Buble_1</t>
  </si>
  <si>
    <t>就是这样……才有趣呀~</t>
  </si>
  <si>
    <t>兑换活动的人物气泡，必须配5句</t>
    <phoneticPr fontId="11" type="noConversion"/>
  </si>
  <si>
    <t>ActivityBlock_Dusk_Buble_2</t>
  </si>
  <si>
    <t>我要把他们，牢牢抓在手里才行。</t>
  </si>
  <si>
    <t>兑换活动的人物气泡，必须配5句</t>
    <phoneticPr fontId="27" type="noConversion"/>
  </si>
  <si>
    <t>ActivityBlock_Dusk_Buble_3</t>
  </si>
  <si>
    <t>灵魂的纠缠在触碰中加深。</t>
  </si>
  <si>
    <t>兑换活动的人物气泡，必须配5句</t>
  </si>
  <si>
    <t>ActivityBlock_Dusk_Buble_4</t>
  </si>
  <si>
    <t>如果你有勇气，我愿意满足你的期望。</t>
  </si>
  <si>
    <t>ActivityBlock_Dusk_Buble_5</t>
  </si>
  <si>
    <t>大王、二王和约翰~是小狗狗们的名字哦！</t>
  </si>
  <si>
    <t>Activity_Dusk_Supply_Tips</t>
  </si>
  <si>
    <t>每日签到即可领取相应奖励，坚持上线吧</t>
    <phoneticPr fontId="11" type="noConversion"/>
  </si>
  <si>
    <t>SubActivity_Dusk_AB_1st</t>
  </si>
  <si>
    <t>${activityId}已结束！</t>
    <phoneticPr fontId="27" type="noConversion"/>
  </si>
  <si>
    <t>活动副本提示</t>
    <phoneticPr fontId="11" type="noConversion"/>
  </si>
  <si>
    <t>SubActivity_Dusk_AB_2st</t>
  </si>
  <si>
    <t>${title}于${time}开放</t>
    <phoneticPr fontId="11" type="noConversion"/>
  </si>
  <si>
    <t>SubActivity_Dusk_AB_3st</t>
  </si>
  <si>
    <t>通关${title}的所有关卡后开启</t>
    <phoneticPr fontId="11" type="noConversion"/>
  </si>
  <si>
    <t>SubActivity_Dusk_AB_4st</t>
  </si>
  <si>
    <t>活动已结束</t>
    <phoneticPr fontId="11" type="noConversion"/>
  </si>
  <si>
    <t>SubActivity_Dusk_AB_5st</t>
  </si>
  <si>
    <t>活动未开始</t>
    <phoneticPr fontId="11" type="noConversion"/>
  </si>
  <si>
    <t>SubActivity_Dusk_AB_6st</t>
  </si>
  <si>
    <t>已切换为${part}</t>
    <phoneticPr fontId="11" type="noConversion"/>
  </si>
  <si>
    <t>BlockPointTuning_1</t>
    <phoneticPr fontId="11" type="noConversion"/>
  </si>
  <si>
    <t>请先通过当前关卡的普通难度</t>
    <phoneticPr fontId="11" type="noConversion"/>
  </si>
  <si>
    <t>BlockPoint_Rk_Name</t>
    <phoneticPr fontId="11" type="noConversion"/>
  </si>
  <si>
    <t>剧情</t>
    <phoneticPr fontId="11" type="noConversion"/>
  </si>
  <si>
    <t>关卡详情面板</t>
    <phoneticPr fontId="11" type="noConversion"/>
  </si>
  <si>
    <t>BlockPoint_Condition_Name</t>
    <phoneticPr fontId="11" type="noConversion"/>
  </si>
  <si>
    <t>关卡详情</t>
    <phoneticPr fontId="11" type="noConversion"/>
  </si>
  <si>
    <t>BlockPoint_Condition_Name_2</t>
    <phoneticPr fontId="11" type="noConversion"/>
  </si>
  <si>
    <t>达成目标</t>
    <phoneticPr fontId="11" type="noConversion"/>
  </si>
  <si>
    <t>BlockPoint_Condition_Name_3</t>
    <phoneticPr fontId="11" type="noConversion"/>
  </si>
  <si>
    <t>&lt;outline color='#000000' size = '1'&gt;&lt;font face='${fontName}' size='18' color='#ffaa16'&gt;「通关条件」：&lt;/font&gt;&lt;/outline&gt;</t>
    <phoneticPr fontId="11" type="noConversion"/>
  </si>
  <si>
    <t>BlockPoint_Condition_Name_4</t>
  </si>
  <si>
    <t>&lt;outline color='#000000' size = '1'&gt;&lt;font face='${fontName}' size='18' color='#ffaa16'&gt;「特殊机制」：&lt;/font&gt;&lt;/outline&gt;</t>
    <phoneticPr fontId="11" type="noConversion"/>
  </si>
  <si>
    <t>ActivityBlockPoint_Part_1</t>
    <phoneticPr fontId="11" type="noConversion"/>
  </si>
  <si>
    <t>上篇</t>
    <phoneticPr fontId="11" type="noConversion"/>
  </si>
  <si>
    <t>活动副本上篇图标名</t>
    <phoneticPr fontId="11" type="noConversion"/>
  </si>
  <si>
    <t>ActivityBlockPoint_Part_2</t>
    <phoneticPr fontId="11" type="noConversion"/>
  </si>
  <si>
    <t>下篇</t>
    <phoneticPr fontId="11" type="noConversion"/>
  </si>
  <si>
    <t>活动副本下篇图标名</t>
    <phoneticPr fontId="11" type="noConversion"/>
  </si>
  <si>
    <t>CUSTOM_DETAIL_HARD</t>
  </si>
  <si>
    <t>噩梦</t>
    <phoneticPr fontId="11" type="noConversion"/>
  </si>
  <si>
    <t>难度名称</t>
    <phoneticPr fontId="11" type="noConversion"/>
  </si>
  <si>
    <t>HomeBackground_Dusk_Name</t>
  </si>
  <si>
    <t>幽冥宫殿</t>
    <phoneticPr fontId="11" type="noConversion"/>
  </si>
  <si>
    <t>背景奖励名称</t>
    <phoneticPr fontId="11" type="noConversion"/>
  </si>
  <si>
    <t>HomeBackground_Dusk_Desc</t>
  </si>
  <si>
    <t>获得后可在主界面使用对应场景</t>
    <phoneticPr fontId="11" type="noConversion"/>
  </si>
  <si>
    <t>背景奖励描述</t>
    <phoneticPr fontId="11" type="noConversion"/>
  </si>
  <si>
    <t>Unlock_HomeBackground_Dusk</t>
  </si>
  <si>
    <t>请前往「灵魂之息」兑换商店获取</t>
  </si>
  <si>
    <t>背景奖励解锁提示</t>
    <phoneticPr fontId="11" type="noConversion"/>
  </si>
  <si>
    <t>ItemConfig</t>
    <phoneticPr fontId="11" type="noConversion"/>
  </si>
  <si>
    <t>中文名字</t>
    <phoneticPr fontId="29" type="noConversion"/>
  </si>
  <si>
    <t>分页签</t>
  </si>
  <si>
    <t>对应ID</t>
  </si>
  <si>
    <t>战魂经验</t>
  </si>
  <si>
    <t>VIP等级限制</t>
  </si>
  <si>
    <t>使用等级</t>
  </si>
  <si>
    <t>背包中是否发光</t>
  </si>
  <si>
    <t>其他UI中发光</t>
  </si>
  <si>
    <t>文字描述</t>
  </si>
  <si>
    <t>功能描述</t>
  </si>
  <si>
    <t>图标</t>
  </si>
  <si>
    <t>出售价格</t>
  </si>
  <si>
    <t>获得对应奖励</t>
  </si>
  <si>
    <t>来源</t>
  </si>
  <si>
    <t xml:space="preserve"> 来源补充描述</t>
  </si>
  <si>
    <t>是否可以批量使用</t>
  </si>
  <si>
    <t>最大堆叠数量</t>
  </si>
  <si>
    <t>是否在背包可见</t>
  </si>
  <si>
    <t>获得时立刻使用</t>
  </si>
  <si>
    <t>是否显示红点</t>
  </si>
  <si>
    <t>对应合成ID</t>
    <phoneticPr fontId="11" type="noConversion"/>
  </si>
  <si>
    <t>序列号</t>
    <phoneticPr fontId="11" type="noConversion"/>
  </si>
  <si>
    <t>完美打点ID</t>
    <phoneticPr fontId="11" type="noConversion"/>
  </si>
  <si>
    <t>S</t>
    <phoneticPr fontId="29" type="noConversion"/>
  </si>
  <si>
    <t>CN_Name</t>
    <phoneticPr fontId="29" type="noConversion"/>
  </si>
  <si>
    <t>Page</t>
  </si>
  <si>
    <t>TargetId</t>
  </si>
  <si>
    <t>SoulExp</t>
  </si>
  <si>
    <t>Viplevel</t>
  </si>
  <si>
    <t>UseLevel</t>
  </si>
  <si>
    <t>ShinePack</t>
  </si>
  <si>
    <t>Shine</t>
  </si>
  <si>
    <t>Sort</t>
  </si>
  <si>
    <t>FunctionDesc</t>
  </si>
  <si>
    <t>$FunctionDesc</t>
  </si>
  <si>
    <t>SellPrice</t>
  </si>
  <si>
    <t>Resource</t>
  </si>
  <si>
    <t>ResourceDesc</t>
  </si>
  <si>
    <t>MultiUse</t>
  </si>
  <si>
    <t>MaxPile</t>
  </si>
  <si>
    <t>Link</t>
  </si>
  <si>
    <t>Isvisible</t>
  </si>
  <si>
    <t>UseAtOnce</t>
  </si>
  <si>
    <t>RedTips</t>
  </si>
  <si>
    <t>Compose</t>
    <phoneticPr fontId="11" type="noConversion"/>
  </si>
  <si>
    <t>Rank</t>
    <phoneticPr fontId="11" type="noConversion"/>
  </si>
  <si>
    <t>Item_Id</t>
    <phoneticPr fontId="11" type="noConversion"/>
  </si>
  <si>
    <t>FOREIGN:ItemResource.Id</t>
  </si>
  <si>
    <t>IR_DuskStamina</t>
    <phoneticPr fontId="11" type="noConversion"/>
  </si>
  <si>
    <t>CURRENCY</t>
  </si>
  <si>
    <t>ACTIVITYBLOCK</t>
  </si>
  <si>
    <t>ico_m_dusk_stamina_1</t>
    <phoneticPr fontId="11" type="noConversion"/>
  </si>
  <si>
    <t>OTHER</t>
  </si>
  <si>
    <t>ACTIVITY_ITEM</t>
  </si>
  <si>
    <t>收集该道具可于「芬布尔之冬」的兑换活动「月华星辉」中兑换超值奖励</t>
  </si>
  <si>
    <t>ico_m_dusk_exchange</t>
    <phoneticPr fontId="11" type="noConversion"/>
  </si>
  <si>
    <t>ResourcesIcon</t>
    <phoneticPr fontId="11" type="noConversion"/>
  </si>
  <si>
    <t>Sheet1</t>
    <phoneticPr fontId="11" type="noConversion"/>
  </si>
  <si>
    <t>资源名称</t>
  </si>
  <si>
    <t>根据数量分级</t>
  </si>
  <si>
    <t>分级大图标</t>
  </si>
  <si>
    <t>默认大图标</t>
  </si>
  <si>
    <t>小图标</t>
  </si>
  <si>
    <t>资源描述</t>
  </si>
  <si>
    <t>是否发光</t>
  </si>
  <si>
    <t>Segmentation</t>
  </si>
  <si>
    <t>LargeIcons</t>
    <phoneticPr fontId="11" type="noConversion"/>
  </si>
  <si>
    <t>Licon</t>
    <phoneticPr fontId="11" type="noConversion"/>
  </si>
  <si>
    <t>Sicon</t>
    <phoneticPr fontId="11" type="noConversion"/>
  </si>
  <si>
    <t>Shine</t>
    <phoneticPr fontId="11" type="noConversion"/>
  </si>
  <si>
    <t>Resource</t>
    <phoneticPr fontId="11" type="noConversion"/>
  </si>
  <si>
    <t>IR_DuskStamina</t>
  </si>
  <si>
    <t>[ico_m_dusk_stamina_1]</t>
    <phoneticPr fontId="11" type="noConversion"/>
  </si>
  <si>
    <t>ico_m_dusk_stamina_2</t>
    <phoneticPr fontId="11" type="noConversion"/>
  </si>
  <si>
    <t>用于「芬布尔之冬」活动副本关卡入场消耗</t>
    <phoneticPr fontId="11" type="noConversion"/>
  </si>
  <si>
    <t>[5]</t>
  </si>
  <si>
    <t>ItemResource</t>
    <phoneticPr fontId="11" type="noConversion"/>
  </si>
  <si>
    <t>说明</t>
  </si>
  <si>
    <t>URL</t>
  </si>
  <si>
    <t>来源类型</t>
  </si>
  <si>
    <t>是否跳转</t>
  </si>
  <si>
    <t>来源类型说明</t>
  </si>
  <si>
    <t>文本</t>
  </si>
  <si>
    <t>ResourceType</t>
  </si>
  <si>
    <t>Isturn</t>
  </si>
  <si>
    <t>ResourceText</t>
  </si>
  <si>
    <t>Text</t>
  </si>
  <si>
    <t>ActivityBanner</t>
    <phoneticPr fontId="27" type="noConversion"/>
  </si>
  <si>
    <t>Banner图</t>
    <phoneticPr fontId="11" type="noConversion"/>
  </si>
  <si>
    <t>排序</t>
    <phoneticPr fontId="27" type="noConversion"/>
  </si>
  <si>
    <t>Banner类型</t>
    <phoneticPr fontId="27" type="noConversion"/>
  </si>
  <si>
    <t>BannerId</t>
    <phoneticPr fontId="27" type="noConversion"/>
  </si>
  <si>
    <t>图片</t>
    <phoneticPr fontId="27" type="noConversion"/>
  </si>
  <si>
    <t>跳转链接</t>
    <phoneticPr fontId="29" type="noConversion"/>
  </si>
  <si>
    <t>时间显示参数</t>
    <phoneticPr fontId="29" type="noConversion"/>
  </si>
  <si>
    <t>C</t>
    <phoneticPr fontId="29" type="noConversion"/>
  </si>
  <si>
    <t>dict</t>
    <phoneticPr fontId="29" type="noConversion"/>
  </si>
  <si>
    <t>Sort</t>
    <phoneticPr fontId="27" type="noConversion"/>
  </si>
  <si>
    <t>TypeId</t>
    <phoneticPr fontId="27" type="noConversion"/>
  </si>
  <si>
    <t>Img</t>
    <phoneticPr fontId="27" type="noConversion"/>
  </si>
  <si>
    <t>Link</t>
    <phoneticPr fontId="29" type="noConversion"/>
  </si>
  <si>
    <t>BannerTime</t>
    <phoneticPr fontId="29" type="noConversion"/>
  </si>
  <si>
    <t>ActivityBannerDusk</t>
  </si>
  <si>
    <t>Activity</t>
    <phoneticPr fontId="11" type="noConversion"/>
  </si>
  <si>
    <t>dusk_txt_zjm_banner.png</t>
    <phoneticPr fontId="11" type="noConversion"/>
  </si>
  <si>
    <t>view://ActivityBlockView&amp;activityId=ActivityBlock_Dusk</t>
  </si>
  <si>
    <t>ActivityExchangeBannerDusk</t>
    <phoneticPr fontId="11" type="noConversion"/>
  </si>
  <si>
    <t>dusk_txt_exchange_banner.png</t>
    <phoneticPr fontId="11" type="noConversion"/>
  </si>
  <si>
    <t>view://ShopCoopExchangeView&amp;activityId=ActivityBlock_Dusk_Exchange</t>
    <phoneticPr fontId="11" type="noConversion"/>
  </si>
  <si>
    <t>{"start":["2021-11-13 05:00:00","2021-11-16 05:00:00"],"end":"2021-11-16 05:00:00"}</t>
    <phoneticPr fontId="11" type="noConversion"/>
  </si>
  <si>
    <t>Mail</t>
    <phoneticPr fontId="11" type="noConversion"/>
  </si>
  <si>
    <t>标题</t>
  </si>
  <si>
    <t>内容</t>
  </si>
  <si>
    <t>阅读删除延时</t>
  </si>
  <si>
    <t>邮件来源</t>
  </si>
  <si>
    <t>邮件过期时间</t>
  </si>
  <si>
    <t>附件</t>
  </si>
  <si>
    <t>置顶状态</t>
  </si>
  <si>
    <t>子类型</t>
  </si>
  <si>
    <t>是否可以一键领取</t>
  </si>
  <si>
    <t>邮件图标</t>
  </si>
  <si>
    <t>int</t>
    <phoneticPr fontId="29" type="noConversion"/>
  </si>
  <si>
    <t>Title</t>
  </si>
  <si>
    <t>ExpireAfterRead</t>
  </si>
  <si>
    <t>ExpireTime</t>
  </si>
  <si>
    <t>TopStatus</t>
  </si>
  <si>
    <t>SubType</t>
  </si>
  <si>
    <t>QuickGet</t>
  </si>
  <si>
    <t>CHECK:[USER,UNION,ALL]</t>
  </si>
  <si>
    <t>USER</t>
  </si>
  <si>
    <t>「芬布尔之冬」活动10日登录补发奖励</t>
  </si>
  <si>
    <t>亲爱的链接者：
您在「芬布尔之冬」活动的10日登陆中有未领取的奖励，特此补发给您~</t>
  </si>
  <si>
    <t>BackGroundPicture</t>
    <phoneticPr fontId="11" type="noConversion"/>
  </si>
  <si>
    <t>特效1</t>
    <phoneticPr fontId="27" type="noConversion"/>
  </si>
  <si>
    <t>特效2</t>
    <phoneticPr fontId="27" type="noConversion"/>
  </si>
  <si>
    <t>额外特效</t>
  </si>
  <si>
    <t>$说明</t>
  </si>
  <si>
    <t>Picture</t>
  </si>
  <si>
    <t>Flash1</t>
    <phoneticPr fontId="27" type="noConversion"/>
  </si>
  <si>
    <t>Flash2</t>
    <phoneticPr fontId="27" type="noConversion"/>
  </si>
  <si>
    <t>Extra</t>
  </si>
  <si>
    <t>Dusk_Scene01</t>
  </si>
  <si>
    <t>scene_main_dusk</t>
    <phoneticPr fontId="11" type="noConversion"/>
  </si>
  <si>
    <t>诸神黄昏活动主背景</t>
    <phoneticPr fontId="11" type="noConversion"/>
  </si>
  <si>
    <t>scene_block_dusk_1</t>
    <phoneticPr fontId="11" type="noConversion"/>
  </si>
  <si>
    <t>诸神黄昏活动上篇副本背景</t>
    <phoneticPr fontId="11" type="noConversion"/>
  </si>
  <si>
    <t>scene_block_dusk_2</t>
    <phoneticPr fontId="11" type="noConversion"/>
  </si>
  <si>
    <t>诸神黄昏活动下篇副本背景</t>
    <phoneticPr fontId="11" type="noConversion"/>
  </si>
  <si>
    <t>scene_battle_dusk_1</t>
    <phoneticPr fontId="11" type="noConversion"/>
  </si>
  <si>
    <t>诸神黄昏活动上篇战斗场景</t>
    <phoneticPr fontId="11" type="noConversion"/>
  </si>
  <si>
    <t>Dusk_Scene05</t>
  </si>
  <si>
    <t>scene_battle_dusk_2</t>
    <phoneticPr fontId="11" type="noConversion"/>
  </si>
  <si>
    <t>诸神黄昏活动下篇战斗场景</t>
    <phoneticPr fontId="11" type="noConversion"/>
  </si>
  <si>
    <t>BackGroundPicture</t>
  </si>
  <si>
    <t>GalleryMemory</t>
    <phoneticPr fontId="11" type="noConversion"/>
  </si>
  <si>
    <t>达成条件</t>
  </si>
  <si>
    <t>英文标题</t>
  </si>
  <si>
    <t>描述</t>
  </si>
  <si>
    <t>列表显示图片</t>
  </si>
  <si>
    <t>序列</t>
  </si>
  <si>
    <t>回忆时间</t>
    <phoneticPr fontId="11" type="noConversion"/>
  </si>
  <si>
    <t>屏蔽</t>
    <phoneticPr fontId="11" type="noConversion"/>
  </si>
  <si>
    <t>Englishname</t>
  </si>
  <si>
    <t>Listpicture</t>
  </si>
  <si>
    <t>Num</t>
  </si>
  <si>
    <t>Time</t>
    <phoneticPr fontId="11" type="noConversion"/>
  </si>
  <si>
    <t>Screen</t>
    <phoneticPr fontId="11" type="noConversion"/>
  </si>
  <si>
    <t>CHECK:[STORY,HERO,ACTIVI]</t>
  </si>
  <si>
    <t>STORY</t>
  </si>
  <si>
    <t>[{"conditionType":"Condi_Activity_Story_Block","factor1":[1],"params":["ActivityBlock_Dusk_Map","DuskS01S01"]}]</t>
  </si>
  <si>
    <t>1.1花火大会！</t>
    <phoneticPr fontId="27" type="noConversion"/>
  </si>
  <si>
    <t>img_story_dusk_1</t>
    <phoneticPr fontId="11" type="noConversion"/>
  </si>
  <si>
    <t>Memory_Act_Dusk_2</t>
  </si>
  <si>
    <t>[{"conditionType":"Condi_Activity_Story_Block","factor1":[1],"params":["ActivityBlock_Dusk_Map","DuskS01S02"]}]</t>
  </si>
  <si>
    <t>1.2新的开始</t>
    <phoneticPr fontId="27" type="noConversion"/>
  </si>
  <si>
    <t>Memory_Act_Dusk_3</t>
  </si>
  <si>
    <t>[{"conditionType":"Condi_Activity_Story_Block","factor1":[1],"params":["ActivityBlock_Dusk_Map","DuskS01S03"]}]</t>
  </si>
  <si>
    <t>2.1“无人”陪伴</t>
    <phoneticPr fontId="27" type="noConversion"/>
  </si>
  <si>
    <t>Memory_Act_Dusk_4</t>
  </si>
  <si>
    <t>[{"conditionType":"Condi_Activity_Story_Block","factor1":[1],"params":["ActivityBlock_Dusk_Map","DuskS01S04"]}]</t>
  </si>
  <si>
    <t>2.2芬布尔之冬</t>
  </si>
  <si>
    <t>Memory_Act_Dusk_5</t>
  </si>
  <si>
    <t>img_story_dusk_2</t>
    <phoneticPr fontId="11" type="noConversion"/>
  </si>
  <si>
    <t>Memory_Act_Dusk_6</t>
  </si>
  <si>
    <t>Memory_Act_Dusk_7</t>
  </si>
  <si>
    <t>Memory_Act_Dusk_8</t>
  </si>
  <si>
    <t>[{"conditionType":"Condi_Activity_Story_Block","factor1":[1],"params":["ActivityBlock_Dusk_Map","DuskS02S04"]}]</t>
  </si>
  <si>
    <t>GalleryMemoryStory</t>
    <phoneticPr fontId="11" type="noConversion"/>
  </si>
  <si>
    <t>控制列</t>
    <phoneticPr fontId="11" type="noConversion"/>
  </si>
  <si>
    <t>主线解锁条件</t>
    <phoneticPr fontId="11" type="noConversion"/>
  </si>
  <si>
    <t>活动类型</t>
    <phoneticPr fontId="11" type="noConversion"/>
  </si>
  <si>
    <t>活动解锁条件</t>
    <phoneticPr fontId="11" type="noConversion"/>
  </si>
  <si>
    <t>解锁描述</t>
    <phoneticPr fontId="11" type="noConversion"/>
  </si>
  <si>
    <t>剧情总览</t>
    <phoneticPr fontId="11" type="noConversion"/>
  </si>
  <si>
    <t>ActiviType</t>
    <phoneticPr fontId="11" type="noConversion"/>
  </si>
  <si>
    <t>UnlockStory</t>
    <phoneticPr fontId="11" type="noConversion"/>
  </si>
  <si>
    <t>UnlockDesc</t>
    <phoneticPr fontId="11" type="noConversion"/>
  </si>
  <si>
    <t>Story</t>
    <phoneticPr fontId="11" type="noConversion"/>
  </si>
  <si>
    <t>CHECK:[STORYLIST,HEROLIST,ACTIVILIST]</t>
    <phoneticPr fontId="11" type="noConversion"/>
  </si>
  <si>
    <t>Memory_Act_Dusk</t>
  </si>
  <si>
    <t>ACTIVILIST</t>
  </si>
  <si>
    <t>HomeBackground</t>
    <phoneticPr fontId="27" type="noConversion"/>
  </si>
  <si>
    <t>控制列</t>
    <phoneticPr fontId="27" type="noConversion"/>
  </si>
  <si>
    <t>名称</t>
    <phoneticPr fontId="27" type="noConversion"/>
  </si>
  <si>
    <t>$备注</t>
    <phoneticPr fontId="27" type="noConversion"/>
  </si>
  <si>
    <t>循环机制</t>
    <phoneticPr fontId="27" type="noConversion"/>
  </si>
  <si>
    <t>货币</t>
    <phoneticPr fontId="27" type="noConversion"/>
  </si>
  <si>
    <t>价格</t>
    <phoneticPr fontId="27" type="noConversion"/>
  </si>
  <si>
    <t>是否可见</t>
    <phoneticPr fontId="27" type="noConversion"/>
  </si>
  <si>
    <t>解锁判断道具</t>
    <phoneticPr fontId="27" type="noConversion"/>
  </si>
  <si>
    <t>解锁条件</t>
  </si>
  <si>
    <t>背景缩略图</t>
    <phoneticPr fontId="11" type="noConversion"/>
  </si>
  <si>
    <t>解锁条件描述</t>
    <phoneticPr fontId="11" type="noConversion"/>
  </si>
  <si>
    <t>背景音乐</t>
    <phoneticPr fontId="27" type="noConversion"/>
  </si>
  <si>
    <t>限定时间内开启</t>
  </si>
  <si>
    <t>是否作为奖励获得</t>
    <phoneticPr fontId="27" type="noConversion"/>
  </si>
  <si>
    <t>$</t>
    <phoneticPr fontId="27" type="noConversion"/>
  </si>
  <si>
    <t>Price</t>
    <phoneticPr fontId="27" type="noConversion"/>
  </si>
  <si>
    <t>Unlook</t>
    <phoneticPr fontId="27" type="noConversion"/>
  </si>
  <si>
    <t>Item</t>
    <phoneticPr fontId="27" type="noConversion"/>
  </si>
  <si>
    <t>Condition</t>
    <phoneticPr fontId="29" type="noConversion"/>
  </si>
  <si>
    <t>BGPContraction</t>
    <phoneticPr fontId="29" type="noConversion"/>
  </si>
  <si>
    <t>Tips</t>
    <phoneticPr fontId="29" type="noConversion"/>
  </si>
  <si>
    <t>BGM</t>
    <phoneticPr fontId="27" type="noConversion"/>
  </si>
  <si>
    <t>TimeFactor</t>
    <phoneticPr fontId="11" type="noConversion"/>
  </si>
  <si>
    <t>Information</t>
    <phoneticPr fontId="27" type="noConversion"/>
  </si>
  <si>
    <t>FOREIGN:ItemConfig.Id</t>
    <phoneticPr fontId="27" type="noConversion"/>
  </si>
  <si>
    <t>FOREIGN:ItemConfig.Id</t>
  </si>
  <si>
    <t>FOREIGN:Sound.Id</t>
    <phoneticPr fontId="27" type="noConversion"/>
  </si>
  <si>
    <t>HomeBackground_Dusk</t>
    <phoneticPr fontId="11" type="noConversion"/>
  </si>
  <si>
    <t>{"01:00:00":{"BG":"Dusk_Scene_Reward"}}</t>
    <phoneticPr fontId="11" type="noConversion"/>
  </si>
  <si>
    <t>HomeBackground_1_Item</t>
    <phoneticPr fontId="11" type="noConversion"/>
  </si>
  <si>
    <t>anualshop_scene_main_dusk_preview</t>
    <phoneticPr fontId="11" type="noConversion"/>
  </si>
  <si>
    <t>Mus_Story_Dusk_Main</t>
  </si>
  <si>
    <t>{"img":"Activity_ExchangeBG_Dusk","name":"HomeBackground_Dusk_Name","desc":"HomeBackground_Dusk_Desc"}</t>
    <phoneticPr fontId="11" type="noConversion"/>
  </si>
  <si>
    <t>Dusk_Scene_Reward</t>
    <phoneticPr fontId="11" type="noConversion"/>
  </si>
  <si>
    <t>eff_texiao_zhushenhuanghun</t>
  </si>
  <si>
    <t>诸神黄昏活动背景奖励</t>
  </si>
  <si>
    <t>新手活动</t>
    <phoneticPr fontId="11" type="noConversion"/>
  </si>
  <si>
    <t>玩家条件</t>
  </si>
  <si>
    <t>CHECK:[WONDERFUL,MONDAY,WONDERFUL2,RECOMMEND,NEW]</t>
    <phoneticPr fontId="11" type="noConversion"/>
  </si>
  <si>
    <t>DrawCard_1UP_HLa_Activity</t>
    <phoneticPr fontId="11" type="noConversion"/>
  </si>
  <si>
    <t>DRAWCARDOPEN</t>
  </si>
  <si>
    <t>海蒂单UP</t>
    <phoneticPr fontId="11" type="noConversion"/>
  </si>
  <si>
    <t>{"DRAW":"DrawCard_1UP_HLa","URL":"view://RecruitView&amp;viewType=push&amp;recruitType=DrawCard_1UP_HLa","VANISH":0}</t>
    <phoneticPr fontId="11" type="noConversion"/>
  </si>
  <si>
    <t>DrawCard_1UP_LEMHou_Activity</t>
  </si>
  <si>
    <t>孔心缘单UP</t>
    <phoneticPr fontId="27" type="noConversion"/>
  </si>
  <si>
    <t>{"start":["2021-10-01 05:00:00","2021-10-13 05:00:00"],"end":"2021-10-13 05:00:00"}</t>
    <phoneticPr fontId="27" type="noConversion"/>
  </si>
  <si>
    <t>{"DRAW":"DrawCard_1UP_LEMHou","URL":"view://RecruitView&amp;viewType=push&amp;recruitType=DrawCard_1UP_LEMHou","VANISH":0}</t>
  </si>
  <si>
    <t>DrawCard</t>
    <phoneticPr fontId="27" type="noConversion"/>
  </si>
  <si>
    <t>单UP</t>
    <phoneticPr fontId="11" type="noConversion"/>
  </si>
  <si>
    <t>抽卡名称</t>
    <phoneticPr fontId="27" type="noConversion"/>
  </si>
  <si>
    <t>抽卡英文名</t>
    <phoneticPr fontId="27" type="noConversion"/>
  </si>
  <si>
    <t>备注</t>
    <phoneticPr fontId="41" type="noConversion"/>
  </si>
  <si>
    <t>概率描述标题</t>
    <phoneticPr fontId="29" type="noConversion"/>
  </si>
  <si>
    <t>概率描述</t>
    <phoneticPr fontId="27" type="noConversion"/>
  </si>
  <si>
    <t>抽卡类型</t>
  </si>
  <si>
    <t>抽奖次数</t>
    <phoneticPr fontId="41" type="noConversion"/>
  </si>
  <si>
    <t>代金券道具</t>
    <phoneticPr fontId="27" type="noConversion"/>
  </si>
  <si>
    <t>代金券消耗数量</t>
    <phoneticPr fontId="27" type="noConversion"/>
  </si>
  <si>
    <t>免费重置机制</t>
    <phoneticPr fontId="27" type="noConversion"/>
  </si>
  <si>
    <t>抽卡节点</t>
    <phoneticPr fontId="27" type="noConversion"/>
  </si>
  <si>
    <t>奖励</t>
    <phoneticPr fontId="41" type="noConversion"/>
  </si>
  <si>
    <t>抽卡特别奖励</t>
    <phoneticPr fontId="27" type="noConversion"/>
  </si>
  <si>
    <t>固定道具</t>
    <phoneticPr fontId="27" type="noConversion"/>
  </si>
  <si>
    <t>展示奖励</t>
  </si>
  <si>
    <t>按钮描述</t>
    <phoneticPr fontId="27" type="noConversion"/>
  </si>
  <si>
    <t>按钮英文描述</t>
    <phoneticPr fontId="27" type="noConversion"/>
  </si>
  <si>
    <t>图片预览</t>
    <phoneticPr fontId="29" type="noConversion"/>
  </si>
  <si>
    <t>开放条件</t>
  </si>
  <si>
    <t>显示排序</t>
    <phoneticPr fontId="29" type="noConversion"/>
  </si>
  <si>
    <t>抽卡上限</t>
    <phoneticPr fontId="29" type="noConversion"/>
  </si>
  <si>
    <t>折扣</t>
    <phoneticPr fontId="29" type="noConversion"/>
  </si>
  <si>
    <t>角色详情</t>
  </si>
  <si>
    <t>额外道具</t>
    <phoneticPr fontId="27" type="noConversion"/>
  </si>
  <si>
    <t>标签</t>
    <phoneticPr fontId="11" type="noConversion"/>
  </si>
  <si>
    <t>抽卡返利</t>
    <phoneticPr fontId="11" type="noConversion"/>
  </si>
  <si>
    <t>次数箱子奖励ID</t>
    <phoneticPr fontId="11" type="noConversion"/>
  </si>
  <si>
    <t>是否循环</t>
    <phoneticPr fontId="11" type="noConversion"/>
  </si>
  <si>
    <t>$</t>
    <phoneticPr fontId="29" type="noConversion"/>
  </si>
  <si>
    <t>S</t>
    <phoneticPr fontId="27" type="noConversion"/>
  </si>
  <si>
    <t>int[]</t>
    <phoneticPr fontId="29" type="noConversion"/>
  </si>
  <si>
    <t>int[]</t>
    <phoneticPr fontId="27" type="noConversion"/>
  </si>
  <si>
    <t>DrawCardName</t>
    <phoneticPr fontId="27" type="noConversion"/>
  </si>
  <si>
    <t>DrawCardENName</t>
    <phoneticPr fontId="27" type="noConversion"/>
  </si>
  <si>
    <t>$DrawCardName</t>
    <phoneticPr fontId="29" type="noConversion"/>
  </si>
  <si>
    <t>DrawCardDescTitle</t>
    <phoneticPr fontId="27" type="noConversion"/>
  </si>
  <si>
    <t>DrawCardDesc</t>
    <phoneticPr fontId="27" type="noConversion"/>
  </si>
  <si>
    <t>$DrawCardDesc</t>
    <phoneticPr fontId="29" type="noConversion"/>
  </si>
  <si>
    <t>DrawCardType</t>
  </si>
  <si>
    <t>Number</t>
    <phoneticPr fontId="29" type="noConversion"/>
  </si>
  <si>
    <t>Coupon</t>
    <phoneticPr fontId="27" type="noConversion"/>
  </si>
  <si>
    <t>CouponCost</t>
    <phoneticPr fontId="27" type="noConversion"/>
  </si>
  <si>
    <t>FreeReset</t>
    <phoneticPr fontId="27" type="noConversion"/>
  </si>
  <si>
    <t>Reward</t>
    <phoneticPr fontId="29" type="noConversion"/>
  </si>
  <si>
    <t>SpecialReward</t>
    <phoneticPr fontId="27" type="noConversion"/>
  </si>
  <si>
    <t>NormalReward</t>
    <phoneticPr fontId="29" type="noConversion"/>
  </si>
  <si>
    <t>ShowReward</t>
    <phoneticPr fontId="29" type="noConversion"/>
  </si>
  <si>
    <t>ShortDesc</t>
    <phoneticPr fontId="29" type="noConversion"/>
  </si>
  <si>
    <t>ShortENDesc</t>
    <phoneticPr fontId="29" type="noConversion"/>
  </si>
  <si>
    <t>Preview</t>
    <phoneticPr fontId="29" type="noConversion"/>
  </si>
  <si>
    <t>Rank</t>
    <phoneticPr fontId="29" type="noConversion"/>
  </si>
  <si>
    <t>DrawLimit</t>
    <phoneticPr fontId="29" type="noConversion"/>
  </si>
  <si>
    <t>OffCount</t>
    <phoneticPr fontId="29" type="noConversion"/>
  </si>
  <si>
    <t>DrawCardUPDesc</t>
    <phoneticPr fontId="27" type="noConversion"/>
  </si>
  <si>
    <t>RoleDetail</t>
  </si>
  <si>
    <t>ExtraReward</t>
    <phoneticPr fontId="29" type="noConversion"/>
  </si>
  <si>
    <t>DrawCard_Id</t>
    <phoneticPr fontId="11" type="noConversion"/>
  </si>
  <si>
    <t>Rebate</t>
    <phoneticPr fontId="11" type="noConversion"/>
  </si>
  <si>
    <t>TimeRewardId</t>
    <phoneticPr fontId="11" type="noConversion"/>
  </si>
  <si>
    <t>TimeRewardReset</t>
    <phoneticPr fontId="11" type="noConversion"/>
  </si>
  <si>
    <t>UPDesc</t>
    <phoneticPr fontId="27" type="noConversion"/>
  </si>
  <si>
    <t>PRIMARY</t>
    <phoneticPr fontId="27" type="noConversion"/>
  </si>
  <si>
    <t>CHECK:[DIAMOND,GOLD,EQUIP,ACTIVITYDRAW,ACTIVITYDRAWEQUIP,PVE,PVP,CLUB,ACTIVITYDRAWUR]</t>
    <phoneticPr fontId="11" type="noConversion"/>
  </si>
  <si>
    <t>FOREIGN:ItemConfig.Id</t>
    <phoneticPr fontId="29" type="noConversion"/>
  </si>
  <si>
    <t>FOREIGN:Reset.Id</t>
    <phoneticPr fontId="27" type="noConversion"/>
  </si>
  <si>
    <t>FOREIGN:Translate.Id</t>
    <phoneticPr fontId="29" type="noConversion"/>
  </si>
  <si>
    <t>FOREIGN:UnlockSystem.Id</t>
  </si>
  <si>
    <t>FOREIGN:TimeReward.Id</t>
    <phoneticPr fontId="11" type="noConversion"/>
  </si>
  <si>
    <t>CHECK:[1,0]</t>
    <phoneticPr fontId="11" type="noConversion"/>
  </si>
  <si>
    <t>DrawCard_1UP_HLa</t>
    <phoneticPr fontId="11" type="noConversion"/>
  </si>
  <si>
    <t>DrawCard_1UP_HLa_Name</t>
    <phoneticPr fontId="11" type="noConversion"/>
  </si>
  <si>
    <t>海蒂单UP</t>
  </si>
  <si>
    <t>ACTIVITYDRAW</t>
    <phoneticPr fontId="11" type="noConversion"/>
  </si>
  <si>
    <t>[1,10]</t>
  </si>
  <si>
    <t>IM_DiamondDrawEX</t>
  </si>
  <si>
    <t>DrawCard_TimeUp</t>
  </si>
  <si>
    <t>[DrawCard_1UP_HLa_1,DrawCard_1UP_HLa_10]</t>
  </si>
  <si>
    <t>DrawCard_Diamond_1_normal</t>
  </si>
  <si>
    <t>{}</t>
  </si>
  <si>
    <t>[DrawCard_Diamond_1_ShortDesc,DrawCard_Diamond_10_ShortDesc]</t>
  </si>
  <si>
    <t>[UILINK_EN_Zhaohuan1ci,UILINK_EN_Zhaohuan10ci]</t>
  </si>
  <si>
    <t>{"type":"1UP","main":"drawcard_bg_HLa","btn":"drawcard_tab_HLa_","imgcolor":["183,46,68","254,90,111"]}</t>
    <phoneticPr fontId="11" type="noConversion"/>
  </si>
  <si>
    <t>[["DrawCard_1UP_HLa_Title1","DrawCard_1UP_HLa_Text1"],["DrawCard_1UP_HLa_Title2","DrawCard_1UP_HLa_Text2"],["DrawCard_1UP_HLa_Title3","DrawCard_1UP_HLa_Text3"]]</t>
    <phoneticPr fontId="11" type="noConversion"/>
  </si>
  <si>
    <t>[{"hero":"HLa","position":[900,420],"showhero":"HLa"}]</t>
    <phoneticPr fontId="11" type="noConversion"/>
  </si>
  <si>
    <t>view://shopView&amp;viewType=push&amp;shopId=Shop_TimeLimit</t>
  </si>
  <si>
    <t>[DrawCard_1_UP_HLa_Desc_1,DrawCard_1_UP_HLa_Desc_2,DrawCard_1_UP_HLa_Desc_3]</t>
    <phoneticPr fontId="11" type="noConversion"/>
  </si>
  <si>
    <t>DrawCard_1UP_LEMHou</t>
    <phoneticPr fontId="11" type="noConversion"/>
  </si>
  <si>
    <t>DrawCard_1UP_LEMHou_Name</t>
    <phoneticPr fontId="11" type="noConversion"/>
  </si>
  <si>
    <t>孔心缘单UP</t>
    <phoneticPr fontId="11" type="noConversion"/>
  </si>
  <si>
    <t>[DrawCard_1UP_LEMHou_1,DrawCard_1UP_LEMHou_10]</t>
    <phoneticPr fontId="11" type="noConversion"/>
  </si>
  <si>
    <t>{"type":"1UP","main":"drawcard_bg_LEMHou","btn":"drawcard_tab_LEMHou_","imgcolor":["194,119,52","212,89,46"]}</t>
    <phoneticPr fontId="11" type="noConversion"/>
  </si>
  <si>
    <t>[["DrawCard_1UP_LEMHou_Title1","DrawCard_1UP_LEMHou_Text1"],["DrawCard_1UP_LEMHou_Title2","DrawCard_1UP_LEMHou_Text2"],["DrawCard_1UP_LEMHou_Title3","DrawCard_1UP_LEMHou_Text3"]]</t>
    <phoneticPr fontId="11" type="noConversion"/>
  </si>
  <si>
    <t>[{"hero":"LEMHou","position":[900,420],"showhero":"LEMHou"}]</t>
  </si>
  <si>
    <t>[DrawCard_1_UP_LEMHou_Desc_1,DrawCard_1_UP_LEMHou_Desc_2,DrawCard_1_UP_LEMHou_Desc_3]</t>
    <phoneticPr fontId="11" type="noConversion"/>
  </si>
  <si>
    <t>$备注</t>
    <phoneticPr fontId="11" type="noConversion"/>
  </si>
  <si>
    <t>是否为重要活动</t>
    <phoneticPr fontId="29" type="noConversion"/>
  </si>
  <si>
    <t>入口图标</t>
    <phoneticPr fontId="11" type="noConversion"/>
  </si>
  <si>
    <t>入口气泡</t>
    <phoneticPr fontId="29" type="noConversion"/>
  </si>
  <si>
    <t>Banner开关</t>
    <phoneticPr fontId="29" type="noConversion"/>
  </si>
  <si>
    <t>提前预告天数</t>
    <phoneticPr fontId="11" type="noConversion"/>
  </si>
  <si>
    <t>$</t>
    <phoneticPr fontId="11" type="noConversion"/>
  </si>
  <si>
    <t>Important</t>
    <phoneticPr fontId="29" type="noConversion"/>
  </si>
  <si>
    <t>Icon</t>
    <phoneticPr fontId="11" type="noConversion"/>
  </si>
  <si>
    <t>Bubble</t>
    <phoneticPr fontId="29" type="noConversion"/>
  </si>
  <si>
    <t>Switch</t>
    <phoneticPr fontId="29" type="noConversion"/>
  </si>
  <si>
    <t>EarlyShow</t>
    <phoneticPr fontId="11" type="noConversion"/>
  </si>
  <si>
    <t>ActivityBanner_1UP_HLa</t>
    <phoneticPr fontId="11" type="noConversion"/>
  </si>
  <si>
    <t>Activity</t>
  </si>
  <si>
    <t>drawcard_banner_HLa.png</t>
    <phoneticPr fontId="11" type="noConversion"/>
  </si>
  <si>
    <t>view://RecruitView&amp;viewType=push&amp;recruitType=DrawCard_1UP_HLa</t>
    <phoneticPr fontId="11" type="noConversion"/>
  </si>
  <si>
    <t>ActivityBanner_1UP_LEMHou</t>
  </si>
  <si>
    <t>drawcard_banner_LEMHou.png</t>
  </si>
  <si>
    <t>view://RecruitView&amp;viewType=push&amp;recruitType=DrawCard_1UP_LEMHou</t>
  </si>
  <si>
    <t>信长活动</t>
    <phoneticPr fontId="11" type="noConversion"/>
  </si>
  <si>
    <t>DrawCard_1_UP_HLa_Desc_1</t>
  </si>
  <si>
    <t>&lt;font face='${fontName}' size='40' color='#ffffff'&gt;SSR&lt;/font&gt;&lt;font face='${fontName}' size='30' color='#ffffff'&gt;几率为&lt;/font&gt;&lt;font face='${fontName}' size='40' color='#fff335'&gt;3%！&lt;/font&gt;</t>
    <phoneticPr fontId="11" type="noConversion"/>
  </si>
  <si>
    <t>DrawCard_1_UP_HLa_Desc_2</t>
  </si>
  <si>
    <t>&lt;font face='${fontName}' size='24' color='#ffffff'&gt;前&lt;/font&gt;&lt;font face='${fontName}' size='26' color='#ffffff'&gt;2&lt;/font&gt;&lt;font face='${fontName}' size='24' color='#ffffff'&gt;次&lt;/font&gt;&lt;font face='${fontName}' size='26' color='#ffffff'&gt;10&lt;/font&gt;&lt;font face='${fontName}' size='24' color='#ffffff'&gt;连召唤必出&lt;/font&gt;&lt;font face='${fontName}' size='26' color='#fff335'&gt;SSR&lt;/font&gt;</t>
    <phoneticPr fontId="11" type="noConversion"/>
  </si>
  <si>
    <t>DrawCard_1_UP_HLa_Desc_3</t>
  </si>
  <si>
    <t>&lt;font face='${fontName}' size='24' color='#ffffff'&gt;前&lt;/font&gt;&lt;font face='${fontName}' size='26' color='#ffffff'&gt;7&lt;/font&gt;&lt;font face='${fontName}' size='24' color='#ffffff'&gt;次&lt;/font&gt;&lt;font face='${fontName}' size='26' color='#ffffff'&gt;10&lt;/font&gt;&lt;font face='${fontName}' size='24' color='#ffffff'&gt;连召唤必出&lt;/font&gt;&lt;font face='${fontName}' size='26' color='#fff335'&gt;海蒂&lt;/font&gt;</t>
  </si>
  <si>
    <t>&lt;font face='${fontName}' size='60' color='#ffffff'&gt;雾色&lt;/font&gt;</t>
    <phoneticPr fontId="11" type="noConversion"/>
  </si>
  <si>
    <t>DrawCard_1_UP_UI1</t>
    <phoneticPr fontId="11" type="noConversion"/>
  </si>
  <si>
    <t>被动</t>
    <phoneticPr fontId="11" type="noConversion"/>
  </si>
  <si>
    <t>DrawCard_1_UP_UI2</t>
  </si>
  <si>
    <t>技能</t>
    <phoneticPr fontId="11" type="noConversion"/>
  </si>
  <si>
    <t>DrawCard_1UP_HLa_Title1</t>
  </si>
  <si>
    <t>雾色-限时召唤</t>
    <phoneticPr fontId="11" type="noConversion"/>
  </si>
  <si>
    <t>DrawCard_1UP_HLa_Title2</t>
  </si>
  <si>
    <t>限定伙伴</t>
  </si>
  <si>
    <t>DrawCard_1UP_HLa_Title3</t>
  </si>
  <si>
    <t>【召唤10次】特殊说明</t>
  </si>
  <si>
    <t>DrawCard_1UP_HLa_Text1</t>
  </si>
  <si>
    <t>&lt;font face='${fontName}' size='18' color='#d3d3d3'&gt;本卡池中SSR卡总获取概率为3%、SR卡总获取概率为25%、R卡总获取概率为72%。SSR只会出现限定SSR伙伴。&lt;/font&gt;</t>
    <phoneticPr fontId="11" type="noConversion"/>
  </si>
  <si>
    <t>DrawCard_1UP_HLa_Text2</t>
  </si>
  <si>
    <t>&lt;font face='${fontName}' size='18' color='#d3d3d3'&gt;本卡池SSR伙伴只包含以下限定角色：&lt;/font&gt;&lt;br/&gt;&lt;font face='${fontName}' size='18' color='#ffd673'&gt;海蒂、赫茜、东文真希、上泉萤&lt;/font&gt;&lt;br/&gt;&lt;font face='${fontName}' size='18' color='#ffd673'&gt;其中海蒂占SSR出率的40% &lt;/font&gt;</t>
    <phoneticPr fontId="11" type="noConversion"/>
  </si>
  <si>
    <t>DrawCard_1UP_HLa_Text3</t>
  </si>
  <si>
    <t>&lt;font face='${fontName}' size='18' color='#d3d3d3'&gt;50次召唤必出SSR角色。&lt;/font&gt;</t>
  </si>
  <si>
    <t>DrawCard_1_UP_LEMHou_Desc_1</t>
  </si>
  <si>
    <t>&lt;font face='${fontName}' size='40' color='#ffffff'&gt;SSR&lt;/font&gt;&lt;font face='${fontName}' size='30' color='#ffffff'&gt;几率为&lt;/font&gt;&lt;font face='${fontName}' size='40' color='#fff335'&gt;3%！&lt;/font&gt;</t>
  </si>
  <si>
    <t>DrawCard_1_UP_LEMHou_Desc_2</t>
  </si>
  <si>
    <t>&lt;font face='${fontName}' size='24' color='#ffffff'&gt;前&lt;/font&gt;&lt;font face='${fontName}' size='26' color='#ffffff'&gt;2&lt;/font&gt;&lt;font face='${fontName}' size='24' color='#ffffff'&gt;次&lt;/font&gt;&lt;font face='${fontName}' size='26' color='#ffffff'&gt;10&lt;/font&gt;&lt;font face='${fontName}' size='24' color='#ffffff'&gt;连召唤必出&lt;/font&gt;&lt;font face='${fontName}' size='26' color='#fff335'&gt;SSR&lt;/font&gt;</t>
  </si>
  <si>
    <t>DrawCard_1_UP_LEMHou_Desc_3</t>
  </si>
  <si>
    <t>&lt;font face='${fontName}' size='24' color='#ffffff'&gt;前&lt;/font&gt;&lt;font face='${fontName}' size='26' color='#ffffff'&gt;7&lt;/font&gt;&lt;font face='${fontName}' size='24' color='#ffffff'&gt;次&lt;/font&gt;&lt;font face='${fontName}' size='26' color='#ffffff'&gt;10&lt;/font&gt;&lt;font face='${fontName}' size='24' color='#ffffff'&gt;连召唤必出&lt;/font&gt;&lt;font face='${fontName}' size='26' color='#fff335'&gt;孔心缘&lt;/font&gt;</t>
    <phoneticPr fontId="29" type="noConversion"/>
  </si>
  <si>
    <t>DrawCard_1UP_LEMHou_Name</t>
  </si>
  <si>
    <t>&lt;font face='${fontName}' size='60' color='#ffffff'&gt;大圣&lt;/font&gt;</t>
  </si>
  <si>
    <t>DrawCard_1UP_LEMHou_Title1</t>
  </si>
  <si>
    <t>大圣-限时召唤</t>
  </si>
  <si>
    <t>DrawCard_1UP_LEMHou_Title2</t>
  </si>
  <si>
    <t>DrawCard_1UP_LEMHou_Title3</t>
  </si>
  <si>
    <t>DrawCard_1UP_LEMHou_Text1</t>
  </si>
  <si>
    <t>&lt;font face='${fontName}' size='18' color='#d3d3d3'&gt;本卡池中SSR卡总获取概率为3%、SR卡总获取概率为25%、R卡总获取概率为72%。SSR只会出现限定SSR伙伴。&lt;/font&gt;</t>
  </si>
  <si>
    <t>DrawCard_1UP_LEMHou_Text2</t>
  </si>
  <si>
    <t>&lt;font face='${fontName}' size='18' color='#d3d3d3'&gt;本卡池SSR伙伴只包含以下限定角色：&lt;/font&gt;&lt;br/&gt;&lt;font face='${fontName}' size='18' color='#ffd673'&gt;孔心缘、艾西瓦娅、上泉萤、芙伦蒂法&lt;/font&gt;&lt;br/&gt;&lt;font face='${fontName}' size='18' color='#ffd673'&gt;其中孔心缘占SSR出率的40% &lt;/font&gt;</t>
    <phoneticPr fontId="11" type="noConversion"/>
  </si>
  <si>
    <t>DrawCard_1UP_LEMHou_Text3</t>
  </si>
  <si>
    <t>UI音效</t>
    <phoneticPr fontId="11" type="noConversion"/>
  </si>
  <si>
    <t>$内容备注</t>
  </si>
  <si>
    <t>包含语音</t>
  </si>
  <si>
    <t>资源包名字</t>
  </si>
  <si>
    <t>Cue名字</t>
  </si>
  <si>
    <t>参数</t>
  </si>
  <si>
    <t>是否出现在设置菜单</t>
  </si>
  <si>
    <t>菜单歌曲名字</t>
  </si>
  <si>
    <t>菜单歌曲来源</t>
  </si>
  <si>
    <t>翻译文本</t>
  </si>
  <si>
    <t>显示文本</t>
  </si>
  <si>
    <t>解锁文本</t>
  </si>
  <si>
    <t>是否显示</t>
  </si>
  <si>
    <t>IncludeMusic</t>
  </si>
  <si>
    <t>PkgName</t>
  </si>
  <si>
    <t>CueName</t>
  </si>
  <si>
    <t>Param</t>
  </si>
  <si>
    <t>$CueName</t>
  </si>
  <si>
    <t>IsMenu</t>
  </si>
  <si>
    <t>ShowName</t>
  </si>
  <si>
    <t>$ShowName</t>
  </si>
  <si>
    <t>ShowSourse</t>
  </si>
  <si>
    <t>$ShowSourse</t>
  </si>
  <si>
    <t>SoundDesc</t>
  </si>
  <si>
    <t>$SoundDesc</t>
  </si>
  <si>
    <t>$Text</t>
  </si>
  <si>
    <t>Unlock</t>
  </si>
  <si>
    <t>UnlockDesc</t>
  </si>
  <si>
    <t>Show</t>
  </si>
  <si>
    <t>Foreign:Translate.Id</t>
  </si>
  <si>
    <t>Se_Story_ZSHHun_Earthquake</t>
  </si>
  <si>
    <t>common/UI</t>
  </si>
  <si>
    <t>诸神黄昏-地面震动</t>
  </si>
  <si>
    <t>Se_Story_ZSHHun_Iron_Chain</t>
  </si>
  <si>
    <t>诸神黄昏-铁链拖动</t>
  </si>
  <si>
    <t>Se_Story_ZSHHun_Monster</t>
  </si>
  <si>
    <t>诸神黄昏-犬科怪物低吼</t>
  </si>
  <si>
    <t>Se_Story_ZSHHun_Snow_Foot_Fast</t>
  </si>
  <si>
    <t>诸神黄昏-雪地慢走脚步</t>
  </si>
  <si>
    <t>Se_Story_ZSHHun_Snow_Foot_Slow</t>
  </si>
  <si>
    <t>诸神黄昏-雪地快走脚步</t>
  </si>
  <si>
    <t>Se_Story_ZSHHun_Soldier_Battle</t>
  </si>
  <si>
    <t>诸神黄昏-战场士兵打斗</t>
  </si>
  <si>
    <t>音乐</t>
    <phoneticPr fontId="11" type="noConversion"/>
  </si>
  <si>
    <t>Mus_Battle_Dusk</t>
  </si>
  <si>
    <t>Music_Expand/Mus_Battle_Dusk</t>
  </si>
  <si>
    <t>诸神黄昏-战斗音乐</t>
  </si>
  <si>
    <t>Mus_Story_Dusk_Main</t>
    <phoneticPr fontId="29" type="noConversion"/>
  </si>
  <si>
    <t>Music_Expand/Mus_Story_Dusk_Main</t>
  </si>
  <si>
    <t>诸神黄昏-主场景音乐</t>
  </si>
  <si>
    <t>Mus_Story_Dusk_Farewell</t>
  </si>
  <si>
    <t>Music_Expand/Mus_Story_Dusk_Farewell</t>
  </si>
  <si>
    <t>诸神黄昏-剧情音乐</t>
  </si>
  <si>
    <t>Sound</t>
    <phoneticPr fontId="11" type="noConversion"/>
  </si>
  <si>
    <t>剧情立绘</t>
  </si>
  <si>
    <t>主键</t>
  </si>
  <si>
    <t>模型id</t>
  </si>
  <si>
    <t>通用资源模型ID</t>
  </si>
  <si>
    <t>动画</t>
  </si>
  <si>
    <t>标签(格斗家拼音名）</t>
  </si>
  <si>
    <t>数码兽战斗定位</t>
  </si>
  <si>
    <t>$数码兽战斗定位</t>
  </si>
  <si>
    <t>必杀动画语音</t>
  </si>
  <si>
    <t>音效</t>
  </si>
  <si>
    <t>模型宽度</t>
  </si>
  <si>
    <t>模型高度</t>
  </si>
  <si>
    <t>Spine格子数</t>
  </si>
  <si>
    <t>语音声音</t>
  </si>
  <si>
    <t>语音文字</t>
  </si>
  <si>
    <t>语音解锁条件</t>
  </si>
  <si>
    <t>通用立绘</t>
  </si>
  <si>
    <t>模型缩放</t>
  </si>
  <si>
    <t>死亡语音</t>
  </si>
  <si>
    <t>战斗胜利语音</t>
  </si>
  <si>
    <t>头像</t>
  </si>
  <si>
    <t>切图1</t>
  </si>
  <si>
    <t>切图2</t>
  </si>
  <si>
    <t>切图3</t>
  </si>
  <si>
    <t>切图4</t>
  </si>
  <si>
    <t>切图5</t>
  </si>
  <si>
    <t>切图6</t>
  </si>
  <si>
    <t>切图7</t>
  </si>
  <si>
    <t>切图8</t>
  </si>
  <si>
    <t>切图9</t>
  </si>
  <si>
    <t>战斗插入立绘</t>
  </si>
  <si>
    <t>多段血条</t>
  </si>
  <si>
    <t>切图10</t>
  </si>
  <si>
    <t>真言泡泡</t>
  </si>
  <si>
    <t>切图11</t>
  </si>
  <si>
    <t>切图12</t>
  </si>
  <si>
    <t>切图13</t>
  </si>
  <si>
    <t>切图14</t>
  </si>
  <si>
    <t>切图15</t>
  </si>
  <si>
    <t>标签</t>
  </si>
  <si>
    <t>MVP文本</t>
  </si>
  <si>
    <t>SVP文本</t>
  </si>
  <si>
    <t>对应英魂</t>
  </si>
  <si>
    <t>宽头像</t>
  </si>
  <si>
    <t>英魂标签图片</t>
  </si>
  <si>
    <t>切图16</t>
  </si>
  <si>
    <t>Model</t>
  </si>
  <si>
    <t>CommonResource</t>
  </si>
  <si>
    <t>Animation</t>
  </si>
  <si>
    <t>Tag</t>
  </si>
  <si>
    <t>BattlePosition</t>
  </si>
  <si>
    <t>$BattlePosition</t>
  </si>
  <si>
    <t>UniqueVoice</t>
  </si>
  <si>
    <t>SoundEffect</t>
  </si>
  <si>
    <t>Width</t>
  </si>
  <si>
    <t>Height</t>
  </si>
  <si>
    <t>$Spine格子数</t>
  </si>
  <si>
    <t>SoundVoice</t>
  </si>
  <si>
    <t>SoundVoiceText</t>
  </si>
  <si>
    <t>SoundVoiceCondition</t>
  </si>
  <si>
    <t>Portrait</t>
  </si>
  <si>
    <t>Zoom</t>
  </si>
  <si>
    <t>DeathVoice</t>
  </si>
  <si>
    <t>WinVoice</t>
  </si>
  <si>
    <t>HeadMain</t>
  </si>
  <si>
    <t>Bust1</t>
  </si>
  <si>
    <t>Bust2</t>
  </si>
  <si>
    <t>Bust3</t>
  </si>
  <si>
    <t>Bust4</t>
  </si>
  <si>
    <t>Bust5</t>
  </si>
  <si>
    <t>Bust6</t>
  </si>
  <si>
    <t>Bust7</t>
  </si>
  <si>
    <t>Bust8</t>
  </si>
  <si>
    <t>Bust9</t>
  </si>
  <si>
    <t>CutIn</t>
  </si>
  <si>
    <t>HpTierCount</t>
  </si>
  <si>
    <t>Bust10</t>
  </si>
  <si>
    <t>TruthBubble</t>
  </si>
  <si>
    <t>Bust11</t>
  </si>
  <si>
    <t>Bust12</t>
  </si>
  <si>
    <t>Bust13</t>
  </si>
  <si>
    <t>Bust14</t>
  </si>
  <si>
    <t>Bust15</t>
  </si>
  <si>
    <t>TagDesc</t>
  </si>
  <si>
    <t>MVPText</t>
  </si>
  <si>
    <t>SVPText</t>
  </si>
  <si>
    <t>Hero</t>
  </si>
  <si>
    <t>MasterHeadWide</t>
  </si>
  <si>
    <t>TagPic</t>
  </si>
  <si>
    <t>Bust16</t>
  </si>
  <si>
    <t>FOREIGN:Sound.Id</t>
  </si>
  <si>
    <t>FOREIGN:SpecialPicture.Id</t>
  </si>
  <si>
    <t>CHECK:[Hero,Master,EnemyHero,EnemyMaster,Summoned,Portrait]</t>
  </si>
  <si>
    <t>Model_HLa_stand</t>
    <phoneticPr fontId="29" type="noConversion"/>
  </si>
  <si>
    <t>hdi</t>
    <phoneticPr fontId="29" type="noConversion"/>
  </si>
  <si>
    <t>Portrait_HLa_stand</t>
    <phoneticPr fontId="29" type="noConversion"/>
  </si>
  <si>
    <t>RoleModel</t>
    <phoneticPr fontId="11" type="noConversion"/>
  </si>
  <si>
    <t>剧情</t>
    <phoneticPr fontId="29" type="noConversion"/>
  </si>
  <si>
    <t>图片路径</t>
  </si>
  <si>
    <t>偏移</t>
  </si>
  <si>
    <t>缩放</t>
  </si>
  <si>
    <t>double[]</t>
  </si>
  <si>
    <t>Path</t>
  </si>
  <si>
    <t>Filename</t>
  </si>
  <si>
    <t>Coordinates</t>
  </si>
  <si>
    <t>Deviation</t>
  </si>
  <si>
    <t>zoom</t>
  </si>
  <si>
    <t>[0,0]</t>
  </si>
  <si>
    <t>SpecialPicture</t>
    <phoneticPr fontId="11" type="noConversion"/>
  </si>
  <si>
    <t>DuskS01S05</t>
  </si>
  <si>
    <t>DuskS01S02</t>
    <phoneticPr fontId="11" type="noConversion"/>
  </si>
  <si>
    <t>[DuskS01S02]</t>
    <phoneticPr fontId="11" type="noConversion"/>
  </si>
  <si>
    <t>[DuskS01S05]</t>
  </si>
  <si>
    <t>[DuskS01S05]</t>
    <phoneticPr fontId="11" type="noConversion"/>
  </si>
  <si>
    <t>eventstory_dusk_00a</t>
  </si>
  <si>
    <t>eventstory_dusk_01a</t>
  </si>
  <si>
    <t>eventstory_dusk_02a</t>
  </si>
  <si>
    <t>eventstory_dusk_03a</t>
  </si>
  <si>
    <t>eventstory_dusk_04a</t>
  </si>
  <si>
    <t>eventstory_dusk_05a</t>
  </si>
  <si>
    <t>eventstory_dusk_06a</t>
  </si>
  <si>
    <t>eventstory_dusk_07a</t>
  </si>
  <si>
    <t>eventstory_dusk_08a</t>
  </si>
  <si>
    <t>Translate_3</t>
    <phoneticPr fontId="11" type="noConversion"/>
  </si>
  <si>
    <t>活动</t>
  </si>
  <si>
    <t>文字长度</t>
  </si>
  <si>
    <t>备注页签名</t>
  </si>
  <si>
    <t>$Zh_Width</t>
  </si>
  <si>
    <t>$Sheet</t>
  </si>
  <si>
    <t>DuskWS_dialog_speak_name_1</t>
  </si>
  <si>
    <t>DuskWS_dialog_speak_name_2</t>
  </si>
  <si>
    <t>DuskWS_dialog_speak_name_3</t>
  </si>
  <si>
    <t>DuskWS_dialog_speak_name_4</t>
  </si>
  <si>
    <t>？？？</t>
  </si>
  <si>
    <t>DuskWS_dialog_speak_name_5</t>
  </si>
  <si>
    <t>迟缓</t>
  </si>
  <si>
    <t>DuskWS_dialog_speak_name_6</t>
  </si>
  <si>
    <t>DuskWS_dialog_speak_name_7</t>
  </si>
  <si>
    <t>约翰</t>
  </si>
  <si>
    <t>DuskWS_dialog_speak_name_8</t>
  </si>
  <si>
    <t>大王、二王、约翰</t>
  </si>
  <si>
    <t>DuskWS_dialog_speak_name_9</t>
  </si>
  <si>
    <t>格莱、阿斯克</t>
  </si>
  <si>
    <t>DuskWS_dialog_speak_name_10</t>
  </si>
  <si>
    <t>仆人迟缓</t>
  </si>
  <si>
    <t>DuskWS_dialog_speak_name_11</t>
  </si>
  <si>
    <t>代号038</t>
  </si>
  <si>
    <t>DuskWS_dialog_speak_name_12</t>
  </si>
  <si>
    <t>代号001</t>
  </si>
  <si>
    <t>DuskWS_dialog_speak_name_13</t>
  </si>
  <si>
    <t>代号088</t>
  </si>
  <si>
    <t>DuskWS_dialog_speak_name_14</t>
  </si>
  <si>
    <t>代号074</t>
  </si>
  <si>
    <t>DuskWS_dialog_speak_name_15</t>
  </si>
  <si>
    <t>代号056、057</t>
  </si>
  <si>
    <t>DuskWS_dialog_speak_name_16</t>
  </si>
  <si>
    <t>代号056</t>
  </si>
  <si>
    <t>DuskWS_dialog_speak_name_17</t>
  </si>
  <si>
    <t>代号057</t>
  </si>
  <si>
    <t>DuskWS_dialog_speak_name_18</t>
  </si>
  <si>
    <t>“复生者”</t>
  </si>
  <si>
    <t>eventstory_dusk_00a_1</t>
  </si>
  <si>
    <t>&lt;font size='26' face='${fontName_FZYH_R}' color='#ffffff'&gt;（自言自语）贝亚特丝那家伙的眼神太可怕了，我今后还是离她远点吧……&lt;/font&gt;</t>
  </si>
  <si>
    <t>eventstory_dusk_00a_2</t>
  </si>
  <si>
    <t>&lt;font size='26' face='${fontName_FZYH_R}' color='#ffffff'&gt;（自言自语）还有叶菲，果然是骗我吧！这儿连鬼都没有，哪里来的旧识！&lt;/font&gt;</t>
  </si>
  <si>
    <t>eventstory_dusk_00a_3</t>
  </si>
  <si>
    <t>&lt;font size='26' face='${fontName_FZYH_R}' color='#ffffff'&gt;！！！&lt;/font&gt;</t>
  </si>
  <si>
    <t>eventstory_dusk_00a_4</t>
  </si>
  <si>
    <t>&lt;font size='26' face='${fontName_FZYH_R}' color='#ffffff'&gt;是我眼花了……么？不对，刚刚那个身影……&lt;/font&gt;</t>
  </si>
  <si>
    <t>eventstory_dusk_00a_5</t>
  </si>
  <si>
    <t>&lt;font size='26' face='${fontName_FZYH_R}' color='#ffffff'&gt;真……真见鬼了？！&lt;/font&gt;</t>
  </si>
  <si>
    <t>eventstory_dusk_00a_6</t>
  </si>
  <si>
    <t>&lt;font size='26' face='${fontName_FZYH_R}' color='#ffffff'&gt;喂！前面的，你等等！！&lt;/font&gt;</t>
  </si>
  <si>
    <t>eventstory_dusk_00a_7</t>
  </si>
  <si>
    <t>&lt;font size='26' face='${fontName_FZYH_R}' color='#ffffff'&gt;（急促的脚步声打破了密林的宁静，格莱喘着粗气看向背对着他的身影，迫切地想要得到答案。）&lt;/font&gt;</t>
  </si>
  <si>
    <t>eventstory_dusk_00a_8</t>
  </si>
  <si>
    <t>&lt;font size='26' face='${fontName_FZYH_R}' color='#ffffff'&gt;别跑！！阿斯克……你是阿斯克么？！&lt;/font&gt;</t>
  </si>
  <si>
    <t>eventstory_dusk_00a_9</t>
  </si>
  <si>
    <t>&lt;font size='26' face='${fontName_FZYH_R}' color='#ffffff'&gt;啧，你为什么知道我的名字？&lt;/font&gt;</t>
  </si>
  <si>
    <t>eventstory_dusk_00a_10</t>
  </si>
  <si>
    <t>&lt;font size='26' face='${fontName_FZYH_R}' color='#ffffff'&gt;真的是你？！你怎么会……&lt;/font&gt;</t>
  </si>
  <si>
    <t>eventstory_dusk_00a_11</t>
  </si>
  <si>
    <t>&lt;font size='26' face='${fontName_FZYH_R}' color='#ffffff'&gt;呃啊——哑巴蛇，你做什么？！&lt;/font&gt;</t>
  </si>
  <si>
    <t>eventstory_dusk_00a_12</t>
  </si>
  <si>
    <t>&lt;font size='26' face='${fontName_FZYH_R}' color='#ffffff'&gt;突然靠的这么近，真是失礼呢~&lt;/font&gt;</t>
  </si>
  <si>
    <t>eventstory_dusk_01a_1</t>
  </si>
  <si>
    <t>&lt;font size='26' face='${fontName_FZYH_R}' color='#ffffff'&gt;黑夜漫长，严冬凛冽；&lt;/font&gt;</t>
  </si>
  <si>
    <t>eventstory_dusk_01a_2</t>
  </si>
  <si>
    <t>&lt;font size='26' face='${fontName_FZYH_R}' color='#ffffff'&gt;星子孤独，冰原龟裂。&lt;/font&gt;</t>
  </si>
  <si>
    <t>eventstory_dusk_01a_3</t>
  </si>
  <si>
    <t>&lt;font size='26' face='${fontName_FZYH_R}' color='#ffffff'&gt;但——&lt;/font&gt;</t>
  </si>
  <si>
    <t>eventstory_dusk_01a_4</t>
  </si>
  <si>
    <t>&lt;font size='26' face='${fontName_FZYH_R}' color='#ffffff'&gt;希望的火光不会熄灭；&lt;/font&gt;</t>
  </si>
  <si>
    <t>eventstory_dusk_01a_5</t>
  </si>
  <si>
    <t>&lt;font size='26' face='${fontName_FZYH_R}' color='#ffffff'&gt;记忆的炽热不会终结。&lt;/font&gt;</t>
  </si>
  <si>
    <t>eventstory_dusk_01a_6</t>
  </si>
  <si>
    <t>&lt;font size='26' face='${fontName_FZYH_R}' color='#ffffff'&gt;只要等到天亮，就是第三天了……可恶，果然还是好冷！&lt;/font&gt;</t>
  </si>
  <si>
    <t>eventstory_dusk_01a_7</t>
  </si>
  <si>
    <t>&lt;font size='26' face='${fontName_FZYH_R}' color='#ffffff'&gt;没想到海蒂那个女人，竟然真的会信守承诺。&lt;/font&gt;</t>
    <phoneticPr fontId="11" type="noConversion"/>
  </si>
  <si>
    <t>eventstory_dusk_01a_8</t>
  </si>
  <si>
    <t>&lt;font size='26' face='${fontName_FZYH_R}' color='#ffffff'&gt;哐啷——哐啷——&lt;/font&gt;</t>
  </si>
  <si>
    <t>eventstory_dusk_01a_9</t>
  </si>
  <si>
    <t>&lt;font size='26' face='${fontName_FZYH_R}' color='#ffffff'&gt;有人来了！！！&lt;/font&gt;</t>
  </si>
  <si>
    <t>eventstory_dusk_01a_10</t>
  </si>
  <si>
    <t>&lt;font size='26' face='${fontName_FZYH_R}' color='#ffffff'&gt;这个带着铁链的脚步声……&lt;/font&gt;</t>
  </si>
  <si>
    <t>eventstory_dusk_01a_11</t>
  </si>
  <si>
    <t>&lt;font size='26' face='${fontName_FZYH_R}' color='#ffffff'&gt;……真的是你，哑巴蛇！你不会就是这个任务的执行人吧？！&lt;/font&gt;</t>
  </si>
  <si>
    <t>eventstory_dusk_01a_12</t>
  </si>
  <si>
    <t>&lt;font size='26' face='${fontName_FZYH_R}' color='#ffffff'&gt;嗯。&lt;/font&gt;</t>
  </si>
  <si>
    <t>eventstory_dusk_01a_13</t>
  </si>
  <si>
    <t>&lt;font size='26' face='${fontName_FZYH_R}' color='#ffffff'&gt;（格莱回忆起了几天前在那座宫殿中，海蒂给予了他第十个考验。）&lt;/font&gt;</t>
  </si>
  <si>
    <t>eventstory_dusk_01a_14</t>
  </si>
  <si>
    <t>&lt;font size='26' face='${fontName_FZYH_R}' color='#ffffff'&gt;第十个考验很、简、单~&lt;/font&gt;</t>
  </si>
  <si>
    <t>eventstory_dusk_01a_15</t>
  </si>
  <si>
    <t>&lt;font size='26' face='${fontName_FZYH_R}' color='#ffffff'&gt;你只要在任务执行人的追捕下活过三天，自由就是你的了。&lt;/font&gt;</t>
  </si>
  <si>
    <t>eventstory_dusk_01a_16</t>
  </si>
  <si>
    <t>&lt;font size='26' face='${fontName_FZYH_R}' color='#ffffff'&gt;只……只是这样？&lt;/font&gt;</t>
  </si>
  <si>
    <t>eventstory_dusk_01a_17</t>
  </si>
  <si>
    <t>&lt;font size='26' face='${fontName_FZYH_R}' color='#ffffff'&gt;没错！至于是你东躲西藏活过三天，还是直接干掉执行人，都是你的自由~&lt;/font&gt;</t>
  </si>
  <si>
    <t>eventstory_dusk_01a_18</t>
  </si>
  <si>
    <t>&lt;font size='26' face='${fontName_FZYH_R}' color='#ffffff'&gt;……那，一言为定？&lt;/font&gt;</t>
  </si>
  <si>
    <t>eventstory_dusk_01a_19</t>
  </si>
  <si>
    <t>&lt;font size='26' face='${fontName_FZYH_R}' color='#ffffff'&gt;一言为定！&lt;/font&gt;</t>
  </si>
  <si>
    <t>eventstory_dusk_01a_20</t>
  </si>
  <si>
    <t>&lt;font size='26' face='${fontName_FZYH_R}' color='#ffffff'&gt;我就知道海蒂那个女人没安好心！！！！&lt;/font&gt;</t>
  </si>
  <si>
    <t>eventstory_dusk_01a_21</t>
  </si>
  <si>
    <t>&lt;font size='26' face='${fontName_FZYH_R}' color='#ffffff'&gt;……&lt;/font&gt;</t>
  </si>
  <si>
    <t>eventstory_dusk_01a_22</t>
  </si>
  <si>
    <t>&lt;font size='26' face='${fontName_FZYH_R}' color='#ffffff'&gt;她专门派你来做执行人，就是想看朋友之间反目成仇的好戏！&lt;/font&gt;</t>
  </si>
  <si>
    <t>eventstory_dusk_01a_23</t>
  </si>
  <si>
    <t>&lt;font size='26' face='${fontName_FZYH_R}' color='#ffffff'&gt;我知道。&lt;/font&gt;</t>
  </si>
  <si>
    <t>eventstory_dusk_01a_24</t>
  </si>
  <si>
    <t>&lt;font size='26' face='${fontName_FZYH_R}' color='#ffffff'&gt;（小声嘟囔）知道你还来……&lt;/font&gt;</t>
  </si>
  <si>
    <t>eventstory_dusk_01a_25</t>
  </si>
  <si>
    <t>&lt;font size='26' face='${fontName_FZYH_R}' color='#ffffff'&gt;抱歉了阿斯克。虽然我不想和你动手，但我必须活下去！&lt;/font&gt;</t>
  </si>
  <si>
    <t>eventstory_dusk_01a_26</t>
  </si>
  <si>
    <t>&lt;font size='26' face='${fontName_FZYH_R}' color='#ffffff'&gt;好。&lt;/font&gt;</t>
  </si>
  <si>
    <t>eventstory_dusk_01a_27</t>
  </si>
  <si>
    <t>&lt;font size='26' face='${fontName_FZYH_R}' color='#ffffff'&gt;……好个屁！&lt;/font&gt;</t>
  </si>
  <si>
    <t>eventstory_dusk_01a_28</t>
  </si>
  <si>
    <t>&lt;font size='26' face='${fontName_FZYH_R}' color='#ffffff'&gt;——接招吧，阿斯克！！&lt;/font&gt;</t>
  </si>
  <si>
    <t>eventstory_dusk_01a_29</t>
  </si>
  <si>
    <t>&lt;font size='26' face='${fontName_FZYH_R}' color='#ffffff'&gt;呃……&lt;/font&gt;</t>
  </si>
  <si>
    <t>eventstory_dusk_01a_30</t>
  </si>
  <si>
    <t>&lt;font size='26' face='${fontName_FZYH_R}' color='#ffffff'&gt;阿斯克，你这是什么意思？！&lt;/font&gt;</t>
  </si>
  <si>
    <t>eventstory_dusk_01a_31</t>
  </si>
  <si>
    <t>&lt;font size='26' face='${fontName_FZYH_R}' color='#ffffff'&gt;为什么只是防御，我不配做你的对手么？&lt;/font&gt;</t>
  </si>
  <si>
    <t>eventstory_dusk_01a_32</t>
  </si>
  <si>
    <t>&lt;font size='26' face='${fontName_FZYH_R}' color='#ffffff'&gt;不是。&lt;/font&gt;</t>
  </si>
  <si>
    <t>eventstory_dusk_01a_33</t>
  </si>
  <si>
    <t>&lt;font size='26' face='${fontName_FZYH_R}' color='#ffffff'&gt;那就认真一点！我不会手下留情的！&lt;/font&gt;</t>
  </si>
  <si>
    <t>eventstory_dusk_01a_34</t>
  </si>
  <si>
    <t>&lt;font size='26' face='${fontName_FZYH_R}' color='#ffffff'&gt;杀掉我！&lt;/font&gt;</t>
  </si>
  <si>
    <t>eventstory_dusk_01a_35</t>
  </si>
  <si>
    <t>&lt;font size='26' face='${fontName_FZYH_R}' color='#ffffff'&gt;换取自由。&lt;/font&gt;</t>
  </si>
  <si>
    <t>eventstory_dusk_01a_36</t>
  </si>
  <si>
    <t>&lt;font size='26' face='${fontName_FZYH_R}' color='#ffffff'&gt;你……说什么？&lt;/font&gt;</t>
  </si>
  <si>
    <t>eventstory_dusk_01a_37</t>
  </si>
  <si>
    <t>&lt;font size='26' face='${fontName_FZYH_R}' color='#ffffff'&gt;杀了我！&lt;/font&gt;</t>
  </si>
  <si>
    <t>eventstory_dusk_01a_38</t>
  </si>
  <si>
    <t>&lt;font size='26' face='${fontName_FZYH_R}' color='#ffffff'&gt;……混蛋，你凭什么替我做决定啊！！&lt;/font&gt;</t>
  </si>
  <si>
    <t>eventstory_dusk_02a_1</t>
  </si>
  <si>
    <t>&lt;font size='26' face='${fontName_FZYH_R}' color='#ffffff'&gt;（格莱和阿斯克相识于三年前的暗刃中期考核，能成为朋友完全是意外。）&lt;/font&gt;</t>
  </si>
  <si>
    <t>eventstory_dusk_02a_2</t>
  </si>
  <si>
    <t>&lt;font size='26' face='${fontName_FZYH_R}' color='#ffffff'&gt;最后警告你一遍，最好乖乖把通关信物交出来！&lt;/font&gt;</t>
  </si>
  <si>
    <t>eventstory_dusk_02a_3</t>
  </si>
  <si>
    <t>&lt;font size='26' face='${fontName_FZYH_R}' color='#ffffff'&gt;这样或许我会宽恕你的无礼，让你死得好看些。&lt;/font&gt;</t>
  </si>
  <si>
    <t>eventstory_dusk_02a_4</t>
  </si>
  <si>
    <t>eventstory_dusk_02a_5</t>
  </si>
  <si>
    <t>&lt;font size='26' face='${fontName_FZYH_R}' color='#ffffff'&gt;哑巴？你这种人是怎么活到中期考核的。&lt;/font&gt;</t>
  </si>
  <si>
    <t>eventstory_dusk_02a_6</t>
  </si>
  <si>
    <t>&lt;font size='26' face='${fontName_FZYH_R}' color='#ffffff'&gt;蠢货。&lt;/font&gt;</t>
  </si>
  <si>
    <t>eventstory_dusk_02a_7</t>
  </si>
  <si>
    <t>&lt;font size='26' face='${fontName_FZYH_R}' color='#ffffff'&gt;你找死！&lt;/font&gt;</t>
  </si>
  <si>
    <t>eventstory_dusk_02a_8</t>
  </si>
  <si>
    <t>&lt;font size='26' face='${fontName_FZYH_R}' color='#ffffff'&gt;笨~蛋~！就这样把背后暴露给敌人，是你找死才对！&lt;/font&gt;</t>
  </si>
  <si>
    <t>eventstory_dusk_02a_9</t>
  </si>
  <si>
    <t>&lt;font size='26' face='${fontName_FZYH_R}' color='#ffffff'&gt;什……呃啊啊啊啊啊！！&lt;/font&gt;</t>
  </si>
  <si>
    <t>eventstory_dusk_02a_10</t>
  </si>
  <si>
    <t>&lt;font size='26' face='${fontName_FZYH_R}' color='#ffffff'&gt;这人也太弱了吧……不过也好，我总算完成中期考核的任务了！&lt;/font&gt;</t>
  </si>
  <si>
    <t>eventstory_dusk_02a_11</t>
  </si>
  <si>
    <t>eventstory_dusk_02a_12</t>
  </si>
  <si>
    <t>&lt;font size='26' face='${fontName_FZYH_R}' color='#ffffff'&gt;诶？！那个谁……你站住——！&lt;/font&gt;</t>
  </si>
  <si>
    <t>eventstory_dusk_02a_13</t>
  </si>
  <si>
    <t>&lt;font size='26' face='${fontName_FZYH_R}' color='#ffffff'&gt;？&lt;/font&gt;</t>
  </si>
  <si>
    <t>eventstory_dusk_02a_14</t>
  </si>
  <si>
    <t>&lt;font size='26' face='${fontName_FZYH_R}' color='#ffffff'&gt;不用那么警惕！我不是要抢你的通关信物！我也完成了中期考核……和你没啥要竞争的。&lt;/font&gt;</t>
  </si>
  <si>
    <t>eventstory_dusk_02a_15</t>
  </si>
  <si>
    <t>&lt;font size='26' face='${fontName_FZYH_R}' color='#ffffff'&gt;（肚子叫）咕噜——&lt;/font&gt;</t>
  </si>
  <si>
    <t>eventstory_dusk_02a_16</t>
  </si>
  <si>
    <t>eventstory_dusk_02a_17</t>
  </si>
  <si>
    <t>&lt;font size='26' face='${fontName_FZYH_R}' color='#ffffff'&gt;……你有吃的么？&lt;/font&gt;</t>
  </si>
  <si>
    <t>eventstory_dusk_02a_18</t>
  </si>
  <si>
    <t>&lt;font size='26' face='${fontName_FZYH_R}' color='#ffffff'&gt;啊、满足了满足了！差点以为我真的会饿死来着。&lt;/font&gt;</t>
  </si>
  <si>
    <t>eventstory_dusk_02a_19</t>
  </si>
  <si>
    <t>&lt;font size='26' face='${fontName_FZYH_R}' color='#ffffff'&gt;我叫格莱，你呢？&lt;/font&gt;</t>
  </si>
  <si>
    <t>eventstory_dusk_02a_20</t>
  </si>
  <si>
    <t>eventstory_dusk_02a_21</t>
  </si>
  <si>
    <t>&lt;font size='26' face='${fontName_FZYH_R}' color='#ffffff'&gt;别装哑巴呀，你刚刚明明说话了！&lt;/font&gt;</t>
  </si>
  <si>
    <t>eventstory_dusk_02a_22</t>
  </si>
  <si>
    <t>&lt;font size='26' face='${fontName_FZYH_R}' color='#ffffff'&gt;闭嘴。&lt;/font&gt;</t>
  </si>
  <si>
    <t>eventstory_dusk_02a_23</t>
  </si>
  <si>
    <t>&lt;font size='26' face='${fontName_FZYH_R}' color='#ffffff'&gt;啧，你这人……算了！看在你“援饭救命”的份上，这个贝壳就送你吧！&lt;/font&gt;</t>
  </si>
  <si>
    <t>eventstory_dusk_02a_24</t>
  </si>
  <si>
    <t>&lt;font size='26' face='${fontName_FZYH_R}' color='#ffffff'&gt;这是我从那个破屋顶扣下来的，听说这片雪原原来是大海……&lt;/font&gt;</t>
  </si>
  <si>
    <t>eventstory_dusk_02a_25</t>
  </si>
  <si>
    <t>&lt;font size='26' face='${fontName_FZYH_R}' color='#ffffff'&gt;（好吵。）&lt;/font&gt;</t>
  </si>
  <si>
    <t>eventstory_dusk_02a_26</t>
  </si>
  <si>
    <t>&lt;font size='26' face='${fontName_FZYH_R}' color='#ffffff'&gt;下次再见面，记得把你的名字告诉我！&lt;/font&gt;</t>
  </si>
  <si>
    <t>eventstory_dusk_02a_27</t>
  </si>
  <si>
    <t>&lt;font size='26' face='${fontName_FZYH_R}' color='#ffffff'&gt;（中期考核之后，两人又数次“偶遇”，格莱也顺利知道了代号001的名字。）&lt;/font&gt;</t>
  </si>
  <si>
    <t>eventstory_dusk_02a_28</t>
  </si>
  <si>
    <t>&lt;font size='26' face='${fontName_FZYH_R}' color='#ffffff'&gt;（6个月后，幸存的暗刃候选人们迎来了最终考核——）&lt;/font&gt;</t>
  </si>
  <si>
    <t>eventstory_dusk_02a_29</t>
  </si>
  <si>
    <t>&lt;font size='26' face='${fontName_FZYH_R}' color='#ffffff'&gt;大家都很不错嘛~5个人，看来最终考核会比我预想的要残酷呢~&lt;/font&gt;</t>
  </si>
  <si>
    <t>eventstory_dusk_02a_30</t>
  </si>
  <si>
    <t>&lt;font size='26' face='${fontName_FZYH_R}' color='#ffffff'&gt;现在我就来公布最终考核的规则吧，规则就是——自由战斗，直至一人！&lt;/font&gt;</t>
  </si>
  <si>
    <t>eventstory_dusk_02a_31</t>
  </si>
  <si>
    <t>&lt;font size='26' face='${fontName_FZYH_R}' color='#ffffff'&gt;（话音刚落，宫殿中的空气瞬间紧绷起来！只有一人能够存活的残酷考核，让众人剑拔弩张——）&lt;/font&gt;</t>
  </si>
  <si>
    <t>eventstory_dusk_02a_32</t>
  </si>
  <si>
    <t>&lt;font size='26' face='${fontName_FZYH_R}' color='#ffffff'&gt;啥？！为啥只能活一个？！&lt;/font&gt;</t>
  </si>
  <si>
    <t>eventstory_dusk_02a_33</t>
  </si>
  <si>
    <t>eventstory_dusk_02a_34</t>
  </si>
  <si>
    <t>&lt;font size='26' face='${fontName_FZYH_R}' color='#ffffff'&gt;唔……！&lt;/font&gt;</t>
  </si>
  <si>
    <t>eventstory_dusk_02a_35</t>
  </si>
  <si>
    <t>&lt;font size='26' face='${fontName_FZYH_R}' color='#ffffff'&gt;凭你也配问海蒂大人问题？有命活下来再听大人解释吧，可惜你没有机会……&lt;/font&gt;</t>
  </si>
  <si>
    <t>eventstory_dusk_02a_36</t>
  </si>
  <si>
    <t>&lt;font size='26' face='${fontName_FZYH_R}' color='#ffffff'&gt;真失礼呢，打断我讲话~你啊，就成为冥河的养分吧！&lt;/font&gt;</t>
  </si>
  <si>
    <t>eventstory_dusk_02a_37</t>
  </si>
  <si>
    <t>&lt;font size='26' face='${fontName_FZYH_R}' color='#e7e6e6'&gt;不……不不不不！海蒂大人饶——&lt;/font&gt;</t>
  </si>
  <si>
    <t>eventstory_dusk_02a_38</t>
  </si>
  <si>
    <t>&lt;font size='26' face='${fontName_FZYH_R}' color='#ffffff'&gt;你——！&lt;/font&gt;</t>
  </si>
  <si>
    <t>eventstory_dusk_02a_39</t>
  </si>
  <si>
    <t>&lt;font size='26' face='${fontName_FZYH_R}' color='#ffffff'&gt;杀了你——&lt;/font&gt;</t>
  </si>
  <si>
    <t>eventstory_dusk_02a_40</t>
  </si>
  <si>
    <t>&lt;font size='26' face='${fontName_FZYH_R}' color='#ffffff'&gt;呃……可恶！！&lt;/font&gt;</t>
  </si>
  <si>
    <t>eventstory_dusk_02a_41</t>
  </si>
  <si>
    <t>&lt;font size='26' face='${fontName_FZYH_R}' color='#ffffff'&gt;真当我不会生气啊！&lt;/font&gt;</t>
  </si>
  <si>
    <t>eventstory_dusk_02a_42</t>
  </si>
  <si>
    <t>&lt;font size='26' face='${fontName_FZYH_R}' color='#ffffff'&gt;呼——还剩两个……&lt;/font&gt;</t>
  </si>
  <si>
    <t>eventstory_dusk_02a_43</t>
  </si>
  <si>
    <t>&lt;font size='26' face='${fontName_FZYH_R}' color='#ffffff'&gt;臭小子，别太嚣张！喝！！&lt;/font&gt;</t>
  </si>
  <si>
    <t>eventstory_dusk_02a_44</t>
  </si>
  <si>
    <t>&lt;font size='26' face='${fontName_FZYH_R}' color='#ffffff'&gt;可恶……！！啊啊啊啊啊——&lt;/font&gt;</t>
  </si>
  <si>
    <t>eventstory_dusk_02a_45</t>
  </si>
  <si>
    <t>&lt;font size='26' face='${fontName_FZYH_R}' color='#ffffff'&gt;哼，真弱！&lt;/font&gt;</t>
  </si>
  <si>
    <t>eventstory_dusk_02a_46</t>
  </si>
  <si>
    <t>&lt;font size='26' face='${fontName_FZYH_R}' color='#ffffff'&gt;不错~不错！现在只剩下你们两个人啦~想来很快就会有……&lt;/font&gt;</t>
  </si>
  <si>
    <t>eventstory_dusk_02a_47</t>
  </si>
  <si>
    <t>&lt;font size='26' face='${fontName_FZYH_R}' color='#ffffff'&gt;！&lt;/font&gt;</t>
  </si>
  <si>
    <t>eventstory_dusk_02a_48</t>
  </si>
  <si>
    <t>&lt;font size='26' face='${fontName_FZYH_R}' color='#ffffff'&gt;呃——代号088，看清楚了！你的对手可不是我！&lt;/font&gt;</t>
  </si>
  <si>
    <t>eventstory_dusk_02a_49</t>
  </si>
  <si>
    <t>&lt;font size='26' face='${fontName_FZYH_R}' color='#ffffff'&gt;我看得很清楚！&lt;/font&gt;</t>
  </si>
  <si>
    <t>eventstory_dusk_02a_50</t>
  </si>
  <si>
    <t>&lt;font size='26' face='${fontName_FZYH_R}' color='#ffffff'&gt;我可不在乎什么狗屁规则！只要杀掉你，“直至一人”的规则就能被打破了吧！&lt;/font&gt;</t>
  </si>
  <si>
    <t>eventstory_dusk_02a_51</t>
  </si>
  <si>
    <t>&lt;font size='26' face='${fontName_FZYH_R}' color='#ffffff'&gt;阿斯克！这边——&lt;/font&gt;</t>
  </si>
  <si>
    <t>eventstory_dusk_02a_52</t>
  </si>
  <si>
    <t>&lt;font size='26' face='${fontName_FZYH_R}' color='#ffffff'&gt;只剩你了！&lt;/font&gt;</t>
  </si>
  <si>
    <t>eventstory_dusk_02a_53</t>
  </si>
  <si>
    <t>&lt;font size='26' face='${fontName_FZYH_R}' color='#ffffff'&gt;你……！&lt;/font&gt;</t>
  </si>
  <si>
    <t>eventstory_dusk_02a_54</t>
  </si>
  <si>
    <t>&lt;font size='26' face='${fontName_FZYH_R}' color='#ffffff'&gt;……哈哈哈哈哈哈！都冷静一点，臭小子们。&lt;/font&gt;</t>
  </si>
  <si>
    <t>eventstory_dusk_02a_55</t>
  </si>
  <si>
    <t>&lt;font size='26' face='${fontName_FZYH_R}' color='#ffffff'&gt;这么久了，难得有点乐子，可别轻易让它结束啊。&lt;/font&gt;</t>
  </si>
  <si>
    <t>eventstory_dusk_03a_1</t>
  </si>
  <si>
    <t>&lt;font size='26' face='${fontName_FZYH_R}' color='#ffffff'&gt;（可恶……爪子动不了了！这个女人好强……）&lt;/font&gt;</t>
  </si>
  <si>
    <t>eventstory_dusk_03a_2</t>
  </si>
  <si>
    <t>&lt;font size='26' face='${fontName_FZYH_R}' color='#ffffff'&gt;我说了、别心急！&lt;/font&gt;</t>
  </si>
  <si>
    <t>eventstory_dusk_03a_3</t>
  </si>
  <si>
    <t>&lt;font size='26' face='${fontName_FZYH_R}' color='#ffffff'&gt;唔——可恶，我不会就这么认输的！&lt;/font&gt;</t>
  </si>
  <si>
    <t>eventstory_dusk_03a_4</t>
  </si>
  <si>
    <t>&lt;font size='26' face='${fontName_FZYH_R}' color='#ffffff'&gt;嗯……决定了！我果然不想失去这样的乐趣啊~&lt;/font&gt;</t>
  </si>
  <si>
    <t>eventstory_dusk_03a_5</t>
  </si>
  <si>
    <t>&lt;font size='26' face='${fontName_FZYH_R}' color='#ffffff'&gt;——代号088，代号001，你们两个都通过暗刃最终考核了！&lt;/font&gt;</t>
  </si>
  <si>
    <t>eventstory_dusk_03a_6</t>
  </si>
  <si>
    <t>eventstory_dusk_03a_7</t>
  </si>
  <si>
    <t>&lt;font size='26' face='${fontName_FZYH_R}' color='#ffffff'&gt;我有名字！我叫格莱，不叫什么代号088！&lt;/font&gt;</t>
  </si>
  <si>
    <t>eventstory_dusk_03a_8</t>
  </si>
  <si>
    <t>&lt;font size='26' face='${fontName_FZYH_R}' color='#ffffff'&gt;恭喜你们成为家族“暗刃”，我会赐予你们力量。&lt;/font&gt;</t>
  </si>
  <si>
    <t>eventstory_dusk_03a_9</t>
  </si>
  <si>
    <t>&lt;font size='26' face='${fontName_FZYH_R}' color='#ffffff'&gt;当然，为家族奉献理应得到奖赏——说出你们的心愿吧！&lt;/font&gt;</t>
  </si>
  <si>
    <t>eventstory_dusk_03a_10</t>
  </si>
  <si>
    <t>&lt;font size='26' face='${fontName_FZYH_R}' color='#ffffff'&gt;没有。&lt;/font&gt;</t>
  </si>
  <si>
    <t>eventstory_dusk_03a_11</t>
  </si>
  <si>
    <t>&lt;font size='26' face='${fontName_FZYH_R}' color='#ffffff'&gt;你还真是无趣啊……那么你的心愿是什么？代号088。&lt;/font&gt;</t>
  </si>
  <si>
    <t>eventstory_dusk_03a_12</t>
  </si>
  <si>
    <t>&lt;font size='26' face='${fontName_FZYH_R}' color='#ffffff'&gt;我想要——自由！&lt;/font&gt;</t>
  </si>
  <si>
    <t>eventstory_dusk_03a_13</t>
  </si>
  <si>
    <t>eventstory_dusk_03a_14</t>
  </si>
  <si>
    <t>&lt;font size='26' face='${fontName_FZYH_R}' color='#ffffff'&gt;不行么……？！&lt;/font&gt;</t>
  </si>
  <si>
    <t>eventstory_dusk_03a_15</t>
  </si>
  <si>
    <t>&lt;font size='26' face='${fontName_FZYH_R}' color='#ffffff'&gt;可以哟~只要你完成10个考验，我就给你自由。&lt;/font&gt;</t>
  </si>
  <si>
    <t>eventstory_dusk_03a_16</t>
  </si>
  <si>
    <t>&lt;font size='26' face='${fontName_FZYH_R}' color='#ffffff'&gt;呃……就这样？&lt;/font&gt;</t>
  </si>
  <si>
    <t>eventstory_dusk_03a_17</t>
  </si>
  <si>
    <t>&lt;font size='26' face='${fontName_FZYH_R}' color='#ffffff'&gt;你除了选择相信我，还有其他选择么？&lt;/font&gt;</t>
  </si>
  <si>
    <t>eventstory_dusk_03a_18</t>
  </si>
  <si>
    <t>&lt;font size='26' face='${fontName_FZYH_R}' color='#ffffff'&gt;没有其他问题的话，你们两个就可以进行连接仪式了——&lt;/font&gt;</t>
  </si>
  <si>
    <t>eventstory_dusk_03a_19</t>
  </si>
  <si>
    <t>&lt;font size='26' face='${fontName_FZYH_R}' color='#ffffff'&gt;等等！差点忘了，在仪式开始前和我的小可爱们打个招呼吧~&lt;/font&gt;</t>
  </si>
  <si>
    <t>eventstory_dusk_03a_20</t>
  </si>
  <si>
    <t>&lt;font size='26' face='${fontName_FZYH_R}' color='#ffffff'&gt;超凶三头犬——大王、二王和约翰~&lt;/font&gt;</t>
  </si>
  <si>
    <t>eventstory_dusk_03a_21</t>
  </si>
  <si>
    <t>eventstory_dusk_03a_22</t>
  </si>
  <si>
    <t>&lt;font size='26' face='${fontName_FZYH_R}' color='#ffffff'&gt;海蒂大人，您这样做不合规矩。&lt;/font&gt;</t>
  </si>
  <si>
    <t>eventstory_dusk_03a_23</t>
  </si>
  <si>
    <t>&lt;font size='26' face='${fontName_FZYH_R}' color='#ffffff'&gt;规矩？什么规矩。&lt;/font&gt;</t>
  </si>
  <si>
    <t>eventstory_dusk_03a_24</t>
  </si>
  <si>
    <t>&lt;font size='26' face='${fontName_FZYH_R}' color='#ffffff'&gt;……每届暗刃选拔，都只能有一人胜出。您留下他们两人……&lt;/font&gt;</t>
  </si>
  <si>
    <t>eventstory_dusk_03a_25</t>
  </si>
  <si>
    <t>&lt;font size='26' face='${fontName_FZYH_R}' color='#ffffff'&gt;是么？我倒是不记得“我的”暗刃，轮得到你多嘴……仆人迟缓！&lt;/font&gt;</t>
  </si>
  <si>
    <t>eventstory_dusk_03a_26</t>
  </si>
  <si>
    <t>eventstory_dusk_03a_27</t>
  </si>
  <si>
    <t>&lt;font size='26' face='${fontName_FZYH_R}' color='#ffffff'&gt;您是质疑“教会”的决定么？&lt;/font&gt;</t>
  </si>
  <si>
    <t>eventstory_dusk_03a_28</t>
  </si>
  <si>
    <t>&lt;font size='26' face='${fontName_FZYH_R}' color='#ffffff'&gt;我可没这么说~&lt;/font&gt;</t>
  </si>
  <si>
    <t>eventstory_dusk_03a_29</t>
  </si>
  <si>
    <t>&lt;font size='26' face='${fontName_FZYH_R}' color='#ffffff'&gt;暗刃是为了应对“诸神黄昏”的预言，我可是替“教会”考虑，多准备些强大的力量。&lt;/font&gt;</t>
  </si>
  <si>
    <t>eventstory_dusk_03a_30</t>
  </si>
  <si>
    <t>&lt;font size='26' face='${fontName_FZYH_R}' color='#ffffff'&gt;暗刃只是应对预言的工具，您无需投入精力。同样的，工具之间最好也不要有牵绊！&lt;/font&gt;</t>
  </si>
  <si>
    <t>eventstory_dusk_03a_31</t>
  </si>
  <si>
    <t>&lt;font size='26' face='${fontName_FZYH_R}' color='#ffffff'&gt;您留下那两个暗刃，就是埋下隐患！&lt;/font&gt;</t>
  </si>
  <si>
    <t>eventstory_dusk_03a_32</t>
  </si>
  <si>
    <t>&lt;font size='26' face='${fontName_FZYH_R}' color='#ffffff'&gt;请您记得，“教会”那里的视线从未离开过。&lt;/font&gt;</t>
  </si>
  <si>
    <t>eventstory_dusk_03a_33</t>
  </si>
  <si>
    <t>&lt;font size='26' face='${fontName_FZYH_R}' color='#ffffff'&gt;（自言自语）哈哈哈、还真是愚蠢得让人生厌！&lt;/font&gt;</t>
  </si>
  <si>
    <t>eventstory_dusk_03a_34</t>
  </si>
  <si>
    <t>&lt;font size='26' face='${fontName_FZYH_R}' color='#ffffff'&gt;（自言自语）想利用工具，又畏惧工具…&lt;/font&gt;</t>
  </si>
  <si>
    <t>eventstory_dusk_03a_35</t>
  </si>
  <si>
    <t>&lt;font size='26' face='${fontName_FZYH_R}' color='#ffffff'&gt;（自言自语）给我记清楚了！！既然决定利用工具，就要做好被工具反噬的准备！&lt;/font&gt;</t>
  </si>
  <si>
    <t>eventstory_dusk_03a_36</t>
  </si>
  <si>
    <t>&lt;font size='26' face='${fontName_FZYH_R}' color='#ffffff'&gt;（最终考核结束后，生活又恢复了平静。）&lt;/font&gt;</t>
  </si>
  <si>
    <t>eventstory_dusk_03a_37</t>
  </si>
  <si>
    <t>&lt;font size='26' face='${fontName_FZYH_R}' color='#ffffff'&gt;（暗刃代号001的阿斯克能力出众，留在海蒂身边。暗刃代号088的格莱则奔波于各地，完成换取自由的考验。）&lt;/font&gt;</t>
  </si>
  <si>
    <t>eventstory_dusk_03a_38</t>
  </si>
  <si>
    <t>&lt;font size='26' face='${fontName_FZYH_R}' color='#ffffff'&gt;（格莱的第6个考验，是清理叛逃的仆人——代号“迟缓”，同行人为阿斯克。）&lt;/font&gt;</t>
  </si>
  <si>
    <t>eventstory_dusk_03a_39</t>
  </si>
  <si>
    <t>&lt;font size='26' face='${fontName_FZYH_R}' color='#ffffff'&gt;呼……呼……你们两个……&lt;/font&gt;</t>
  </si>
  <si>
    <t>eventstory_dusk_03a_40</t>
  </si>
  <si>
    <t>&lt;font size='26' face='${fontName_FZYH_R}' color='#ffffff'&gt;哈……你可真能跑啊！&lt;/font&gt;</t>
  </si>
  <si>
    <t>eventstory_dusk_03a_41</t>
  </si>
  <si>
    <t>&lt;font size='26' face='${fontName_FZYH_R}' color='#ffffff'&gt;抱歉了！叛逃者“迟缓”，奉家族掌权人海蒂之命令，暗刃将对你进行审判！&lt;/font&gt;</t>
  </si>
  <si>
    <t>eventstory_dusk_03a_42</t>
  </si>
  <si>
    <t>&lt;font size='26' face='${fontName_FZYH_R}' color='#ffffff'&gt;呃啊啊啊啊——&lt;/font&gt;</t>
  </si>
  <si>
    <t>eventstory_dusk_03a_43</t>
  </si>
  <si>
    <t>&lt;font size='26' face='${fontName_FZYH_R}' color='#ffffff'&gt;哈、哈……两个自愿成为……爪牙的蠢货……&lt;/font&gt;</t>
  </si>
  <si>
    <t>eventstory_dusk_03a_44</t>
  </si>
  <si>
    <t>&lt;font size='26' face='${fontName_FZYH_R}' color='#ffffff'&gt;根本……什么都不知道！！！！&lt;/font&gt;</t>
  </si>
  <si>
    <t>eventstory_dusk_03a_45</t>
  </si>
  <si>
    <t>&lt;font size='26' face='${fontName_FZYH_R}' color='#ffffff'&gt;“教会”不会……呃啊啊啊啊啊啊啊！&lt;/font&gt;</t>
  </si>
  <si>
    <t>eventstory_dusk_03a_46</t>
  </si>
  <si>
    <t>&lt;font size='26' face='${fontName_FZYH_R}' color='#ffffff'&gt;？！&lt;/font&gt;</t>
  </si>
  <si>
    <t>eventstory_dusk_03a_47</t>
  </si>
  <si>
    <t>&lt;font size='26' face='${fontName_FZYH_R}' color='#ffffff'&gt;哑巴蛇……？&lt;/font&gt;</t>
  </si>
  <si>
    <t>eventstory_dusk_03a_48</t>
  </si>
  <si>
    <t>&lt;font size='26' face='${fontName_FZYH_R}' color='#ffffff'&gt;任务终了。&lt;/font&gt;</t>
  </si>
  <si>
    <t>eventstory_dusk_03a_49</t>
  </si>
  <si>
    <t>&lt;font size='26' face='${fontName_FZYH_R}' color='#ffffff'&gt;走。&lt;/font&gt;</t>
  </si>
  <si>
    <t>eventstory_dusk_03a_50</t>
  </si>
  <si>
    <t>&lt;font size='26' face='${fontName_FZYH_R}' color='#ffffff'&gt;……你还是只要能动手就不动嘴，惜字如金。&lt;/font&gt;</t>
  </si>
  <si>
    <t>eventstory_dusk_03a_51</t>
  </si>
  <si>
    <t>&lt;font size='26' face='${fontName_FZYH_R}' color='#ffffff'&gt;啊、差点就忘记了——走吧，带你去拆礼物！&lt;/font&gt;</t>
  </si>
  <si>
    <t>eventstory_dusk_04a_1</t>
  </si>
  <si>
    <t>&lt;font size='26' face='${fontName_FZYH_R}' color='#ffffff'&gt;哑巴蛇你看——真的出现极光了！！&lt;/font&gt;</t>
  </si>
  <si>
    <t>eventstory_dusk_04a_2</t>
  </si>
  <si>
    <t>&lt;font size='26' face='${fontName_FZYH_R}' color='#ffffff'&gt;怎么样？这次送你的礼物够不够特别，够不够大气？！&lt;/font&gt;</t>
  </si>
  <si>
    <t>eventstory_dusk_04a_3</t>
  </si>
  <si>
    <t>&lt;font size='26' face='${fontName_FZYH_R}' color='#ffffff'&gt;……不用送。&lt;/font&gt;</t>
  </si>
  <si>
    <t>eventstory_dusk_04a_4</t>
  </si>
  <si>
    <t>&lt;font size='26' face='${fontName_FZYH_R}' color='#ffffff'&gt;每次都是这句……之前送你的怪味饼干，我看你吃得挺开心啊！&lt;/font&gt;</t>
  </si>
  <si>
    <t>eventstory_dusk_04a_5</t>
  </si>
  <si>
    <t>&lt;font size='26' face='${fontName_FZYH_R}' color='#ffffff'&gt;还有那个玻璃珠，你不也挺喜欢的！&lt;/font&gt;</t>
  </si>
  <si>
    <t>eventstory_dusk_04a_6</t>
  </si>
  <si>
    <t>eventstory_dusk_04a_7</t>
  </si>
  <si>
    <t>&lt;font size='26' face='${fontName_FZYH_R}' color='#ffffff'&gt;诶、哑巴蛇！等等我呀！&lt;/font&gt;</t>
  </si>
  <si>
    <t>eventstory_dusk_04a_8</t>
  </si>
  <si>
    <t>&lt;font size='26' face='${fontName_FZYH_R}' color='#ffffff'&gt;呼——第6个考验也顺利完成啦~再过不了多久，我就能得到自由了！&lt;/font&gt;</t>
  </si>
  <si>
    <t>eventstory_dusk_04a_9</t>
  </si>
  <si>
    <t>&lt;font size='26' face='${fontName_FZYH_R}' color='#ffffff'&gt;为何执着？&lt;/font&gt;</t>
  </si>
  <si>
    <t>eventstory_dusk_04a_10</t>
  </si>
  <si>
    <t>&lt;font size='26' face='${fontName_FZYH_R}' color='#ffffff'&gt;当然是因为想看看不同的世界呀——除了这片雪原以外，还有很多其他的颜色！&lt;/font&gt;</t>
  </si>
  <si>
    <t>eventstory_dusk_04a_11</t>
  </si>
  <si>
    <t>&lt;font size='26' face='${fontName_FZYH_R}' color='#ffffff'&gt;你不想看么？&lt;/font&gt;</t>
  </si>
  <si>
    <t>eventstory_dusk_04a_12</t>
  </si>
  <si>
    <t>&lt;font size='26' face='${fontName_FZYH_R}' color='#ffffff'&gt;我没见过。&lt;/font&gt;</t>
  </si>
  <si>
    <t>eventstory_dusk_04a_13</t>
  </si>
  <si>
    <t>&lt;font size='26' face='${fontName_FZYH_R}' color='#ffffff'&gt;所以才要去看看啊！&lt;/font&gt;</t>
  </si>
  <si>
    <t>eventstory_dusk_04a_14</t>
  </si>
  <si>
    <t>&lt;font size='26' face='${fontName_FZYH_R}' color='#ffffff'&gt;听说一直往南走，可以看到未被冰封的大海！还有一望无际的沙漠！你能想象么，满是砂砾的世界也会有花朵盛开！&lt;/font&gt;</t>
  </si>
  <si>
    <t>eventstory_dusk_04a_15</t>
  </si>
  <si>
    <t>&lt;font size='26' face='${fontName_FZYH_R}' color='#ffffff'&gt;总之，希望海蒂那个女人能遵守承诺……&lt;/font&gt;</t>
  </si>
  <si>
    <t>eventstory_dusk_04a_16</t>
  </si>
  <si>
    <t>&lt;font size='26' face='${fontName_FZYH_R}' color='#ffffff'&gt;她会遵守。&lt;/font&gt;</t>
  </si>
  <si>
    <t>eventstory_dusk_04a_17</t>
  </si>
  <si>
    <t>&lt;font size='26' face='${fontName_FZYH_R}' color='#ffffff'&gt;你很了解她么？不过也是，你成为暗刃以后一直在她身边。&lt;/font&gt;</t>
  </si>
  <si>
    <t>eventstory_dusk_04a_18</t>
  </si>
  <si>
    <t>&lt;font size='26' face='${fontName_FZYH_R}' color='#ffffff'&gt;她想见证。&lt;/font&gt;</t>
  </si>
  <si>
    <t>eventstory_dusk_04a_19</t>
  </si>
  <si>
    <t>&lt;font size='26' face='${fontName_FZYH_R}' color='#ffffff'&gt;最好是这样！她要是敢毁约，我肯定会揍到她同意为止！&lt;/font&gt;</t>
  </si>
  <si>
    <t>eventstory_dusk_04a_20</t>
  </si>
  <si>
    <t>&lt;font size='26' face='${fontName_FZYH_R}' color='#ffffff'&gt;你赢不了。&lt;/font&gt;</t>
  </si>
  <si>
    <t>eventstory_dusk_04a_21</t>
  </si>
  <si>
    <t>&lt;font size='26' face='${fontName_FZYH_R}' color='#ffffff'&gt;……哑巴蛇，你是得了说太多字会死的病么？&lt;/font&gt;</t>
  </si>
  <si>
    <t>eventstory_dusk_04a_22</t>
  </si>
  <si>
    <t>eventstory_dusk_04a_23</t>
  </si>
  <si>
    <t>&lt;font size='26' face='${fontName_FZYH_R}' color='#ffffff'&gt;切……不和你计较了，谁让你可怜的只有我这一个朋友~&lt;/font&gt;</t>
  </si>
  <si>
    <t>eventstory_dusk_04a_24</t>
  </si>
  <si>
    <t>&lt;font size='26' face='${fontName_FZYH_R}' color='#ffffff'&gt;话说回来，你刚刚说——海蒂想见证什么？&lt;/font&gt;</t>
  </si>
  <si>
    <t>eventstory_dusk_04a_25</t>
  </si>
  <si>
    <t>&lt;font size='26' face='${fontName_FZYH_R}' color='#ffffff'&gt;自己去问。&lt;/font&gt;</t>
  </si>
  <si>
    <t>eventstory_dusk_04a_26</t>
  </si>
  <si>
    <t>&lt;font size='26' face='${fontName_FZYH_R}' color='#ffffff'&gt;……你还是闭嘴吧！&lt;/font&gt;</t>
  </si>
  <si>
    <t>eventstory_dusk_04a_27</t>
  </si>
  <si>
    <t>&lt;font size='26' face='${fontName_FZYH_R}' color='#ffffff'&gt;（回忆被武器的碰撞声打破，小巷中没有极光和礼物，只有冰冷的月亮和现实。）&lt;/font&gt;</t>
  </si>
  <si>
    <t>eventstory_dusk_04a_28</t>
  </si>
  <si>
    <t>&lt;font size='26' face='${fontName_FZYH_R}' color='#ffffff'&gt;你在东张西望什么，阿斯克？！&lt;/font&gt;</t>
  </si>
  <si>
    <t>eventstory_dusk_04a_29</t>
  </si>
  <si>
    <t>eventstory_dusk_04a_30</t>
  </si>
  <si>
    <t>&lt;font size='26' face='${fontName_FZYH_R}' color='#ffffff'&gt;我承认我的力量不如你……但我想要的东西，我会用自己的力量争取！&lt;/font&gt;</t>
  </si>
  <si>
    <t>eventstory_dusk_04a_31</t>
  </si>
  <si>
    <t>&lt;font size='26' face='${fontName_FZYH_R}' color='#ffffff'&gt;你凭什么替我做决定？！&lt;/font&gt;</t>
  </si>
  <si>
    <t>eventstory_dusk_04a_32</t>
  </si>
  <si>
    <t>eventstory_dusk_04a_33</t>
  </si>
  <si>
    <t>&lt;font size='26' face='${fontName_FZYH_R}' color='#ffffff'&gt;很抱歉打断你们二人的谈话~奉主人海蒂之命，我前来见证暗刃代号088的第10个考验，并会作出最终判决！&lt;/font&gt;</t>
  </si>
  <si>
    <t>eventstory_dusk_04a_34</t>
  </si>
  <si>
    <t>eventstory_dusk_04a_35</t>
  </si>
  <si>
    <t>eventstory_dusk_04a_36</t>
  </si>
  <si>
    <t>&lt;font size='26' face='${fontName_FZYH_R}' color='#ffffff'&gt;（月光从乌云后渐渐露出，白惨惨得照着来人熟悉的面孔。）&lt;/font&gt;</t>
  </si>
  <si>
    <t>eventstory_dusk_04a_37</t>
  </si>
  <si>
    <t>&lt;font size='26' face='${fontName_FZYH_R}' color='#ffffff'&gt;怎么会……不可能，你是……仆人迟缓？！&lt;/font&gt;</t>
  </si>
  <si>
    <t>eventstory_dusk_04a_38</t>
  </si>
  <si>
    <t>&lt;font size='26' face='${fontName_FZYH_R}' color='#ffffff'&gt;哦呀，088大人您认识我？&lt;/font&gt;</t>
  </si>
  <si>
    <t>eventstory_dusk_04a_39</t>
  </si>
  <si>
    <t>&lt;font size='26' face='${fontName_FZYH_R}' color='#ffffff'&gt;……这究竟是……怎么一回事？！你不是已经……而且你说话变得好奇怪……&lt;/font&gt;</t>
  </si>
  <si>
    <t>eventstory_dusk_04a_40</t>
  </si>
  <si>
    <t>&lt;font size='26' face='${fontName_FZYH_R}' color='#ffffff'&gt;虽然不太清楚您在说什么，不过眼下最重要的是完成考核。&lt;/font&gt;</t>
  </si>
  <si>
    <t>eventstory_dusk_04a_41</t>
  </si>
  <si>
    <t>&lt;font size='26' face='${fontName_FZYH_R}' color='#ffffff'&gt;请001大人和088大人抓紧时……&lt;/font&gt;</t>
  </si>
  <si>
    <t>eventstory_dusk_04a_42</t>
  </si>
  <si>
    <t>&lt;font size='26' face='${fontName_FZYH_R}' color='#ffffff'&gt;你……怎么杀了他？！这第10个考验……&lt;/font&gt;</t>
  </si>
  <si>
    <t>eventstory_dusk_04a_43</t>
  </si>
  <si>
    <t>&lt;font size='26' face='${fontName_FZYH_R}' color='#ffffff'&gt;他很碍事。&lt;/font&gt;</t>
  </si>
  <si>
    <t>eventstory_dusk_04a_44</t>
  </si>
  <si>
    <t>eventstory_dusk_04a_45</t>
  </si>
  <si>
    <t>&lt;font size='26' face='${fontName_FZYH_R}' color='#ffffff'&gt;阿斯克你看——迟缓的尸骸……消失了！！&lt;/font&gt;</t>
  </si>
  <si>
    <t>eventstory_dusk_04a_46</t>
  </si>
  <si>
    <t>&lt;font size='26' face='${fontName_FZYH_R}' color='#ffffff'&gt;果然。&lt;/font&gt;</t>
  </si>
  <si>
    <t>eventstory_dusk_04a_47</t>
  </si>
  <si>
    <t>&lt;font size='26' face='${fontName_FZYH_R}' color='#ffffff'&gt;……啥？！呃，我是错过了什么情节么？&lt;/font&gt;</t>
  </si>
  <si>
    <t>eventstory_dusk_04a_48</t>
  </si>
  <si>
    <t>&lt;font size='26' face='${fontName_FZYH_R}' color='#ffffff'&gt;迟缓，证明了我的猜测。&lt;/font&gt;</t>
  </si>
  <si>
    <t>eventstory_dusk_04a_49</t>
  </si>
  <si>
    <t>&lt;font size='26' face='${fontName_FZYH_R}' color='#ffffff'&gt;你竟然……&lt;/font&gt;</t>
  </si>
  <si>
    <t>eventstory_dusk_04a_50</t>
  </si>
  <si>
    <t>eventstory_dusk_04a_51</t>
  </si>
  <si>
    <t>&lt;font size='26' face='${fontName_FZYH_R}' color='#ffffff'&gt;你竟然也能一口气说这么多字啊？！&lt;/font&gt;</t>
  </si>
  <si>
    <t>eventstory_dusk_04a_52</t>
  </si>
  <si>
    <t>eventstory_dusk_04a_53</t>
  </si>
  <si>
    <t>&lt;font size='26' face='${fontName_FZYH_R}' color='#ffffff'&gt;对不起，我这就闭嘴！&lt;/font&gt;</t>
  </si>
  <si>
    <t>eventstory_dusk_04a_54</t>
  </si>
  <si>
    <t>&lt;font size='26' face='${fontName_FZYH_R}' color='#ffffff'&gt;长话短说——&lt;/font&gt;</t>
  </si>
  <si>
    <t>eventstory_dusk_04a_55</t>
  </si>
  <si>
    <t>eventstory_dusk_04a_56</t>
  </si>
  <si>
    <t>&lt;font size='26' face='${fontName_FZYH_R}' color='#ffffff'&gt;哎呀呀，迟缓果然“又”死掉了呀！&lt;/font&gt;</t>
  </si>
  <si>
    <t>eventstory_dusk_04a_57</t>
  </si>
  <si>
    <t>&lt;font size='26' face='${fontName_FZYH_R}' color='#ffffff'&gt;当初的最终考核让他们两个人都留下，果然是正确的选择！&lt;/font&gt;</t>
  </si>
  <si>
    <t>eventstory_dusk_04a_58</t>
  </si>
  <si>
    <t>&lt;font size='26' face='${fontName_FZYH_R}' color='#ffffff'&gt;你说是不是呀？我的约翰！&lt;/font&gt;</t>
  </si>
  <si>
    <t>eventstory_dusk_04a_59</t>
  </si>
  <si>
    <t>&lt;font size='26' face='${fontName_FZYH_R}' color='#ffffff'&gt;呜哇！&lt;/font&gt;</t>
  </si>
  <si>
    <t>eventstory_dusk_05a_1</t>
  </si>
  <si>
    <t>&lt;font size='26' face='${fontName_FZYH_R}' color='#ffffff'&gt;荒莽处，雾色茫茫；&lt;/font&gt;</t>
  </si>
  <si>
    <t>eventstory_dusk_05a_2</t>
  </si>
  <si>
    <t>&lt;font size='26' face='${fontName_FZYH_R}' color='#ffffff'&gt;寂静处，祸心暗藏。&lt;/font&gt;</t>
  </si>
  <si>
    <t>eventstory_dusk_05a_3</t>
  </si>
  <si>
    <t>&lt;font size='26' face='${fontName_FZYH_R}' color='#ffffff'&gt;逃吧！脚下是叛者的坟场；&lt;/font&gt;</t>
  </si>
  <si>
    <t>eventstory_dusk_05a_4</t>
  </si>
  <si>
    <t>&lt;font size='26' face='${fontName_FZYH_R}' color='#ffffff'&gt;跑吧！前方是旭日的光芒。&lt;/font&gt;</t>
  </si>
  <si>
    <t>eventstory_dusk_05a_5</t>
  </si>
  <si>
    <t>&lt;font size='26' face='${fontName_FZYH_R}' color='#ffffff'&gt;等你很久了，代号088~&lt;/font&gt;</t>
  </si>
  <si>
    <t>eventstory_dusk_05a_6</t>
  </si>
  <si>
    <t>&lt;font size='26' face='${fontName_FZYH_R}' color='#ffffff'&gt;很不错嘛！看来你出色地完成了第10个考验。&lt;/font&gt;</t>
  </si>
  <si>
    <t>eventstory_dusk_05a_7</t>
  </si>
  <si>
    <t>&lt;font size='26' face='${fontName_FZYH_R}' color='#ffffff'&gt;……嗯。&lt;/font&gt;</t>
  </si>
  <si>
    <t>eventstory_dusk_05a_8</t>
  </si>
  <si>
    <t>&lt;font size='26' face='${fontName_FZYH_R}' color='#ffffff'&gt;代号001可是近年来最出色的暗刃……真是可惜了。&lt;/font&gt;</t>
  </si>
  <si>
    <t>eventstory_dusk_05a_9</t>
  </si>
  <si>
    <t>&lt;font size='26' face='${fontName_FZYH_R}' color='#ffffff'&gt;不过我会遵守承诺！暗刃代号088，现在你自由了！&lt;/font&gt;</t>
  </si>
  <si>
    <t>eventstory_dusk_05a_10</t>
  </si>
  <si>
    <t>&lt;font size='26' face='${fontName_FZYH_R}' color='#ffffff'&gt;001你……！&lt;/font&gt;</t>
  </si>
  <si>
    <t>eventstory_dusk_05a_11</t>
  </si>
  <si>
    <t>&lt;font size='26' face='${fontName_FZYH_R}' color='#ffffff'&gt;呃啊啊啊啊啊啊！&lt;/font&gt;</t>
  </si>
  <si>
    <t>eventstory_dusk_05a_12</t>
  </si>
  <si>
    <t>&lt;font size='26' face='${fontName_FZYH_R}' color='#ffffff'&gt;成……成功了！！干得好——阿斯克！！&lt;/font&gt;</t>
  </si>
  <si>
    <t>eventstory_dusk_05a_13</t>
  </si>
  <si>
    <t>&lt;font size='26' face='${fontName_FZYH_R}' color='#ffffff'&gt;（在此之前……）&lt;/font&gt;</t>
  </si>
  <si>
    <t>eventstory_dusk_05a_14</t>
  </si>
  <si>
    <t>eventstory_dusk_05a_15</t>
  </si>
  <si>
    <t>&lt;font size='26' face='${fontName_FZYH_R}' color='#ffffff'&gt;……我不想和你争论这个，我做不到！&lt;/font&gt;</t>
  </si>
  <si>
    <t>eventstory_dusk_05a_16</t>
  </si>
  <si>
    <t>&lt;font size='26' face='${fontName_FZYH_R}' color='#ffffff'&gt;我诈死。&lt;/font&gt;</t>
  </si>
  <si>
    <t>eventstory_dusk_05a_17</t>
  </si>
  <si>
    <t>&lt;font size='26' face='${fontName_FZYH_R}' color='#ffffff'&gt;你的意思是……我假装杀掉你，然后向海蒂复命？&lt;/font&gt;</t>
  </si>
  <si>
    <t>eventstory_dusk_05a_18</t>
  </si>
  <si>
    <t>&lt;font size='26' face='${fontName_FZYH_R}' color='#ffffff'&gt;可……可是这根本骗不过那个女人啊！&lt;/font&gt;</t>
  </si>
  <si>
    <t>eventstory_dusk_05a_19</t>
  </si>
  <si>
    <t>&lt;font size='26' face='${fontName_FZYH_R}' color='#ffffff'&gt;骗不过。&lt;/font&gt;</t>
  </si>
  <si>
    <t>eventstory_dusk_05a_20</t>
  </si>
  <si>
    <t>&lt;font size='26' face='${fontName_FZYH_R}' color='#ffffff'&gt;你是说——？&lt;/font&gt;</t>
  </si>
  <si>
    <t>eventstory_dusk_05a_21</t>
  </si>
  <si>
    <t>&lt;font size='26' face='${fontName_FZYH_R}' color='#ffffff'&gt;杀掉海蒂……&lt;/font&gt;</t>
  </si>
  <si>
    <t>eventstory_dusk_05a_22</t>
  </si>
  <si>
    <t>&lt;font size='26' face='${fontName_FZYH_R}' color='#ffffff'&gt;就算你和我说了，你的血很特殊，能让海蒂能力失控。可后果……&lt;/font&gt;</t>
  </si>
  <si>
    <t>eventstory_dusk_05a_23</t>
  </si>
  <si>
    <t>&lt;font size='26' face='${fontName_FZYH_R}' color='#ffffff'&gt;我不知道。&lt;/font&gt;</t>
  </si>
  <si>
    <t>eventstory_dusk_05a_24</t>
  </si>
  <si>
    <t>&lt;font size='26' face='${fontName_FZYH_R}' color='#ffffff'&gt;……哑巴蛇，你为什么要这么做？这是我的考验，应该和你无关吧！&lt;/font&gt;</t>
  </si>
  <si>
    <t>eventstory_dusk_05a_25</t>
  </si>
  <si>
    <t>&lt;font size='26' face='${fontName_FZYH_R}' color='#ffffff'&gt;回礼。&lt;/font&gt;</t>
  </si>
  <si>
    <t>eventstory_dusk_05a_26</t>
  </si>
  <si>
    <t>&lt;font size='26' face='${fontName_FZYH_R}' color='#ffffff'&gt;我没有送你过什么珍贵的礼物！你这份回礼我没法接受，太沉重了……&lt;/font&gt;</t>
  </si>
  <si>
    <t>eventstory_dusk_05a_27</t>
  </si>
  <si>
    <t>&lt;font size='26' face='${fontName_FZYH_R}' color='#ffffff'&gt;是我的事。&lt;/font&gt;</t>
  </si>
  <si>
    <t>eventstory_dusk_05a_28</t>
  </si>
  <si>
    <t>&lt;font size='26' face='${fontName_FZYH_R}' color='#ffffff'&gt;看前面！&lt;/font&gt;</t>
  </si>
  <si>
    <t>eventstory_dusk_05a_29</t>
  </si>
  <si>
    <t>&lt;font size='26' face='${fontName_FZYH_R}' color='#ffffff'&gt;呼……好险好险！&lt;/font&gt;</t>
  </si>
  <si>
    <t>eventstory_dusk_05a_30</t>
  </si>
  <si>
    <t>&lt;font size='26' face='${fontName_FZYH_R}' color='#ffffff'&gt;哎呀，很好得躲开了嘛~&lt;/font&gt;</t>
  </si>
  <si>
    <t>eventstory_dusk_05a_31</t>
  </si>
  <si>
    <t>&lt;font size='26' face='${fontName_FZYH_R}' color='#ffffff'&gt;啧，就知道对付你没那么容易……&lt;/font&gt;</t>
  </si>
  <si>
    <t>eventstory_dusk_05a_32</t>
  </si>
  <si>
    <t>&lt;font size='26' face='${fontName_FZYH_R}' color='#ffffff'&gt;你们两个的选择真没让我失望呀~阿斯克，你果然改变了很多！&lt;/font&gt;</t>
  </si>
  <si>
    <t>eventstory_dusk_05a_33</t>
  </si>
  <si>
    <t>eventstory_dusk_05a_34</t>
  </si>
  <si>
    <t>&lt;font size='26' face='${fontName_FZYH_R}' color='#ffffff'&gt;倒是格莱，你比我预想中的还要有趣！&lt;/font&gt;</t>
  </si>
  <si>
    <t>eventstory_dusk_05a_35</t>
  </si>
  <si>
    <t>&lt;font size='26' face='${fontName_FZYH_R}' color='#ffffff'&gt;少废话！我要毁约——和你做交易果然不是正确的选择，我要自己把自由抢过来！&lt;/font&gt;</t>
  </si>
  <si>
    <t>eventstory_dusk_05a_36</t>
  </si>
  <si>
    <t>&lt;font size='26' face='${fontName_FZYH_R}' color='#ffffff'&gt;大言不惭的样子看起来是挺蠢，不过我不讨厌这样的气势。&lt;/font&gt;</t>
  </si>
  <si>
    <t>eventstory_dusk_05a_37</t>
  </si>
  <si>
    <t>&lt;font size='26' face='${fontName_FZYH_R}' color='#ffffff'&gt;那就来试试看吧！！！！&lt;/font&gt;</t>
  </si>
  <si>
    <t>eventstory_dusk_05a_38</t>
  </si>
  <si>
    <t>&lt;font size='26' face='${fontName_FZYH_R}' color='#ffffff'&gt;大王、二王、约翰——~&lt;/font&gt;</t>
  </si>
  <si>
    <t>eventstory_dusk_05a_39</t>
  </si>
  <si>
    <t>&lt;font size='26' face='${fontName_FZYH_R}' color='#ffffff'&gt;去吧！这两块肉是你们的了~&lt;/font&gt;</t>
  </si>
  <si>
    <t>eventstory_dusk_06a_1</t>
  </si>
  <si>
    <t>&lt;font size='26' face='${fontName_FZYH_R}' color='#ffffff'&gt;我很讨厌自以为是的人，为你两个人的愚蠢付出代价吧！&lt;/font&gt;</t>
  </si>
  <si>
    <t>eventstory_dusk_06a_2</t>
  </si>
  <si>
    <t>&lt;font size='26' face='${fontName_FZYH_R}' color='#ffffff'&gt;吼——&lt;/font&gt;</t>
  </si>
  <si>
    <t>eventstory_dusk_06a_3</t>
  </si>
  <si>
    <t>&lt;font size='26' face='${fontName_FZYH_R}' color='#ffffff'&gt;可恶，别小瞧我！！&lt;/font&gt;</t>
  </si>
  <si>
    <t>eventstory_dusk_06a_4</t>
  </si>
  <si>
    <t>&lt;font size='26' face='${fontName_FZYH_R}' color='#ffffff'&gt;汪——汪——&lt;/font&gt;</t>
  </si>
  <si>
    <t>eventstory_dusk_06a_5</t>
  </si>
  <si>
    <t>eventstory_dusk_06a_6</t>
  </si>
  <si>
    <t>&lt;font size='26' face='${fontName_FZYH_R}' color='#ffffff'&gt;噗哈哈哈哈、再怎么凶还是狗嘛！&lt;/font&gt;</t>
  </si>
  <si>
    <t>eventstory_dusk_06a_7</t>
  </si>
  <si>
    <t>&lt;font size='26' face='${fontName_FZYH_R}' color='#ffffff'&gt;吼————&lt;/font&gt;</t>
  </si>
  <si>
    <t>eventstory_dusk_06a_8</t>
  </si>
  <si>
    <t>&lt;font size='26' face='${fontName_FZYH_R}' color='#ffffff'&gt;闭嘴！&lt;/font&gt;</t>
  </si>
  <si>
    <t>eventstory_dusk_06a_9</t>
  </si>
  <si>
    <t>&lt;font size='26' face='${fontName_FZYH_R}' color='#ffffff'&gt;呼、还真是难缠。&lt;/font&gt;</t>
  </si>
  <si>
    <t>eventstory_dusk_06a_10</t>
  </si>
  <si>
    <t>&lt;font size='26' face='${fontName_FZYH_R}' color='#ffffff'&gt;哑巴蛇，我们速战速决！&lt;/font&gt;</t>
  </si>
  <si>
    <t>eventstory_dusk_06a_11</t>
  </si>
  <si>
    <t>&lt;font size='26' face='${fontName_FZYH_R}' color='#ffffff'&gt;那就快点去、死、吧~&lt;/font&gt;</t>
  </si>
  <si>
    <t>eventstory_dusk_06a_12</t>
  </si>
  <si>
    <t>&lt;font size='26' face='${fontName_FZYH_R}' color='#ffffff'&gt;什……呃啊！！&lt;/font&gt;</t>
  </si>
  <si>
    <t>eventstory_dusk_06a_13</t>
  </si>
  <si>
    <t>eventstory_dusk_06a_14</t>
  </si>
  <si>
    <t>&lt;font size='26' face='${fontName_FZYH_R}' color='#ffffff'&gt;啊——得救了！多亏你了啊，臭蛇！&lt;/font&gt;</t>
  </si>
  <si>
    <t>eventstory_dusk_06a_15</t>
  </si>
  <si>
    <t>&lt;font size='26' face='${fontName_FZYH_R}' color='#ffffff'&gt;真蠢呀！&lt;/font&gt;</t>
  </si>
  <si>
    <t>eventstory_dusk_06a_16</t>
  </si>
  <si>
    <t>&lt;font size='26' face='${fontName_FZYH_R}' color='#ffffff'&gt;你说什么？！&lt;/font&gt;</t>
  </si>
  <si>
    <t>eventstory_dusk_06a_17</t>
  </si>
  <si>
    <t>&lt;font size='26' face='${fontName_FZYH_R}' color='#ffffff'&gt;你的警惕心这么弱，真不知道作为暗刃你是怎么活到现在的~&lt;/font&gt;</t>
  </si>
  <si>
    <t>eventstory_dusk_06a_18</t>
  </si>
  <si>
    <t>&lt;font size='26' face='${fontName_FZYH_R}' color='#ffffff'&gt;啧。&lt;/font&gt;</t>
  </si>
  <si>
    <t>eventstory_dusk_06a_19</t>
  </si>
  <si>
    <t>&lt;font size='26' face='${fontName_FZYH_R}' color='#ffffff'&gt;你不耐烦什么，阿斯克？一个两个都这么心急。&lt;/font&gt;</t>
  </si>
  <si>
    <t>eventstory_dusk_06a_20</t>
  </si>
  <si>
    <t>&lt;font size='26' face='${fontName_FZYH_R}' color='#ffffff'&gt;按照一般英雄故事的流程，我就是最终反派！&lt;/font&gt;</t>
  </si>
  <si>
    <t>eventstory_dusk_06a_21</t>
  </si>
  <si>
    <t>&lt;font size='26' face='${fontName_FZYH_R}' color='#ffffff'&gt;——所以在最终决战前，是反派放狠话的时间！&lt;/font&gt;</t>
  </si>
  <si>
    <t>eventstory_dusk_06a_22</t>
  </si>
  <si>
    <t>eventstory_dusk_06a_23</t>
  </si>
  <si>
    <t>&lt;font size='26' face='${fontName_FZYH_R}' color='#ffffff'&gt;……啥？&lt;/font&gt;</t>
  </si>
  <si>
    <t>eventstory_dusk_06a_24</t>
  </si>
  <si>
    <t>&lt;font size='26' face='${fontName_FZYH_R}' color='#ffffff'&gt;既然你们两个敢挑战我，那就把命留下吧！&lt;/font&gt;</t>
  </si>
  <si>
    <t>eventstory_dusk_06a_25</t>
  </si>
  <si>
    <t>&lt;font size='26' face='${fontName_FZYH_R}' color='#ffffff'&gt;唔！&lt;/font&gt;</t>
  </si>
  <si>
    <t>eventstory_dusk_06a_26</t>
  </si>
  <si>
    <t>&lt;font size='26' face='${fontName_FZYH_R}' color='#ffffff'&gt;阿斯克——！！&lt;/font&gt;</t>
  </si>
  <si>
    <t>eventstory_dusk_06a_27</t>
  </si>
  <si>
    <t>eventstory_dusk_06a_28</t>
  </si>
  <si>
    <t>&lt;font size='26' face='${fontName_FZYH_R}' color='#ffffff'&gt;呃啊……！！&lt;/font&gt;</t>
  </si>
  <si>
    <t>eventstory_dusk_06a_29</t>
  </si>
  <si>
    <t>&lt;font size='26' face='${fontName_FZYH_R}' color='#ffffff'&gt;啧，镰刃偏了一些，真可惜~&lt;/font&gt;</t>
  </si>
  <si>
    <t>eventstory_dusk_06a_30</t>
  </si>
  <si>
    <t>&lt;font size='26' face='${fontName_FZYH_R}' color='#ffffff'&gt;可恶，我要杀了你！！&lt;/font&gt;</t>
  </si>
  <si>
    <t>eventstory_dusk_06a_31</t>
  </si>
  <si>
    <t>&lt;font size='26' face='${fontName_FZYH_R}' color='#ffffff'&gt;冷静！&lt;/font&gt;</t>
  </si>
  <si>
    <t>eventstory_dusk_06a_32</t>
  </si>
  <si>
    <t>eventstory_dusk_06a_33</t>
  </si>
  <si>
    <t>&lt;font size='26' face='${fontName_FZYH_R}' color='#ffffff'&gt;你是准备？！这样做我们就……&lt;/font&gt;</t>
  </si>
  <si>
    <t>eventstory_dusk_06a_34</t>
  </si>
  <si>
    <t>&lt;font size='26' face='${fontName_FZYH_R}' color='#ffffff'&gt;按计划！&lt;/font&gt;</t>
  </si>
  <si>
    <t>eventstory_dusk_06a_35</t>
  </si>
  <si>
    <t>&lt;font size='26' face='${fontName_FZYH_R}' color='#ffffff'&gt;……好吧，我知道了！&lt;/font&gt;</t>
  </si>
  <si>
    <t>eventstory_dusk_06a_36</t>
  </si>
  <si>
    <t>&lt;font size='26' face='${fontName_FZYH_R}' color='#ffffff'&gt;哑巴蛇，我们上！！！&lt;/font&gt;</t>
  </si>
  <si>
    <t>eventstory_dusk_06a_37</t>
  </si>
  <si>
    <t>&lt;font size='26' face='${fontName_FZYH_R}' color='#ffffff'&gt;（海蒂看着年轻暗刃直冲而来的身影——二人虽然狼狈，但眼神却不曾动摇。）&lt;/font&gt;</t>
  </si>
  <si>
    <t>eventstory_dusk_06a_38</t>
  </si>
  <si>
    <t>&lt;font size='26' face='${fontName_FZYH_R}' color='#ffffff'&gt;（这片雪原一直都是这样死寂的白色啊，看久了让人如此厌恶。）&lt;/font&gt;</t>
  </si>
  <si>
    <t>eventstory_dusk_06a_39</t>
  </si>
  <si>
    <t>&lt;font size='26' face='${fontName_FZYH_R}' color='#ffffff'&gt;关于您执意留下两位暗刃的决意，我已如实向“教会”表明。&lt;/font&gt;</t>
  </si>
  <si>
    <t>eventstory_dusk_06a_40</t>
  </si>
  <si>
    <t>&lt;font size='26' face='${fontName_FZYH_R}' color='#ffffff'&gt;是么？真是“辛苦”你了~&lt;/font&gt;</t>
  </si>
  <si>
    <t>eventstory_dusk_06a_41</t>
  </si>
  <si>
    <t>eventstory_dusk_06a_42</t>
  </si>
  <si>
    <t>&lt;font size='26' face='${fontName_FZYH_R}' color='#ffffff'&gt;怎么、你觉得我该表现出很惊慌么？&lt;/font&gt;</t>
  </si>
  <si>
    <t>eventstory_dusk_06a_43</t>
  </si>
  <si>
    <t>&lt;font size='26' face='${fontName_FZYH_R}' color='#ffffff'&gt;我并没有……&lt;/font&gt;</t>
  </si>
  <si>
    <t>eventstory_dusk_06a_44</t>
  </si>
  <si>
    <t>&lt;font size='26' face='${fontName_FZYH_R}' color='#ffffff'&gt;那就别费心试探我的想法！你是我的仆人，好好记住自己的身份。&lt;/font&gt;</t>
  </si>
  <si>
    <t>eventstory_dusk_06a_45</t>
  </si>
  <si>
    <t>&lt;font size='26' face='${fontName_FZYH_R}' color='#ffffff'&gt;否则，我会杀掉你的哦~&lt;/font&gt;</t>
  </si>
  <si>
    <t>eventstory_dusk_06a_46</t>
  </si>
  <si>
    <t>&lt;font size='26' face='${fontName_FZYH_R}' color='#ffffff'&gt;这一成不变的雪原，该有些变化了。&lt;/font&gt;</t>
  </si>
  <si>
    <t>eventstory_dusk_07a_1</t>
  </si>
  <si>
    <t>&lt;font size='26' face='${fontName_FZYH_R}' color='#ffffff'&gt;跟上我！&lt;/font&gt;</t>
  </si>
  <si>
    <t>eventstory_dusk_07a_2</t>
  </si>
  <si>
    <t>&lt;font size='26' face='${fontName_FZYH_R}' color='#ffffff'&gt;了解！&lt;/font&gt;</t>
  </si>
  <si>
    <t>eventstory_dusk_07a_3</t>
  </si>
  <si>
    <t>&lt;font size='26' face='${fontName_FZYH_R}' color='#ffffff'&gt;真是的，都说了这样没用……&lt;/font&gt;</t>
  </si>
  <si>
    <t>eventstory_dusk_07a_4</t>
  </si>
  <si>
    <t>&lt;font size='26' face='${fontName_FZYH_R}' color='#ffffff'&gt;（温热的血液粘在了海蒂的皮肤上，血珠滚落，发出滴答声。与血液接触的皮肤开始灼痛，这感觉急速占据了海蒂的大脑。）&lt;/font&gt;</t>
  </si>
  <si>
    <t>eventstory_dusk_07a_5</t>
  </si>
  <si>
    <t>&lt;font size='26' face='${fontName_FZYH_R}' color='#ffffff'&gt;（耳边格莱的声音变得模糊，但海蒂能清楚听到自己的心跳声——她体内被禁锢的力量在翻涌。）&lt;/font&gt;</t>
  </si>
  <si>
    <t>eventstory_dusk_07a_6</t>
  </si>
  <si>
    <t>&lt;font size='26' face='${fontName_FZYH_R}' color='#ffffff'&gt;上当了吧！骗你的，我只是诱饵！&lt;/font&gt;</t>
  </si>
  <si>
    <t>eventstory_dusk_07a_7</t>
  </si>
  <si>
    <t>&lt;font size='26' face='${fontName_FZYH_R}' color='#ffffff'&gt;哑巴蛇早就知道你的弱点了！你害怕接触他“特殊”的血液，因为会让你能力失控！&lt;/font&gt;</t>
  </si>
  <si>
    <t>eventstory_dusk_07a_8</t>
  </si>
  <si>
    <t>eventstory_dusk_07a_9</t>
  </si>
  <si>
    <t>&lt;font size='26' face='${fontName_FZYH_R}' color='#ffffff'&gt;你的、“特殊”的血……是这样么，阿斯克？！&lt;/font&gt;</t>
  </si>
  <si>
    <t>eventstory_dusk_07a_10</t>
  </si>
  <si>
    <t>eventstory_dusk_07a_11</t>
  </si>
  <si>
    <t>eventstory_dusk_07a_12</t>
  </si>
  <si>
    <t>&lt;font size='26' face='${fontName_FZYH_R}' color='#ffffff'&gt;哈哈哈哈哈哈！有趣、真有趣！&lt;/font&gt;</t>
  </si>
  <si>
    <t>eventstory_dusk_07a_13</t>
  </si>
  <si>
    <t>&lt;font size='26' face='${fontName_FZYH_R}' color='#ffffff'&gt;看来一成不变的雪原，终于有些变化了！！&lt;/font&gt;</t>
  </si>
  <si>
    <t>eventstory_dusk_07a_14</t>
  </si>
  <si>
    <t>&lt;font size='26' face='${fontName_FZYH_R}' color='#ffffff'&gt;呃……如果，还有命……想想……该怎么向格莱解释吧……&lt;/font&gt;</t>
  </si>
  <si>
    <t>eventstory_dusk_07a_15</t>
  </si>
  <si>
    <t>&lt;font size='26' face='${fontName_FZYH_R}' color='#e7e6e6'&gt;呃啊啊啊啊啊啊啊啊啊——&lt;/font&gt;</t>
  </si>
  <si>
    <t>eventstory_dusk_07a_16</t>
  </si>
  <si>
    <t>&lt;font size='26' face='${fontName_FZYH_R}' color='#e7e6e6'&gt;退后！&lt;/font&gt;</t>
  </si>
  <si>
    <t>eventstory_dusk_07a_17</t>
  </si>
  <si>
    <t>&lt;font size='26' face='${fontName_FZYH_R}' color='#e7e6e6'&gt;我没事……这是，成功了？&lt;/font&gt;</t>
  </si>
  <si>
    <t>eventstory_dusk_07a_18</t>
  </si>
  <si>
    <t>&lt;font size='26' face='${fontName_FZYH_R}' color='#e7e6e6'&gt;只是开始！&lt;/font&gt;</t>
  </si>
  <si>
    <t>eventstory_dusk_07a_19</t>
  </si>
  <si>
    <t>&lt;font size='26' face='${fontName_FZYH_R}' color='#e7e6e6'&gt;海蒂失控，被她拘役的灵魂——&lt;/font&gt;</t>
  </si>
  <si>
    <t>eventstory_dusk_07a_20</t>
  </si>
  <si>
    <t>&lt;font size='26' face='${fontName_FZYH_R}' color='#e7e6e6'&gt;……都会被释放出来。&lt;/font&gt;</t>
  </si>
  <si>
    <t>eventstory_dusk_07a_21</t>
  </si>
  <si>
    <t>&lt;font size='26' face='${fontName_FZYH_R}' color='#e7e6e6'&gt;轰隆——轰隆——&lt;/font&gt;</t>
  </si>
  <si>
    <t>eventstory_dusk_07a_22</t>
  </si>
  <si>
    <t>&lt;font size='26' face='${fontName_FZYH_R}' color='#e7e6e6'&gt;地一直在抖动……说实话我有种不妙的预感。&lt;/font&gt;</t>
  </si>
  <si>
    <t>eventstory_dusk_07a_23</t>
  </si>
  <si>
    <t>&lt;font size='26' face='${fontName_FZYH_R}' color='#e7e6e6'&gt;我的天……&lt;/font&gt;</t>
  </si>
  <si>
    <t>eventstory_dusk_07a_24</t>
  </si>
  <si>
    <t>&lt;font size='26' face='${fontName_FZYH_R}' color='#e7e6e6'&gt;之前的，暗刃们。&lt;/font&gt;</t>
  </si>
  <si>
    <t>eventstory_dusk_07a_25</t>
  </si>
  <si>
    <t>&lt;font size='26' face='${fontName_FZYH_R}' color='#e7e6e6'&gt;不是……海蒂这女人是不是脑子有问题啊？！&lt;/font&gt;</t>
  </si>
  <si>
    <t>eventstory_dusk_07a_26</t>
  </si>
  <si>
    <t>&lt;font size='26' face='${fontName_FZYH_R}' color='#e7e6e6'&gt;把这些死去的暗刃就埋在这个宫殿地下！这算什么啊！&lt;/font&gt;</t>
  </si>
  <si>
    <t>eventstory_dusk_07a_27</t>
  </si>
  <si>
    <t>&lt;font size='26' face='${fontName_FZYH_R}' color='#e7e6e6'&gt;……&lt;/font&gt;</t>
  </si>
  <si>
    <t>eventstory_dusk_07a_28</t>
  </si>
  <si>
    <t>&lt;font size='26' face='${fontName_FZYH_R}' color='#e7e6e6'&gt;轰隆隆——轰隆隆——&lt;/font&gt;</t>
  </si>
  <si>
    <t>eventstory_dusk_07a_29</t>
  </si>
  <si>
    <t>&lt;font size='26' face='${fontName_FZYH_R}' color='#e7e6e6'&gt;杀————&lt;/font&gt;</t>
  </si>
  <si>
    <t>eventstory_dusk_07a_30</t>
  </si>
  <si>
    <t>&lt;font size='26' face='${fontName_FZYH_R}' color='#ffffff'&gt;这会是一场硬仗，你的手没问题吧？我先帮你包扎伤口！&lt;/font&gt;</t>
  </si>
  <si>
    <t>eventstory_dusk_07a_31</t>
  </si>
  <si>
    <t>&lt;font size='26' face='${fontName_FZYH_R}' color='#ffffff'&gt;……没问题。&lt;/font&gt;</t>
  </si>
  <si>
    <t>eventstory_dusk_07a_32</t>
  </si>
  <si>
    <t>&lt;font size='26' face='${fontName_FZYH_R}' color='#ffffff'&gt;来了！&lt;/font&gt;</t>
  </si>
  <si>
    <t>eventstory_dusk_07a_33</t>
  </si>
  <si>
    <t>&lt;font size='26' face='${fontName_FZYH_R}' color='#e7e6e6'&gt;呃啊——！&lt;/font&gt;</t>
  </si>
  <si>
    <t>eventstory_dusk_07a_34</t>
  </si>
  <si>
    <t>&lt;font size='26' face='${fontName_FZYH_R}' color='#ffffff'&gt;呼……这群不怕疼的“僵尸”可不好对付。&lt;/font&gt;</t>
  </si>
  <si>
    <t>eventstory_dusk_07a_35</t>
  </si>
  <si>
    <t>&lt;font size='26' face='${fontName_FZYH_R}' color='#ffffff'&gt;但你发现没有，哑巴蛇？他们和仆人迟缓一样，被砍倒后尸骸便消失了！&lt;/font&gt;</t>
  </si>
  <si>
    <t>eventstory_dusk_07a_36</t>
  </si>
  <si>
    <t>&lt;font size='26' face='${fontName_FZYH_R}' color='#ffffff'&gt;杀……了……你……&lt;/font&gt;</t>
  </si>
  <si>
    <t>eventstory_dusk_07a_37</t>
  </si>
  <si>
    <t>&lt;font size='26' face='${fontName_FZYH_R}' color='#ffffff'&gt;呃！&lt;/font&gt;</t>
  </si>
  <si>
    <t>eventstory_dusk_07a_38</t>
  </si>
  <si>
    <t>&lt;font size='26' face='${fontName_FZYH_R}' color='#ffffff'&gt;哑巴蛇！！！&lt;/font&gt;</t>
  </si>
  <si>
    <t>eventstory_dusk_07a_39</t>
  </si>
  <si>
    <t>&lt;font size='26' face='${fontName_FZYH_R}' color='#ffffff'&gt;可恶，这样一直被消耗不是办法！&lt;/font&gt;</t>
  </si>
  <si>
    <t>eventstory_dusk_07a_40</t>
  </si>
  <si>
    <t>&lt;font size='26' face='${fontName_FZYH_R}' color='#ffffff'&gt;我们得冲出去！！&lt;/font&gt;</t>
  </si>
  <si>
    <t>eventstory_dusk_07a_41</t>
  </si>
  <si>
    <t>&lt;font size='26' face='${fontName_FZYH_R}' color='#ffffff'&gt;呼……呼……&lt;/font&gt;</t>
  </si>
  <si>
    <t>eventstory_dusk_07a_42</t>
  </si>
  <si>
    <t>&lt;font size='26' face='${fontName_FZYH_R}' color='#e7e6e6'&gt;杀……啊啊啊啊啊！&lt;/font&gt;</t>
  </si>
  <si>
    <t>eventstory_dusk_07a_43</t>
  </si>
  <si>
    <t>&lt;font size='26' face='${fontName_FZYH_R}' color='#e7e6e6'&gt;那边——走！！！&lt;/font&gt;</t>
  </si>
  <si>
    <t>eventstory_dusk_07a_44</t>
  </si>
  <si>
    <t>eventstory_dusk_07a_45</t>
  </si>
  <si>
    <t>&lt;font size='26' face='${fontName_FZYH_R}' color='#ffffff'&gt;你先走！&lt;/font&gt;</t>
  </si>
  <si>
    <t>eventstory_dusk_07a_46</t>
  </si>
  <si>
    <t>&lt;font size='26' face='${fontName_FZYH_R}' color='#ffffff'&gt;我现在懒得和你斗嘴，抓着我！！！&lt;/font&gt;</t>
  </si>
  <si>
    <t>eventstory_dusk_07a_47</t>
  </si>
  <si>
    <t>&lt;font size='26' face='${fontName_FZYH_R}' color='#ffffff'&gt;我……&lt;/font&gt;</t>
  </si>
  <si>
    <t>eventstory_dusk_07a_48</t>
  </si>
  <si>
    <t>&lt;font size='26' face='${fontName_FZYH_R}' color='#ffffff'&gt;闭嘴！我也快没有力气了！&lt;/font&gt;</t>
  </si>
  <si>
    <t>eventstory_dusk_07a_49</t>
  </si>
  <si>
    <t>&lt;font size='26' face='${fontName_FZYH_R}' color='#e7e6e6'&gt;嘶……杀了……&lt;/font&gt;</t>
  </si>
  <si>
    <t>eventstory_dusk_07a_50</t>
  </si>
  <si>
    <t>&lt;font size='26' face='${fontName_FZYH_R}' color='#ffffff'&gt;最后一个！你也乖乖闭嘴躺回地下吧！“前辈”！&lt;/font&gt;</t>
  </si>
  <si>
    <t>eventstory_dusk_07a_51</t>
  </si>
  <si>
    <t>&lt;font size='26' face='${fontName_FZYH_R}' color='#ffffff'&gt;海蒂……&lt;/font&gt;</t>
  </si>
  <si>
    <t>eventstory_dusk_07a_52</t>
  </si>
  <si>
    <t>&lt;font size='26' face='${fontName_FZYH_R}' color='#ffffff'&gt;管她死活！有这力气说话，不如撑住跑出去——&lt;/font&gt;</t>
  </si>
  <si>
    <t>eventstory_dusk_08a_1</t>
  </si>
  <si>
    <t>&lt;font size='26' face='${fontName_FZYH_R}' color='#ffffff'&gt;常年被大雪覆盖的冰原，也能开出属于春天的花么？&lt;/font&gt;</t>
  </si>
  <si>
    <t>eventstory_dusk_08a_2</t>
  </si>
  <si>
    <t>&lt;font size='26' face='${fontName_FZYH_R}' color='#ffffff'&gt;终年纯白的世界，也会有不同的颜色么？&lt;/font&gt;</t>
  </si>
  <si>
    <t>eventstory_dusk_08a_3</t>
  </si>
  <si>
    <t>&lt;font size='26' face='${fontName_FZYH_R}' color='#ffffff'&gt;就快到了……呼……呼……&lt;/font&gt;</t>
  </si>
  <si>
    <t>eventstory_dusk_08a_4</t>
  </si>
  <si>
    <t>&lt;font size='26' face='${fontName_FZYH_R}' color='#ffffff'&gt;你还挺沉的，我都快背不动你了！&lt;/font&gt;</t>
  </si>
  <si>
    <t>eventstory_dusk_08a_5</t>
  </si>
  <si>
    <t>&lt;font size='26' face='${fontName_FZYH_R}' color='#ffffff'&gt;不过你变弱了，哑巴蛇！&lt;/font&gt;</t>
  </si>
  <si>
    <t>eventstory_dusk_08a_6</t>
  </si>
  <si>
    <t>&lt;font size='26' face='${fontName_FZYH_R}' color='#ffffff'&gt;一场战斗而已，就让你变得这么狼狈……&lt;/font&gt;</t>
  </si>
  <si>
    <t>eventstory_dusk_08a_7</t>
  </si>
  <si>
    <t>&lt;font size='26' face='${fontName_FZYH_R}' color='#ffffff'&gt;极……光……&lt;/font&gt;</t>
  </si>
  <si>
    <t>eventstory_dusk_08a_8</t>
  </si>
  <si>
    <t>&lt;font size='26' face='${fontName_FZYH_R}' color='#ffffff'&gt;啊、极光竟然已经出现了！我没骗你吧~不过这儿可看不到月亮！&lt;/font&gt;</t>
  </si>
  <si>
    <t>eventstory_dusk_08a_9</t>
  </si>
  <si>
    <t>&lt;font size='26' face='${fontName_FZYH_R}' color='#ffffff'&gt;等到了我的秘密基地，你就能看到极光和月亮交相辉映的奇景了！&lt;/font&gt;</t>
  </si>
  <si>
    <t>eventstory_dusk_08a_10</t>
  </si>
  <si>
    <t>&lt;font size='26' face='${fontName_FZYH_R}' color='#ffffff'&gt;就是这里了！阿斯克你……&lt;/font&gt;</t>
  </si>
  <si>
    <t>eventstory_dusk_08a_11</t>
  </si>
  <si>
    <t>eventstory_dusk_08a_12</t>
  </si>
  <si>
    <t>&lt;font size='26' face='${fontName_FZYH_R}' color='#ffffff'&gt;你……你怎么……你手上的伤口为什么还没止住血？！我先帮你止血！&lt;/font&gt;</t>
  </si>
  <si>
    <t>eventstory_dusk_08a_13</t>
  </si>
  <si>
    <t>&lt;font size='26' face='${fontName_FZYH_R}' color='#ffffff'&gt;没用的。&lt;/font&gt;</t>
  </si>
  <si>
    <t>eventstory_dusk_08a_14</t>
  </si>
  <si>
    <t>&lt;font size='26' face='${fontName_FZYH_R}' color='#ffffff'&gt;……你果然隐瞒了我什么！！！海蒂的能力和弱点究竟是怎么回事？！&lt;/font&gt;</t>
  </si>
  <si>
    <t>eventstory_dusk_08a_15</t>
  </si>
  <si>
    <t>&lt;font size='26' face='${fontName_FZYH_R}' color='#ffffff'&gt;难道、难道让海蒂能力失控的，不是“你的”血，而是……？&lt;/font&gt;</t>
  </si>
  <si>
    <t>eventstory_dusk_08a_16</t>
  </si>
  <si>
    <t>eventstory_dusk_08a_17</t>
  </si>
  <si>
    <t>eventstory_dusk_08a_18</t>
  </si>
  <si>
    <t>&lt;font size='26' face='${fontName_FZYH_R}' color='#ffffff'&gt;你是不是觉得我真不敢揍你？！究竟是怎么回事？&lt;/font&gt;</t>
  </si>
  <si>
    <t>eventstory_dusk_08a_19</t>
  </si>
  <si>
    <t>&lt;font size='26' face='${fontName_FZYH_R}' color='#ffffff'&gt;噗、哈哈哈……&lt;/font&gt;</t>
  </si>
  <si>
    <t>eventstory_dusk_08a_20</t>
  </si>
  <si>
    <t>&lt;font size='26' face='${fontName_FZYH_R}' color='#ffffff'&gt;阿……阿斯克？&lt;/font&gt;</t>
  </si>
  <si>
    <t>eventstory_dusk_08a_21</t>
  </si>
  <si>
    <t>&lt;font size='26' face='${fontName_FZYH_R}' color='#ffffff'&gt;吵死了。&lt;/font&gt;</t>
  </si>
  <si>
    <t>eventstory_dusk_08a_22</t>
  </si>
  <si>
    <t>&lt;font size='26' face='${fontName_FZYH_R}' color='#ffffff'&gt;一点，都没变……&lt;/font&gt;</t>
  </si>
  <si>
    <t>eventstory_dusk_08a_23</t>
  </si>
  <si>
    <t>&lt;font size='26' face='${fontName_FZYH_R}' color='#ffffff'&gt;莫名其妙的贝壳，各种礼物……&lt;/font&gt;</t>
  </si>
  <si>
    <t>eventstory_dusk_08a_24</t>
  </si>
  <si>
    <t>&lt;font size='26' face='${fontName_FZYH_R}' color='#ffffff'&gt;咳咳……真不知道，你都在想什么……&lt;/font&gt;</t>
  </si>
  <si>
    <t>eventstory_dusk_08a_25</t>
  </si>
  <si>
    <t>eventstory_dusk_08a_26</t>
  </si>
  <si>
    <t>&lt;font size='26' face='${fontName_FZYH_R}' color='#ffffff'&gt;海蒂也好，我……也好……或许都……厌恶现状……&lt;/font&gt;</t>
  </si>
  <si>
    <t>eventstory_dusk_08a_27</t>
  </si>
  <si>
    <t>&lt;font size='26' face='${fontName_FZYH_R}' color='#ffffff'&gt;只有你，真正向前走了一步……&lt;/font&gt;</t>
  </si>
  <si>
    <t>eventstory_dusk_08a_28</t>
  </si>
  <si>
    <t>&lt;font size='26' face='${fontName_FZYH_R}' color='#ffffff'&gt;你，你别说了！我先帮你包扎！&lt;/font&gt;</t>
  </si>
  <si>
    <t>eventstory_dusk_08a_29</t>
  </si>
  <si>
    <t>&lt;font size='26' face='${fontName_FZYH_R}' color='#ffffff'&gt;这个给你……&lt;/font&gt;</t>
  </si>
  <si>
    <t>eventstory_dusk_08a_30</t>
  </si>
  <si>
    <t>&lt;font size='26' face='${fontName_FZYH_R}' color='#ffffff'&gt;这、这是我送你的玻璃珠！我还以为你已经扔了！&lt;/font&gt;</t>
  </si>
  <si>
    <t>eventstory_dusk_08a_31</t>
  </si>
  <si>
    <t>&lt;font size='26' face='${fontName_FZYH_R}' color='#ffffff'&gt;你把它嵌在蛇项链上了？！&lt;/font&gt;</t>
  </si>
  <si>
    <t>eventstory_dusk_08a_32</t>
  </si>
  <si>
    <t>&lt;font size='26' face='${fontName_FZYH_R}' color='#ffffff'&gt;抱歉……骗了你……我的灵魂……也归海蒂了……&lt;/font&gt;</t>
  </si>
  <si>
    <t>eventstory_dusk_08a_33</t>
  </si>
  <si>
    <t>&lt;font size='26' face='${fontName_FZYH_R}' color='#ffffff'&gt;都说了闭嘴！！你还是这样不听别人说话——我一定会想办法给你止血！&lt;/font&gt;</t>
  </si>
  <si>
    <t>eventstory_dusk_08a_34</t>
  </si>
  <si>
    <t>&lt;font size='26' face='${fontName_FZYH_R}' color='#ffffff'&gt;但幸好……玻璃珠……&lt;/font&gt;</t>
  </si>
  <si>
    <t>eventstory_dusk_08a_35</t>
  </si>
  <si>
    <t>&lt;font size='26' face='${fontName_FZYH_R}' color='#ffffff'&gt;“蛇”的眼睛……属于我了……&lt;/font&gt;</t>
  </si>
  <si>
    <t>eventstory_dusk_08a_36</t>
  </si>
  <si>
    <t>&lt;font size='26' face='${fontName_FZYH_R}' color='#ffffff'&gt;阿斯克……！你再坚持一下！！别睡，你骗了我还没道歉！！&lt;/font&gt;</t>
  </si>
  <si>
    <t>eventstory_dusk_08a_37</t>
  </si>
  <si>
    <t>&lt;font size='26' face='${fontName_FZYH_R}' color='#ffffff'&gt;还有，还有这里的极光和月亮的奇景！！这里的极光还没……&lt;/font&gt;</t>
  </si>
  <si>
    <t>eventstory_dusk_08a_38</t>
  </si>
  <si>
    <t>&lt;font size='26' face='${fontName_FZYH_R}' color='#ffffff'&gt;没关系……&lt;/font&gt;</t>
  </si>
  <si>
    <t>eventstory_dusk_08a_39</t>
  </si>
  <si>
    <t>&lt;font size='26' face='${fontName_FZYH_R}' color='#ffffff'&gt;我已经……见到了……&lt;/font&gt;</t>
  </si>
  <si>
    <t>eventstory_dusk_08a_40</t>
  </si>
  <si>
    <t>&lt;font size='26' face='${fontName_FZYH_R}' color='#ffffff'&gt;哑巴蛇……&lt;/font&gt;</t>
  </si>
  <si>
    <t>eventstory_dusk_08a_41</t>
  </si>
  <si>
    <t>&lt;font size='26' face='${fontName_FZYH_R}' color='#ffffff'&gt;阿斯克……！！！&lt;/font&gt;</t>
  </si>
  <si>
    <t>eventstory_dusk_08a_42</t>
  </si>
  <si>
    <t>&lt;font size='26' face='${fontName_FZYH_R}' color='#ffffff'&gt;你这个骗子！骗子！你把眼睛睁开……！！&lt;/font&gt;</t>
  </si>
  <si>
    <t>eventstory_dusk_08a_43</t>
  </si>
  <si>
    <t>&lt;font size='26' face='${fontName_FZYH_R}' color='#ffffff'&gt;骗————子————！&lt;/font&gt;</t>
  </si>
  <si>
    <t>eventstory_dusk_08a_44</t>
  </si>
  <si>
    <t>&lt;font size='26' face='${fontName_FZYH_R}' color='#ffffff'&gt;（两个月后——）&lt;/font&gt;</t>
  </si>
  <si>
    <t>eventstory_dusk_08a_45</t>
  </si>
  <si>
    <t>&lt;font size='26' face='${fontName_FZYH_R}' color='#ffffff'&gt;他们两个，应该已经顺利见上面了吧！我的约翰~&lt;/font&gt;</t>
  </si>
  <si>
    <t>eventstory_dusk_08a_46</t>
  </si>
  <si>
    <t>eventstory_dusk_08a_47</t>
  </si>
  <si>
    <t>&lt;font size='26' face='${fontName_FZYH_R}' color='#ffffff'&gt;那个算计了我的臭小子，别以为真的得到自由了！对不对，我的约翰？&lt;/font&gt;</t>
  </si>
  <si>
    <t>eventstory_dusk_08a_48</t>
  </si>
  <si>
    <t>eventstory_dusk_08a_49</t>
  </si>
  <si>
    <t>&lt;font size='26' face='${fontName_FZYH_R}' color='#ffffff'&gt;好好享受“惊喜”的重逢吧！&lt;/font&gt;</t>
  </si>
  <si>
    <t>eventstory_dusk_08a_50</t>
  </si>
  <si>
    <t>&lt;font size='26' face='${fontName_FZYH_R}' color='#ffffff'&gt;啊啊~这里的冬天，也要过去了。&lt;/font&gt;</t>
  </si>
  <si>
    <t>eventstory_dusk_08a_51</t>
  </si>
  <si>
    <t>eventstory_dusk_08a_52</t>
  </si>
  <si>
    <t>eventstory_dusk_08a_53</t>
  </si>
  <si>
    <t>eventstory_dusk_08a_54</t>
  </si>
  <si>
    <t>Memory_Act_Dusk_1</t>
    <phoneticPr fontId="11" type="noConversion"/>
  </si>
  <si>
    <t>Memory_Act_Dusk_9</t>
    <phoneticPr fontId="11" type="noConversion"/>
  </si>
  <si>
    <t>[{"conditionType":"Condi_Activity_Story_Block","factor1":[1],"params":["ActivityBlock_Dusk_Map","DuskS01S05"]}]</t>
    <phoneticPr fontId="11" type="noConversion"/>
  </si>
  <si>
    <t>[{"conditionType":"Condi_Activity_Story_Block","factor1":[1],"params":["ActivityBlock_Dusk_Map","DuskS02S01"]}]</t>
    <phoneticPr fontId="11" type="noConversion"/>
  </si>
  <si>
    <t>[{"conditionType":"Condi_Activity_Story_Block","factor1":[1],"params":["ActivityBlock_Dusk_Map","DuskS02S02"]}]</t>
    <phoneticPr fontId="11" type="noConversion"/>
  </si>
  <si>
    <t>[{"conditionType":"Condi_Activity_Story_Block","factor1":[1],"params":["ActivityBlock_Dusk_Map","DuskS02S03"]}]</t>
    <phoneticPr fontId="11" type="noConversion"/>
  </si>
  <si>
    <t>[{"type":"NORMAL","id":["Memory_Act_Dusk_1","Memory_Act_Dusk_2","Memory_Act_Dusk_3","Memory_Act_Dusk_4","Memory_Act_Dusk_5"]},{"type":"ELITE","id":["Memory_Act_Dusk_6","Memory_Act_Dusk_7","Memory_Act_Dusk_8","Memory_Act_Dusk_9"]}]</t>
    <phoneticPr fontId="11" type="noConversion"/>
  </si>
  <si>
    <t>[DuskS01S01,DuskS01S02,DuskS01S03,DuskS01S04,DuskS01S05]</t>
    <phoneticPr fontId="11" type="noConversion"/>
  </si>
  <si>
    <t>DuskS01S05_Name</t>
    <phoneticPr fontId="11" type="noConversion"/>
  </si>
  <si>
    <t>1.0故人新友</t>
    <phoneticPr fontId="11" type="noConversion"/>
  </si>
  <si>
    <t>DuskS01S02_Name</t>
    <phoneticPr fontId="11" type="noConversion"/>
  </si>
  <si>
    <t>DuskS01S03_Name</t>
    <phoneticPr fontId="11" type="noConversion"/>
  </si>
  <si>
    <t>DuskS01S04_Name</t>
    <phoneticPr fontId="11" type="noConversion"/>
  </si>
  <si>
    <t>1.0序章</t>
    <phoneticPr fontId="11" type="noConversion"/>
  </si>
  <si>
    <t>portrait_hdi_stand</t>
    <phoneticPr fontId="11" type="noConversion"/>
  </si>
  <si>
    <t>2.在活动副本中上阵格莱会提高全体友方角色伤害率和免伤率，格莱的星级越高，伤害率和免伤率增加的越多：3、4、5星分别加5%、10%、15%的伤害率和免伤率。</t>
    <phoneticPr fontId="11" type="noConversion"/>
  </si>
  <si>
    <t>E:\SVN\design\数据表\TestBlockDetail</t>
    <phoneticPr fontId="11" type="noConversion"/>
  </si>
  <si>
    <t>{"start":["2021-11-01 05:00:00","2022-11-13 05:00:00"],"end":"2022-11-13 05:00:00"}</t>
    <phoneticPr fontId="11" type="noConversion"/>
  </si>
  <si>
    <t>{"start":["2021-11-01 05:00:00","2022-11-16 05:00:00"],"end":"2022-11-16 05:00:00"}</t>
    <phoneticPr fontId="1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</si>
</sst>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8" x14ac:knownFonts="1">
    <font>
      <sz val="11"/>
      <color theme="1"/>
      <name val="宋体"/>
      <family val="2"/>
      <charset val="134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charset val="134"/>
      <scheme val="minor"/>
    </font>
    <font>
      <sz val="9"/>
      <name val="宋体"/>
      <family val="2"/>
      <charset val="134"/>
    </font>
    <font>
      <b/>
      <sz val="11"/>
      <color theme="1"/>
      <name val="宋体"/>
      <family val="3"/>
      <charset val="134"/>
    </font>
    <font>
      <sz val="11"/>
      <color rgb="FF000000"/>
      <name val="宋体"/>
      <family val="3"/>
      <charset val="134"/>
    </font>
    <font>
      <sz val="11"/>
      <color theme="1"/>
      <name val="宋体"/>
      <family val="2"/>
      <charset val="134"/>
    </font>
    <font>
      <sz val="11"/>
      <color theme="1"/>
      <name val="等线"/>
      <family val="2"/>
      <scheme val="minor"/>
    </font>
    <font>
      <sz val="11"/>
      <color theme="1"/>
      <name val="等线"/>
      <family val="2"/>
      <charset val="134"/>
      <scheme val="minor"/>
    </font>
    <font>
      <sz val="11"/>
      <color indexed="8"/>
      <name val="宋体"/>
      <family val="3"/>
      <charset val="134"/>
    </font>
    <font>
      <sz val="11"/>
      <color rgb="FF3F3F76"/>
      <name val="宋体"/>
      <family val="3"/>
      <charset val="134"/>
    </font>
    <font>
      <sz val="11"/>
      <color theme="1"/>
      <name val="宋体"/>
      <family val="3"/>
      <charset val="134"/>
    </font>
    <font>
      <sz val="11"/>
      <color theme="1"/>
      <name val="等线"/>
      <family val="3"/>
      <charset val="134"/>
      <scheme val="minor"/>
    </font>
    <font>
      <sz val="11"/>
      <color rgb="FF006100"/>
      <name val="宋体"/>
      <family val="3"/>
      <charset val="134"/>
    </font>
    <font>
      <sz val="11"/>
      <color rgb="FF000000"/>
      <name val="Calibri"/>
      <family val="2"/>
    </font>
    <font>
      <sz val="11"/>
      <name val="宋体"/>
      <family val="3"/>
      <charset val="134"/>
    </font>
    <font>
      <sz val="11"/>
      <color indexed="9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9"/>
      <name val="等线"/>
      <family val="3"/>
      <charset val="134"/>
      <scheme val="minor"/>
    </font>
    <font>
      <sz val="11"/>
      <color rgb="FFFF0000"/>
      <name val="宋体"/>
      <family val="3"/>
      <charset val="134"/>
    </font>
    <font>
      <sz val="9"/>
      <name val="宋体"/>
      <family val="3"/>
      <charset val="134"/>
    </font>
    <font>
      <sz val="11"/>
      <color rgb="FF000000"/>
      <name val="宋体"/>
      <family val="2"/>
      <charset val="134"/>
    </font>
    <font>
      <sz val="9"/>
      <name val="等线"/>
      <family val="3"/>
      <charset val="134"/>
    </font>
    <font>
      <sz val="11"/>
      <color rgb="FF9C5700"/>
      <name val="宋体"/>
      <family val="2"/>
      <charset val="134"/>
    </font>
    <font>
      <b/>
      <sz val="9"/>
      <name val="宋体"/>
      <family val="3"/>
      <charset val="134"/>
    </font>
    <font>
      <sz val="11"/>
      <color indexed="9"/>
      <name val="微软雅黑"/>
      <family val="2"/>
      <charset val="134"/>
    </font>
    <font>
      <b/>
      <sz val="9"/>
      <color rgb="FF000000"/>
      <name val="宋体"/>
      <family val="3"/>
      <charset val="134"/>
    </font>
    <font>
      <sz val="9"/>
      <color rgb="FF000000"/>
      <name val="宋体"/>
      <family val="3"/>
      <charset val="134"/>
    </font>
    <font>
      <sz val="9"/>
      <color rgb="FF000000"/>
      <name val="Tahoma"/>
      <family val="2"/>
    </font>
    <font>
      <sz val="11"/>
      <color theme="0"/>
      <name val="宋体"/>
      <family val="3"/>
      <charset val="134"/>
    </font>
    <font>
      <sz val="12"/>
      <color rgb="FF333333"/>
      <name val="宋体"/>
      <family val="3"/>
      <charset val="134"/>
    </font>
    <font>
      <sz val="12"/>
      <color rgb="FF333333"/>
      <name val="Segoe UI"/>
      <family val="2"/>
    </font>
    <font>
      <sz val="9"/>
      <name val="等线"/>
      <family val="2"/>
      <charset val="134"/>
      <scheme val="minor"/>
    </font>
    <font>
      <sz val="11"/>
      <color rgb="FF9C5700"/>
      <name val="宋体"/>
      <family val="3"/>
      <charset val="134"/>
    </font>
    <font>
      <sz val="11"/>
      <color theme="1"/>
      <name val="微软雅黑"/>
      <family val="2"/>
      <charset val="134"/>
    </font>
    <font>
      <b/>
      <sz val="9"/>
      <color rgb="FF000000"/>
      <name val="Tahoma"/>
      <family val="2"/>
    </font>
    <font>
      <sz val="11"/>
      <color theme="0"/>
      <name val="微软雅黑"/>
      <family val="2"/>
      <charset val="134"/>
    </font>
    <font>
      <sz val="11"/>
      <name val="宋体"/>
      <family val="2"/>
      <charset val="134"/>
    </font>
    <font>
      <sz val="11"/>
      <color rgb="FFFFFFFF"/>
      <name val="宋体"/>
      <family val="3"/>
      <charset val="134"/>
    </font>
  </fonts>
  <fills count="17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8"/>
        <bgColor indexed="8"/>
      </patternFill>
    </fill>
    <fill>
      <patternFill patternType="solid">
        <fgColor indexed="63"/>
        <bgColor indexed="64"/>
      </patternFill>
    </fill>
    <fill>
      <patternFill patternType="solid">
        <fgColor indexed="63"/>
        <bgColor indexed="8"/>
      </patternFill>
    </fill>
    <fill>
      <patternFill patternType="solid">
        <fgColor rgb="FFFFEB9C"/>
      </patternFill>
    </fill>
    <fill>
      <patternFill patternType="solid">
        <fgColor rgb="FFFFCCFF"/>
        <bgColor indexed="64"/>
      </patternFill>
    </fill>
    <fill>
      <patternFill patternType="solid">
        <fgColor rgb="FF333333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0000"/>
        <bgColor rgb="FF000000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n">
        <color indexed="22"/>
      </bottom>
      <diagonal/>
    </border>
    <border>
      <left/>
      <right/>
      <top/>
      <bottom style="thin">
        <color rgb="FFC0C0C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5">
    <xf numFmtId="0" fontId="0" fillId="0" borderId="0">
      <alignment vertical="center"/>
    </xf>
    <xf numFmtId="0" fontId="14" fillId="0" borderId="0">
      <alignment vertical="center"/>
    </xf>
    <xf numFmtId="0" fontId="15" fillId="0" borderId="0"/>
    <xf numFmtId="0" fontId="16" fillId="0" borderId="0">
      <alignment vertical="center"/>
    </xf>
    <xf numFmtId="0" fontId="16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0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8" fillId="4" borderId="2" applyNumberFormat="0" applyAlignment="0" applyProtection="0">
      <alignment vertical="center"/>
    </xf>
    <xf numFmtId="0" fontId="19" fillId="0" borderId="0">
      <alignment vertical="center"/>
    </xf>
    <xf numFmtId="0" fontId="20" fillId="0" borderId="0"/>
    <xf numFmtId="0" fontId="21" fillId="5" borderId="0">
      <alignment vertical="center"/>
    </xf>
    <xf numFmtId="0" fontId="9" fillId="0" borderId="0"/>
    <xf numFmtId="0" fontId="8" fillId="0" borderId="0"/>
    <xf numFmtId="0" fontId="22" fillId="0" borderId="0"/>
    <xf numFmtId="0" fontId="7" fillId="0" borderId="0"/>
    <xf numFmtId="0" fontId="6" fillId="0" borderId="0"/>
    <xf numFmtId="0" fontId="6" fillId="0" borderId="0"/>
    <xf numFmtId="0" fontId="32" fillId="10" borderId="0" applyNumberFormat="0" applyBorder="0" applyAlignment="0" applyProtection="0">
      <alignment vertical="center"/>
    </xf>
    <xf numFmtId="0" fontId="5" fillId="0" borderId="0"/>
    <xf numFmtId="0" fontId="5" fillId="0" borderId="0"/>
    <xf numFmtId="0" fontId="4" fillId="0" borderId="0"/>
    <xf numFmtId="0" fontId="4" fillId="0" borderId="0"/>
    <xf numFmtId="0" fontId="4" fillId="0" borderId="0"/>
    <xf numFmtId="0" fontId="19" fillId="0" borderId="0">
      <alignment vertical="center"/>
    </xf>
    <xf numFmtId="0" fontId="14" fillId="0" borderId="0">
      <alignment vertical="center"/>
    </xf>
    <xf numFmtId="0" fontId="3" fillId="0" borderId="0"/>
    <xf numFmtId="0" fontId="14" fillId="0" borderId="0">
      <alignment vertical="center"/>
    </xf>
    <xf numFmtId="0" fontId="10" fillId="0" borderId="0">
      <alignment vertical="center"/>
    </xf>
    <xf numFmtId="0" fontId="17" fillId="0" borderId="0">
      <alignment vertical="center"/>
    </xf>
    <xf numFmtId="0" fontId="2" fillId="0" borderId="0"/>
    <xf numFmtId="0" fontId="2" fillId="0" borderId="0"/>
    <xf numFmtId="0" fontId="2" fillId="0" borderId="0"/>
  </cellStyleXfs>
  <cellXfs count="169">
    <xf numFmtId="0" fontId="0" fillId="0" borderId="0" xfId="0">
      <alignment vertical="center"/>
    </xf>
    <xf numFmtId="0" fontId="12" fillId="0" borderId="1" xfId="0" applyFont="1" applyBorder="1" applyAlignment="1">
      <alignment horizontal="center" vertical="center"/>
    </xf>
    <xf numFmtId="0" fontId="12" fillId="0" borderId="0" xfId="0" applyFont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19" fillId="0" borderId="0" xfId="1" applyFont="1" applyAlignment="1"/>
    <xf numFmtId="49" fontId="24" fillId="6" borderId="3" xfId="1" applyNumberFormat="1" applyFont="1" applyFill="1" applyBorder="1" applyAlignment="1">
      <alignment horizontal="left" vertical="center"/>
    </xf>
    <xf numFmtId="49" fontId="24" fillId="6" borderId="0" xfId="1" applyNumberFormat="1" applyFont="1" applyFill="1" applyAlignment="1">
      <alignment horizontal="left" vertical="center"/>
    </xf>
    <xf numFmtId="49" fontId="24" fillId="8" borderId="0" xfId="1" applyNumberFormat="1" applyFont="1" applyFill="1" applyAlignment="1">
      <alignment horizontal="left" vertical="center"/>
    </xf>
    <xf numFmtId="0" fontId="0" fillId="0" borderId="0" xfId="0" applyFill="1">
      <alignment vertical="center"/>
    </xf>
    <xf numFmtId="0" fontId="19" fillId="0" borderId="0" xfId="0" applyFont="1" applyFill="1">
      <alignment vertical="center"/>
    </xf>
    <xf numFmtId="0" fontId="0" fillId="0" borderId="0" xfId="0" applyFill="1" applyAlignment="1"/>
    <xf numFmtId="49" fontId="24" fillId="8" borderId="0" xfId="0" applyNumberFormat="1" applyFont="1" applyFill="1" applyAlignment="1">
      <alignment horizontal="left" vertical="center"/>
    </xf>
    <xf numFmtId="49" fontId="24" fillId="6" borderId="0" xfId="0" applyNumberFormat="1" applyFont="1" applyFill="1" applyAlignment="1">
      <alignment horizontal="left" vertical="center"/>
    </xf>
    <xf numFmtId="49" fontId="24" fillId="6" borderId="3" xfId="0" applyNumberFormat="1" applyFont="1" applyFill="1" applyBorder="1" applyAlignment="1">
      <alignment horizontal="left" vertical="center"/>
    </xf>
    <xf numFmtId="0" fontId="0" fillId="0" borderId="0" xfId="0" applyAlignment="1"/>
    <xf numFmtId="49" fontId="23" fillId="0" borderId="0" xfId="0" applyNumberFormat="1" applyFont="1" applyAlignment="1">
      <alignment horizontal="left" vertical="center"/>
    </xf>
    <xf numFmtId="0" fontId="19" fillId="0" borderId="0" xfId="0" applyFont="1" applyFill="1" applyAlignment="1"/>
    <xf numFmtId="0" fontId="19" fillId="0" borderId="0" xfId="0" applyFont="1">
      <alignment vertical="center"/>
    </xf>
    <xf numFmtId="0" fontId="28" fillId="0" borderId="0" xfId="0" applyFont="1" applyAlignment="1"/>
    <xf numFmtId="0" fontId="30" fillId="0" borderId="0" xfId="0" applyFont="1">
      <alignment vertical="center"/>
    </xf>
    <xf numFmtId="0" fontId="28" fillId="0" borderId="0" xfId="0" applyFont="1">
      <alignment vertical="center"/>
    </xf>
    <xf numFmtId="0" fontId="19" fillId="0" borderId="0" xfId="0" applyFont="1" applyAlignment="1"/>
    <xf numFmtId="0" fontId="19" fillId="0" borderId="0" xfId="0" applyNumberFormat="1" applyFont="1" applyFill="1" applyAlignment="1"/>
    <xf numFmtId="0" fontId="28" fillId="0" borderId="0" xfId="0" applyFont="1" applyFill="1" applyAlignment="1"/>
    <xf numFmtId="49" fontId="24" fillId="9" borderId="0" xfId="7" applyNumberFormat="1" applyFont="1" applyFill="1" applyAlignment="1">
      <alignment horizontal="left" vertical="center"/>
    </xf>
    <xf numFmtId="49" fontId="24" fillId="8" borderId="0" xfId="7" applyNumberFormat="1" applyFont="1" applyFill="1" applyAlignment="1">
      <alignment horizontal="left" vertical="center"/>
    </xf>
    <xf numFmtId="49" fontId="24" fillId="7" borderId="0" xfId="7" applyNumberFormat="1" applyFont="1" applyFill="1" applyAlignment="1">
      <alignment horizontal="left" vertical="center"/>
    </xf>
    <xf numFmtId="49" fontId="24" fillId="6" borderId="0" xfId="7" applyNumberFormat="1" applyFont="1" applyFill="1" applyAlignment="1">
      <alignment horizontal="left" vertical="center"/>
    </xf>
    <xf numFmtId="49" fontId="24" fillId="6" borderId="3" xfId="7" applyNumberFormat="1" applyFont="1" applyFill="1" applyBorder="1" applyAlignment="1">
      <alignment horizontal="left" vertical="center"/>
    </xf>
    <xf numFmtId="49" fontId="34" fillId="8" borderId="0" xfId="0" applyNumberFormat="1" applyFont="1" applyFill="1" applyAlignment="1">
      <alignment horizontal="left" vertical="center"/>
    </xf>
    <xf numFmtId="49" fontId="34" fillId="6" borderId="0" xfId="0" applyNumberFormat="1" applyFont="1" applyFill="1" applyAlignment="1">
      <alignment horizontal="left" vertical="center"/>
    </xf>
    <xf numFmtId="49" fontId="34" fillId="6" borderId="3" xfId="0" applyNumberFormat="1" applyFont="1" applyFill="1" applyBorder="1" applyAlignment="1">
      <alignment horizontal="left" vertical="center"/>
    </xf>
    <xf numFmtId="0" fontId="17" fillId="0" borderId="0" xfId="0" applyFont="1" applyAlignment="1"/>
    <xf numFmtId="49" fontId="24" fillId="7" borderId="0" xfId="0" applyNumberFormat="1" applyFont="1" applyFill="1" applyAlignment="1">
      <alignment horizontal="left" vertical="center"/>
    </xf>
    <xf numFmtId="49" fontId="24" fillId="9" borderId="0" xfId="0" applyNumberFormat="1" applyFont="1" applyFill="1" applyAlignment="1">
      <alignment horizontal="left" vertical="center"/>
    </xf>
    <xf numFmtId="49" fontId="24" fillId="7" borderId="3" xfId="0" applyNumberFormat="1" applyFont="1" applyFill="1" applyBorder="1" applyAlignment="1">
      <alignment horizontal="left" vertical="center"/>
    </xf>
    <xf numFmtId="49" fontId="38" fillId="6" borderId="3" xfId="0" applyNumberFormat="1" applyFont="1" applyFill="1" applyBorder="1" applyAlignment="1">
      <alignment horizontal="left" vertical="center"/>
    </xf>
    <xf numFmtId="0" fontId="5" fillId="0" borderId="0" xfId="21" applyAlignment="1">
      <alignment vertical="center"/>
    </xf>
    <xf numFmtId="0" fontId="19" fillId="0" borderId="0" xfId="22" applyFont="1"/>
    <xf numFmtId="0" fontId="19" fillId="0" borderId="0" xfId="22" applyFont="1" applyFill="1"/>
    <xf numFmtId="49" fontId="24" fillId="8" borderId="0" xfId="21" applyNumberFormat="1" applyFont="1" applyFill="1" applyAlignment="1">
      <alignment horizontal="left" vertical="center"/>
    </xf>
    <xf numFmtId="49" fontId="24" fillId="9" borderId="0" xfId="21" applyNumberFormat="1" applyFont="1" applyFill="1" applyAlignment="1">
      <alignment horizontal="left" vertical="center"/>
    </xf>
    <xf numFmtId="49" fontId="24" fillId="6" borderId="0" xfId="21" applyNumberFormat="1" applyFont="1" applyFill="1" applyAlignment="1">
      <alignment horizontal="left" vertical="center"/>
    </xf>
    <xf numFmtId="49" fontId="24" fillId="7" borderId="0" xfId="21" applyNumberFormat="1" applyFont="1" applyFill="1" applyAlignment="1">
      <alignment horizontal="left" vertical="center"/>
    </xf>
    <xf numFmtId="49" fontId="24" fillId="6" borderId="3" xfId="21" applyNumberFormat="1" applyFont="1" applyFill="1" applyBorder="1" applyAlignment="1">
      <alignment horizontal="left" vertical="center"/>
    </xf>
    <xf numFmtId="49" fontId="24" fillId="7" borderId="3" xfId="21" applyNumberFormat="1" applyFont="1" applyFill="1" applyBorder="1" applyAlignment="1">
      <alignment horizontal="left" vertical="center"/>
    </xf>
    <xf numFmtId="49" fontId="38" fillId="6" borderId="3" xfId="21" applyNumberFormat="1" applyFont="1" applyFill="1" applyBorder="1" applyAlignment="1">
      <alignment horizontal="left" vertical="center"/>
    </xf>
    <xf numFmtId="0" fontId="39" fillId="0" borderId="0" xfId="21" applyFont="1" applyAlignment="1">
      <alignment vertical="center"/>
    </xf>
    <xf numFmtId="49" fontId="24" fillId="12" borderId="0" xfId="0" applyNumberFormat="1" applyFont="1" applyFill="1" applyAlignment="1">
      <alignment horizontal="left" vertical="center"/>
    </xf>
    <xf numFmtId="49" fontId="28" fillId="7" borderId="0" xfId="0" applyNumberFormat="1" applyFont="1" applyFill="1" applyAlignment="1">
      <alignment horizontal="left" vertical="center"/>
    </xf>
    <xf numFmtId="49" fontId="38" fillId="8" borderId="0" xfId="0" applyNumberFormat="1" applyFont="1" applyFill="1" applyAlignment="1">
      <alignment horizontal="left" vertical="center"/>
    </xf>
    <xf numFmtId="49" fontId="28" fillId="9" borderId="0" xfId="0" applyNumberFormat="1" applyFont="1" applyFill="1" applyAlignment="1">
      <alignment horizontal="left" vertical="center"/>
    </xf>
    <xf numFmtId="49" fontId="28" fillId="8" borderId="0" xfId="0" applyNumberFormat="1" applyFont="1" applyFill="1" applyAlignment="1">
      <alignment horizontal="left" vertical="center"/>
    </xf>
    <xf numFmtId="49" fontId="24" fillId="13" borderId="0" xfId="0" applyNumberFormat="1" applyFont="1" applyFill="1" applyAlignment="1">
      <alignment horizontal="left" vertical="center"/>
    </xf>
    <xf numFmtId="49" fontId="38" fillId="6" borderId="0" xfId="0" applyNumberFormat="1" applyFont="1" applyFill="1" applyAlignment="1">
      <alignment horizontal="left" vertical="center"/>
    </xf>
    <xf numFmtId="49" fontId="28" fillId="6" borderId="0" xfId="0" applyNumberFormat="1" applyFont="1" applyFill="1" applyAlignment="1">
      <alignment horizontal="left" vertical="center"/>
    </xf>
    <xf numFmtId="49" fontId="24" fillId="13" borderId="4" xfId="0" applyNumberFormat="1" applyFont="1" applyFill="1" applyBorder="1" applyAlignment="1">
      <alignment horizontal="left" vertical="center"/>
    </xf>
    <xf numFmtId="49" fontId="28" fillId="7" borderId="3" xfId="0" applyNumberFormat="1" applyFont="1" applyFill="1" applyBorder="1" applyAlignment="1">
      <alignment horizontal="left" vertical="center"/>
    </xf>
    <xf numFmtId="49" fontId="28" fillId="6" borderId="3" xfId="0" applyNumberFormat="1" applyFont="1" applyFill="1" applyBorder="1" applyAlignment="1">
      <alignment horizontal="left" vertical="center"/>
    </xf>
    <xf numFmtId="49" fontId="24" fillId="8" borderId="0" xfId="0" applyNumberFormat="1" applyFont="1" applyFill="1" applyAlignment="1">
      <alignment horizontal="center" vertical="center"/>
    </xf>
    <xf numFmtId="49" fontId="24" fillId="6" borderId="0" xfId="0" applyNumberFormat="1" applyFont="1" applyFill="1" applyAlignment="1">
      <alignment horizontal="center" vertical="center"/>
    </xf>
    <xf numFmtId="49" fontId="24" fillId="6" borderId="3" xfId="0" applyNumberFormat="1" applyFont="1" applyFill="1" applyBorder="1" applyAlignment="1">
      <alignment horizontal="center" vertical="center"/>
    </xf>
    <xf numFmtId="0" fontId="19" fillId="0" borderId="0" xfId="11">
      <alignment vertical="center"/>
    </xf>
    <xf numFmtId="49" fontId="24" fillId="8" borderId="0" xfId="11" applyNumberFormat="1" applyFont="1" applyFill="1" applyAlignment="1">
      <alignment horizontal="left" vertical="center"/>
    </xf>
    <xf numFmtId="0" fontId="19" fillId="0" borderId="0" xfId="11" applyAlignment="1"/>
    <xf numFmtId="49" fontId="24" fillId="6" borderId="0" xfId="11" applyNumberFormat="1" applyFont="1" applyFill="1" applyAlignment="1">
      <alignment horizontal="left" vertical="center"/>
    </xf>
    <xf numFmtId="49" fontId="24" fillId="6" borderId="3" xfId="11" applyNumberFormat="1" applyFont="1" applyFill="1" applyBorder="1" applyAlignment="1">
      <alignment horizontal="left" vertical="center"/>
    </xf>
    <xf numFmtId="0" fontId="0" fillId="14" borderId="0" xfId="0" applyFill="1">
      <alignment vertical="center"/>
    </xf>
    <xf numFmtId="0" fontId="0" fillId="11" borderId="1" xfId="0" applyFill="1" applyBorder="1" applyAlignment="1">
      <alignment horizontal="center" vertical="center"/>
    </xf>
    <xf numFmtId="0" fontId="0" fillId="15" borderId="0" xfId="0" applyFill="1">
      <alignment vertical="center"/>
    </xf>
    <xf numFmtId="0" fontId="19" fillId="0" borderId="0" xfId="1" applyFont="1" applyFill="1">
      <alignment vertical="center"/>
    </xf>
    <xf numFmtId="0" fontId="0" fillId="0" borderId="0" xfId="0" applyAlignment="1">
      <alignment horizontal="left" vertical="center"/>
    </xf>
    <xf numFmtId="0" fontId="20" fillId="0" borderId="0" xfId="0" applyFont="1" applyAlignment="1"/>
    <xf numFmtId="49" fontId="24" fillId="6" borderId="3" xfId="28" applyNumberFormat="1" applyFont="1" applyFill="1" applyBorder="1" applyAlignment="1">
      <alignment horizontal="left" vertical="center"/>
    </xf>
    <xf numFmtId="49" fontId="24" fillId="6" borderId="0" xfId="28" applyNumberFormat="1" applyFont="1" applyFill="1" applyAlignment="1">
      <alignment horizontal="left" vertical="center"/>
    </xf>
    <xf numFmtId="49" fontId="24" fillId="8" borderId="0" xfId="28" applyNumberFormat="1" applyFont="1" applyFill="1" applyAlignment="1">
      <alignment horizontal="left" vertical="center"/>
    </xf>
    <xf numFmtId="0" fontId="1" fillId="0" borderId="0" xfId="21" applyFont="1" applyAlignment="1">
      <alignment vertical="center"/>
    </xf>
    <xf numFmtId="0" fontId="16" fillId="0" borderId="0" xfId="3" applyAlignment="1"/>
    <xf numFmtId="0" fontId="16" fillId="0" borderId="0" xfId="3">
      <alignment vertical="center"/>
    </xf>
    <xf numFmtId="49" fontId="24" fillId="6" borderId="3" xfId="3" applyNumberFormat="1" applyFont="1" applyFill="1" applyBorder="1" applyAlignment="1">
      <alignment horizontal="left" vertical="center"/>
    </xf>
    <xf numFmtId="49" fontId="24" fillId="6" borderId="0" xfId="3" applyNumberFormat="1" applyFont="1" applyFill="1" applyAlignment="1">
      <alignment horizontal="left" vertical="center"/>
    </xf>
    <xf numFmtId="49" fontId="24" fillId="8" borderId="0" xfId="3" applyNumberFormat="1" applyFont="1" applyFill="1" applyAlignment="1">
      <alignment horizontal="left" vertical="center"/>
    </xf>
    <xf numFmtId="0" fontId="10" fillId="0" borderId="0" xfId="3" applyFont="1" applyAlignment="1"/>
    <xf numFmtId="49" fontId="23" fillId="0" borderId="0" xfId="1" applyNumberFormat="1" applyFont="1" applyAlignment="1">
      <alignment horizontal="left" vertical="center"/>
    </xf>
    <xf numFmtId="0" fontId="19" fillId="0" borderId="0" xfId="1" applyFont="1">
      <alignment vertical="center"/>
    </xf>
    <xf numFmtId="0" fontId="13" fillId="0" borderId="0" xfId="1" applyFont="1">
      <alignment vertical="center"/>
    </xf>
    <xf numFmtId="49" fontId="24" fillId="7" borderId="0" xfId="1" applyNumberFormat="1" applyFont="1" applyFill="1" applyAlignment="1">
      <alignment horizontal="left" vertical="center"/>
    </xf>
    <xf numFmtId="49" fontId="24" fillId="9" borderId="0" xfId="1" applyNumberFormat="1" applyFont="1" applyFill="1" applyAlignment="1">
      <alignment horizontal="left" vertical="center"/>
    </xf>
    <xf numFmtId="0" fontId="19" fillId="0" borderId="0" xfId="29" applyFont="1">
      <alignment vertical="center"/>
    </xf>
    <xf numFmtId="49" fontId="24" fillId="6" borderId="3" xfId="29" applyNumberFormat="1" applyFont="1" applyFill="1" applyBorder="1" applyAlignment="1">
      <alignment horizontal="left" vertical="center"/>
    </xf>
    <xf numFmtId="49" fontId="24" fillId="6" borderId="0" xfId="29" applyNumberFormat="1" applyFont="1" applyFill="1" applyAlignment="1">
      <alignment horizontal="left" vertical="center"/>
    </xf>
    <xf numFmtId="49" fontId="24" fillId="8" borderId="0" xfId="29" applyNumberFormat="1" applyFont="1" applyFill="1" applyAlignment="1">
      <alignment horizontal="left" vertical="center"/>
    </xf>
    <xf numFmtId="0" fontId="42" fillId="0" borderId="0" xfId="20" applyFont="1" applyFill="1" applyAlignment="1"/>
    <xf numFmtId="0" fontId="14" fillId="0" borderId="0" xfId="1">
      <alignment vertical="center"/>
    </xf>
    <xf numFmtId="0" fontId="43" fillId="0" borderId="0" xfId="1" applyFont="1">
      <alignment vertical="center"/>
    </xf>
    <xf numFmtId="49" fontId="34" fillId="6" borderId="3" xfId="1" applyNumberFormat="1" applyFont="1" applyFill="1" applyBorder="1" applyAlignment="1">
      <alignment horizontal="left" vertical="center"/>
    </xf>
    <xf numFmtId="49" fontId="34" fillId="6" borderId="0" xfId="1" applyNumberFormat="1" applyFont="1" applyFill="1" applyAlignment="1">
      <alignment horizontal="left" vertical="center"/>
    </xf>
    <xf numFmtId="49" fontId="34" fillId="8" borderId="0" xfId="1" applyNumberFormat="1" applyFont="1" applyFill="1" applyAlignment="1">
      <alignment horizontal="left" vertical="center"/>
    </xf>
    <xf numFmtId="0" fontId="43" fillId="0" borderId="0" xfId="1" applyFont="1" applyAlignment="1"/>
    <xf numFmtId="49" fontId="45" fillId="6" borderId="3" xfId="1" applyNumberFormat="1" applyFont="1" applyFill="1" applyBorder="1" applyAlignment="1">
      <alignment horizontal="left" vertical="center"/>
    </xf>
    <xf numFmtId="49" fontId="45" fillId="6" borderId="0" xfId="1" applyNumberFormat="1" applyFont="1" applyFill="1" applyAlignment="1">
      <alignment horizontal="left" vertical="center"/>
    </xf>
    <xf numFmtId="49" fontId="45" fillId="8" borderId="0" xfId="1" applyNumberFormat="1" applyFont="1" applyFill="1" applyAlignment="1">
      <alignment horizontal="left" vertical="center"/>
    </xf>
    <xf numFmtId="49" fontId="23" fillId="0" borderId="0" xfId="11" applyNumberFormat="1" applyFont="1" applyAlignment="1">
      <alignment horizontal="left" vertical="center"/>
    </xf>
    <xf numFmtId="49" fontId="47" fillId="16" borderId="0" xfId="11" applyNumberFormat="1" applyFont="1" applyFill="1" applyAlignment="1">
      <alignment horizontal="left" vertical="center"/>
    </xf>
    <xf numFmtId="0" fontId="17" fillId="0" borderId="0" xfId="11" applyFont="1" applyAlignment="1"/>
    <xf numFmtId="49" fontId="24" fillId="7" borderId="3" xfId="11" applyNumberFormat="1" applyFont="1" applyFill="1" applyBorder="1" applyAlignment="1">
      <alignment horizontal="left" vertical="center"/>
    </xf>
    <xf numFmtId="49" fontId="24" fillId="7" borderId="0" xfId="11" applyNumberFormat="1" applyFont="1" applyFill="1" applyAlignment="1">
      <alignment horizontal="left" vertical="center"/>
    </xf>
    <xf numFmtId="49" fontId="24" fillId="9" borderId="0" xfId="11" applyNumberFormat="1" applyFont="1" applyFill="1" applyAlignment="1">
      <alignment horizontal="left" vertical="center"/>
    </xf>
    <xf numFmtId="49" fontId="24" fillId="6" borderId="0" xfId="11" applyNumberFormat="1" applyFont="1" applyFill="1" applyAlignment="1">
      <alignment horizontal="left" vertical="top"/>
    </xf>
    <xf numFmtId="49" fontId="24" fillId="13" borderId="4" xfId="11" applyNumberFormat="1" applyFont="1" applyFill="1" applyBorder="1" applyAlignment="1">
      <alignment horizontal="left" vertical="center"/>
    </xf>
    <xf numFmtId="49" fontId="24" fillId="13" borderId="0" xfId="11" applyNumberFormat="1" applyFont="1" applyFill="1" applyAlignment="1">
      <alignment horizontal="left" vertical="center"/>
    </xf>
    <xf numFmtId="49" fontId="24" fillId="12" borderId="0" xfId="11" applyNumberFormat="1" applyFont="1" applyFill="1" applyAlignment="1">
      <alignment horizontal="left" vertical="center"/>
    </xf>
    <xf numFmtId="0" fontId="19" fillId="0" borderId="0" xfId="29" applyFont="1" applyFill="1">
      <alignment vertical="center"/>
    </xf>
    <xf numFmtId="0" fontId="19" fillId="0" borderId="0" xfId="30" applyFont="1" applyFill="1">
      <alignment vertical="center"/>
    </xf>
    <xf numFmtId="0" fontId="14" fillId="0" borderId="0" xfId="29" applyFill="1">
      <alignment vertical="center"/>
    </xf>
    <xf numFmtId="0" fontId="19" fillId="0" borderId="0" xfId="11" applyFill="1">
      <alignment vertical="center"/>
    </xf>
    <xf numFmtId="0" fontId="19" fillId="0" borderId="0" xfId="1" applyFont="1" applyFill="1" applyAlignment="1"/>
    <xf numFmtId="0" fontId="19" fillId="0" borderId="0" xfId="6" applyFont="1" applyFill="1" applyAlignment="1">
      <alignment horizontal="left" vertical="top"/>
    </xf>
    <xf numFmtId="0" fontId="19" fillId="0" borderId="0" xfId="1" applyFont="1" applyFill="1" applyAlignment="1">
      <alignment horizontal="center" vertical="center"/>
    </xf>
    <xf numFmtId="0" fontId="19" fillId="0" borderId="0" xfId="1" applyFont="1" applyFill="1" applyAlignment="1">
      <alignment horizontal="left" vertical="top"/>
    </xf>
    <xf numFmtId="0" fontId="19" fillId="0" borderId="0" xfId="1" applyFont="1" applyFill="1" applyAlignment="1">
      <alignment horizontal="right" vertical="center"/>
    </xf>
    <xf numFmtId="0" fontId="19" fillId="0" borderId="0" xfId="30" applyFont="1" applyFill="1" applyAlignment="1">
      <alignment horizontal="left" vertical="top"/>
    </xf>
    <xf numFmtId="0" fontId="19" fillId="0" borderId="0" xfId="31" applyFont="1" applyFill="1" applyAlignment="1">
      <alignment horizontal="left" vertical="top"/>
    </xf>
    <xf numFmtId="0" fontId="13" fillId="0" borderId="0" xfId="30" applyFont="1" applyFill="1" applyAlignment="1">
      <alignment horizontal="left" vertical="top"/>
    </xf>
    <xf numFmtId="0" fontId="19" fillId="0" borderId="0" xfId="30" applyFont="1" applyFill="1" applyAlignment="1">
      <alignment horizontal="left" vertical="top" wrapText="1"/>
    </xf>
    <xf numFmtId="0" fontId="23" fillId="0" borderId="0" xfId="30" applyFont="1" applyFill="1" applyAlignment="1">
      <alignment horizontal="left" vertical="top"/>
    </xf>
    <xf numFmtId="0" fontId="19" fillId="0" borderId="0" xfId="32" applyFont="1" applyFill="1" applyAlignment="1">
      <alignment horizontal="left" vertical="top"/>
    </xf>
    <xf numFmtId="0" fontId="19" fillId="0" borderId="0" xfId="29" applyFont="1" applyFill="1" applyAlignment="1">
      <alignment horizontal="left" vertical="top"/>
    </xf>
    <xf numFmtId="0" fontId="23" fillId="0" borderId="0" xfId="33" applyFont="1" applyFill="1" applyAlignment="1">
      <alignment horizontal="left" vertical="top"/>
    </xf>
    <xf numFmtId="0" fontId="14" fillId="0" borderId="0" xfId="29" applyFill="1" applyAlignment="1"/>
    <xf numFmtId="0" fontId="19" fillId="0" borderId="0" xfId="34" applyFont="1" applyFill="1" applyAlignment="1">
      <alignment horizontal="left" vertical="top"/>
    </xf>
    <xf numFmtId="0" fontId="23" fillId="0" borderId="0" xfId="32" applyFont="1" applyFill="1" applyAlignment="1">
      <alignment horizontal="left" vertical="top"/>
    </xf>
    <xf numFmtId="0" fontId="19" fillId="0" borderId="0" xfId="26" applyFill="1" applyAlignment="1">
      <alignment horizontal="left" vertical="top"/>
    </xf>
    <xf numFmtId="0" fontId="23" fillId="0" borderId="0" xfId="32" applyFont="1" applyFill="1" applyAlignment="1">
      <alignment vertical="center"/>
    </xf>
    <xf numFmtId="0" fontId="19" fillId="0" borderId="0" xfId="32" applyFont="1" applyFill="1" applyAlignment="1">
      <alignment vertical="center"/>
    </xf>
    <xf numFmtId="0" fontId="19" fillId="0" borderId="0" xfId="32" applyFont="1" applyFill="1" applyAlignment="1">
      <alignment horizontal="left" vertical="center"/>
    </xf>
    <xf numFmtId="49" fontId="23" fillId="0" borderId="0" xfId="32" applyNumberFormat="1" applyFont="1" applyFill="1" applyAlignment="1">
      <alignment horizontal="left" vertical="top" wrapText="1"/>
    </xf>
    <xf numFmtId="0" fontId="23" fillId="0" borderId="0" xfId="29" applyFont="1" applyFill="1">
      <alignment vertical="center"/>
    </xf>
    <xf numFmtId="0" fontId="23" fillId="0" borderId="0" xfId="29" applyFont="1" applyFill="1" applyAlignment="1">
      <alignment vertical="center" wrapText="1"/>
    </xf>
    <xf numFmtId="0" fontId="19" fillId="0" borderId="0" xfId="30" applyFont="1" applyFill="1" applyAlignment="1"/>
    <xf numFmtId="0" fontId="23" fillId="0" borderId="0" xfId="1" applyFont="1" applyFill="1" applyAlignment="1">
      <alignment horizontal="left" vertical="top"/>
    </xf>
    <xf numFmtId="0" fontId="14" fillId="0" borderId="0" xfId="1" applyFill="1">
      <alignment vertical="center"/>
    </xf>
    <xf numFmtId="0" fontId="19" fillId="0" borderId="0" xfId="1" applyFont="1" applyFill="1" applyAlignment="1">
      <alignment wrapText="1"/>
    </xf>
    <xf numFmtId="0" fontId="0" fillId="0" borderId="0" xfId="1" applyFont="1" applyFill="1">
      <alignment vertical="center"/>
    </xf>
    <xf numFmtId="0" fontId="43" fillId="0" borderId="0" xfId="1" applyFont="1" applyFill="1">
      <alignment vertical="center"/>
    </xf>
    <xf numFmtId="0" fontId="43" fillId="0" borderId="0" xfId="1" applyFont="1" applyFill="1" applyAlignment="1">
      <alignment vertical="center" wrapText="1"/>
    </xf>
    <xf numFmtId="0" fontId="14" fillId="0" borderId="0" xfId="1" applyFill="1" applyAlignment="1"/>
    <xf numFmtId="0" fontId="46" fillId="0" borderId="0" xfId="0" applyFont="1" applyFill="1" applyAlignment="1"/>
    <xf numFmtId="0" fontId="17" fillId="0" borderId="0" xfId="11" applyFont="1" applyFill="1">
      <alignment vertical="center"/>
    </xf>
    <xf numFmtId="0" fontId="17" fillId="0" borderId="0" xfId="11" applyFont="1" applyFill="1" applyAlignment="1"/>
    <xf numFmtId="0" fontId="19" fillId="0" borderId="1" xfId="0" applyFont="1" applyFill="1" applyBorder="1" applyAlignment="1">
      <alignment horizontal="left" vertical="center"/>
    </xf>
    <xf numFmtId="0" fontId="19" fillId="0" borderId="5" xfId="0" applyFont="1" applyFill="1" applyBorder="1" applyAlignment="1">
      <alignment horizontal="left" vertical="center"/>
    </xf>
    <xf numFmtId="0" fontId="28" fillId="0" borderId="1" xfId="0" applyFont="1" applyFill="1" applyBorder="1" applyAlignment="1">
      <alignment horizontal="center" vertical="center"/>
    </xf>
    <xf numFmtId="0" fontId="19" fillId="0" borderId="0" xfId="7" applyFont="1" applyFill="1" applyAlignment="1"/>
    <xf numFmtId="0" fontId="19" fillId="0" borderId="0" xfId="3" applyFont="1" applyFill="1" applyAlignment="1">
      <alignment horizontal="left" vertical="top"/>
    </xf>
    <xf numFmtId="0" fontId="23" fillId="0" borderId="0" xfId="25" applyFont="1" applyFill="1" applyAlignment="1">
      <alignment horizontal="left" vertical="top"/>
    </xf>
    <xf numFmtId="0" fontId="19" fillId="0" borderId="0" xfId="24" applyFont="1" applyFill="1" applyAlignment="1">
      <alignment horizontal="left" vertical="top"/>
    </xf>
    <xf numFmtId="0" fontId="19" fillId="0" borderId="0" xfId="27" applyFont="1" applyFill="1">
      <alignment vertical="center"/>
    </xf>
    <xf numFmtId="0" fontId="23" fillId="0" borderId="0" xfId="23" applyFont="1" applyFill="1" applyAlignment="1">
      <alignment horizontal="left" vertical="top"/>
    </xf>
    <xf numFmtId="0" fontId="0" fillId="0" borderId="0" xfId="0" quotePrefix="1" applyFill="1" applyAlignment="1"/>
    <xf numFmtId="0" fontId="23" fillId="0" borderId="0" xfId="0" applyFont="1" applyFill="1" applyAlignment="1"/>
    <xf numFmtId="0" fontId="5" fillId="0" borderId="0" xfId="21" applyFill="1" applyAlignment="1">
      <alignment vertical="center"/>
    </xf>
    <xf numFmtId="0" fontId="20" fillId="0" borderId="0" xfId="0" applyFont="1" applyFill="1" applyAlignment="1"/>
    <xf numFmtId="0" fontId="19" fillId="11" borderId="0" xfId="30" applyFont="1" applyFill="1" applyAlignment="1">
      <alignment horizontal="left" vertical="top"/>
    </xf>
    <xf numFmtId="0" fontId="19" fillId="11" borderId="0" xfId="0" applyFont="1" applyFill="1" applyAlignment="1"/>
    <xf numFmtId="0" fontId="0" fillId="11" borderId="0" xfId="0" applyFill="1" applyAlignment="1"/>
  </cellXfs>
  <cellStyles count="35">
    <cellStyle name="常规" xfId="0" builtinId="0"/>
    <cellStyle name="常规 10" xfId="28" xr:uid="{8B69DC57-3A59-4AED-AB80-5C75B5D8A2CF}"/>
    <cellStyle name="常规 2" xfId="1" xr:uid="{00000000-0005-0000-0000-000001000000}"/>
    <cellStyle name="常规 2 2" xfId="3" xr:uid="{00000000-0005-0000-0000-000002000000}"/>
    <cellStyle name="常规 2 2 2" xfId="6" xr:uid="{00000000-0005-0000-0000-000003000000}"/>
    <cellStyle name="常规 2 2 2 2" xfId="30" xr:uid="{078231FD-DBDD-45A6-901A-A18E8D153927}"/>
    <cellStyle name="常规 2 2 2 2 2" xfId="31" xr:uid="{F905B68D-DE87-47D5-A71F-9B735C18E48B}"/>
    <cellStyle name="常规 2 2 3" xfId="12" xr:uid="{BBBD8016-57A1-43B4-A6AC-A1DCD7176E54}"/>
    <cellStyle name="常规 2 2 3 4" xfId="15" xr:uid="{0C8A563D-2DDE-430D-90D5-8252EDAE39FA}"/>
    <cellStyle name="常规 2 2 4" xfId="27" xr:uid="{3DA1904A-4260-40F8-A4D3-BD592C30D275}"/>
    <cellStyle name="常规 2 2 4 2" xfId="29" xr:uid="{4D04C53E-70C0-4476-8840-DAB7A40701E1}"/>
    <cellStyle name="常规 2 3" xfId="11" xr:uid="{F0D0EDAD-63D1-430C-9801-8E011C1BEFEF}"/>
    <cellStyle name="常规 2 3 2" xfId="26" xr:uid="{4FFB01A9-11EE-450F-A8FF-F4A97BA7B673}"/>
    <cellStyle name="常规 2 4" xfId="9" xr:uid="{00000000-0005-0000-0000-000004000000}"/>
    <cellStyle name="常规 3" xfId="2" xr:uid="{00000000-0005-0000-0000-000005000000}"/>
    <cellStyle name="常规 3 2" xfId="4" xr:uid="{00000000-0005-0000-0000-000006000000}"/>
    <cellStyle name="常规 3 2 2 2" xfId="25" xr:uid="{C68FD79E-3468-4894-B990-97F207FAF084}"/>
    <cellStyle name="常规 3 2 2 2 2" xfId="33" xr:uid="{E4950980-00AF-494B-84A5-8BE5EABBEC29}"/>
    <cellStyle name="常规 3 3" xfId="14" xr:uid="{E295BC9F-FCDE-4C38-BACE-97E765DED020}"/>
    <cellStyle name="常规 3 4" xfId="19" xr:uid="{F0AFCCA1-2C5F-4BA1-8994-CFF7F3E1A56C}"/>
    <cellStyle name="常规 3 5" xfId="21" xr:uid="{1125FF17-AB94-421E-A140-56C61D56F418}"/>
    <cellStyle name="常规 3 5 2" xfId="24" xr:uid="{65F4CD9E-14E4-42F7-9C34-5AC48493D150}"/>
    <cellStyle name="常规 3 5 2 2" xfId="34" xr:uid="{32DD30C0-F158-4119-8FE3-A6338D3B73E6}"/>
    <cellStyle name="常规 4" xfId="5" xr:uid="{00000000-0005-0000-0000-000007000000}"/>
    <cellStyle name="常规 5" xfId="7" xr:uid="{00000000-0005-0000-0000-000008000000}"/>
    <cellStyle name="常规 6" xfId="16" xr:uid="{BF9E678A-0DEE-4169-A1E7-F505EB964330}"/>
    <cellStyle name="常规 7" xfId="8" xr:uid="{00000000-0005-0000-0000-000009000000}"/>
    <cellStyle name="常规 8" xfId="17" xr:uid="{C70FDD8D-5E97-4F5D-B180-F25BA762B5A2}"/>
    <cellStyle name="常规 8 2 2" xfId="23" xr:uid="{A9FF4867-DAC6-4D16-9197-2E30DD824931}"/>
    <cellStyle name="常规 8 2 2 2" xfId="32" xr:uid="{21F50F64-A803-483A-86E9-EF7F430E4DCB}"/>
    <cellStyle name="常规 9" xfId="18" xr:uid="{9539B24E-2E66-476D-B40B-9DB961B85B70}"/>
    <cellStyle name="常规 9 2" xfId="22" xr:uid="{9F034850-7F2B-448C-82F4-0FB26F827B54}"/>
    <cellStyle name="好 2" xfId="13" xr:uid="{66C94EBF-A222-4302-85D5-2189795DDB49}"/>
    <cellStyle name="适中 2" xfId="20" xr:uid="{B4FAF576-A2ED-45B4-9A0D-7B20C5F2B4A8}"/>
    <cellStyle name="输入 2" xfId="10" xr:uid="{00000000-0005-0000-0000-00000A000000}"/>
  </cellStyles>
  <dxfs count="55"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 patternType="solid">
          <bgColor indexed="10"/>
        </patternFill>
      </fill>
    </dxf>
    <dxf>
      <fill>
        <patternFill patternType="solid">
          <bgColor indexed="1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bgColor indexed="10"/>
        </patternFill>
      </fill>
    </dxf>
    <dxf>
      <fill>
        <patternFill patternType="solid">
          <bgColor indexed="1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99CCFF"/>
      <color rgb="FFFFCCFF"/>
      <color rgb="FFCCECFF"/>
      <color rgb="FF9966FF"/>
      <color rgb="FFA60202"/>
      <color rgb="FFFE5E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theme" Target="theme/theme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7</xdr:row>
          <xdr:rowOff>0</xdr:rowOff>
        </xdr:from>
        <xdr:to>
          <xdr:col>3</xdr:col>
          <xdr:colOff>0</xdr:colOff>
          <xdr:row>11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普通合表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7</xdr:row>
          <xdr:rowOff>9525</xdr:rowOff>
        </xdr:from>
        <xdr:to>
          <xdr:col>7</xdr:col>
          <xdr:colOff>9525</xdr:colOff>
          <xdr:row>15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清除本工作簿所有底色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0</xdr:rowOff>
        </xdr:from>
        <xdr:to>
          <xdr:col>7</xdr:col>
          <xdr:colOff>0</xdr:colOff>
          <xdr:row>6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选择工作目录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600075</xdr:colOff>
          <xdr:row>2</xdr:row>
          <xdr:rowOff>0</xdr:rowOff>
        </xdr:from>
        <xdr:to>
          <xdr:col>20</xdr:col>
          <xdr:colOff>0</xdr:colOff>
          <xdr:row>8</xdr:row>
          <xdr:rowOff>0</xdr:rowOff>
        </xdr:to>
        <xdr:sp macro="" textlink="">
          <xdr:nvSpPr>
            <xdr:cNvPr id="1030" name="CommandButton1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17</xdr:col>
          <xdr:colOff>9525</xdr:colOff>
          <xdr:row>28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清理批注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12</xdr:row>
          <xdr:rowOff>9525</xdr:rowOff>
        </xdr:from>
        <xdr:to>
          <xdr:col>3</xdr:col>
          <xdr:colOff>0</xdr:colOff>
          <xdr:row>16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强制合表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5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6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7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8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9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10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1.v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2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.xml"/><Relationship Id="rId1" Type="http://schemas.openxmlformats.org/officeDocument/2006/relationships/vmlDrawing" Target="../drawings/vmlDrawing13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4.v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.xml"/><Relationship Id="rId1" Type="http://schemas.openxmlformats.org/officeDocument/2006/relationships/vmlDrawing" Target="../drawings/vmlDrawing15.v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5.xml"/><Relationship Id="rId1" Type="http://schemas.openxmlformats.org/officeDocument/2006/relationships/vmlDrawing" Target="../drawings/vmlDrawing16.v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6.xml"/><Relationship Id="rId1" Type="http://schemas.openxmlformats.org/officeDocument/2006/relationships/vmlDrawing" Target="../drawings/vmlDrawing17.v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7.xml"/><Relationship Id="rId1" Type="http://schemas.openxmlformats.org/officeDocument/2006/relationships/vmlDrawing" Target="../drawings/vmlDrawing18.v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comments" Target="../comments18.xml"/><Relationship Id="rId1" Type="http://schemas.openxmlformats.org/officeDocument/2006/relationships/vmlDrawing" Target="../drawings/vmlDrawing19.v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9.xml"/><Relationship Id="rId1" Type="http://schemas.openxmlformats.org/officeDocument/2006/relationships/vmlDrawing" Target="../drawings/vmlDrawing20.v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0.xml"/><Relationship Id="rId1" Type="http://schemas.openxmlformats.org/officeDocument/2006/relationships/vmlDrawing" Target="../drawings/vmlDrawing21.v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1.xml"/><Relationship Id="rId1" Type="http://schemas.openxmlformats.org/officeDocument/2006/relationships/vmlDrawing" Target="../drawings/vmlDrawing22.v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2.xml"/><Relationship Id="rId1" Type="http://schemas.openxmlformats.org/officeDocument/2006/relationships/vmlDrawing" Target="../drawings/vmlDrawing23.v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comments" Target="../comments23.xml"/><Relationship Id="rId1" Type="http://schemas.openxmlformats.org/officeDocument/2006/relationships/vmlDrawing" Target="../drawings/vmlDrawing24.v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comments" Target="../comments24.xml"/><Relationship Id="rId1" Type="http://schemas.openxmlformats.org/officeDocument/2006/relationships/vmlDrawing" Target="../drawings/vmlDrawing25.v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comments" Target="../comments25.xml"/><Relationship Id="rId1" Type="http://schemas.openxmlformats.org/officeDocument/2006/relationships/vmlDrawing" Target="../drawings/vmlDrawing26.v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comments" Target="../comments26.xml"/><Relationship Id="rId1" Type="http://schemas.openxmlformats.org/officeDocument/2006/relationships/vmlDrawing" Target="../drawings/vmlDrawing27.v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comments" Target="../comments27.xml"/><Relationship Id="rId1" Type="http://schemas.openxmlformats.org/officeDocument/2006/relationships/vmlDrawing" Target="../drawings/vmlDrawing28.v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comments" Target="../comments28.xml"/><Relationship Id="rId1" Type="http://schemas.openxmlformats.org/officeDocument/2006/relationships/vmlDrawing" Target="../drawings/vmlDrawing29.v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9.xml"/><Relationship Id="rId2" Type="http://schemas.openxmlformats.org/officeDocument/2006/relationships/vmlDrawing" Target="../drawings/vmlDrawing30.vml"/><Relationship Id="rId1" Type="http://schemas.openxmlformats.org/officeDocument/2006/relationships/printerSettings" Target="../printerSettings/printerSettings2.bin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0.xml"/><Relationship Id="rId2" Type="http://schemas.openxmlformats.org/officeDocument/2006/relationships/vmlDrawing" Target="../drawings/vmlDrawing31.vml"/><Relationship Id="rId1" Type="http://schemas.openxmlformats.org/officeDocument/2006/relationships/printerSettings" Target="../printerSettings/printerSettings3.bin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1.xml"/><Relationship Id="rId2" Type="http://schemas.openxmlformats.org/officeDocument/2006/relationships/vmlDrawing" Target="../drawings/vmlDrawing32.vml"/><Relationship Id="rId1" Type="http://schemas.openxmlformats.org/officeDocument/2006/relationships/printerSettings" Target="../printerSettings/printerSettings4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comments" Target="../comments32.xml"/><Relationship Id="rId1" Type="http://schemas.openxmlformats.org/officeDocument/2006/relationships/vmlDrawing" Target="../drawings/vmlDrawing33.v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3.xml"/><Relationship Id="rId2" Type="http://schemas.openxmlformats.org/officeDocument/2006/relationships/vmlDrawing" Target="../drawings/vmlDrawing34.vml"/><Relationship Id="rId1" Type="http://schemas.openxmlformats.org/officeDocument/2006/relationships/printerSettings" Target="../printerSettings/printerSettings5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comments" Target="../comments34.xml"/><Relationship Id="rId1" Type="http://schemas.openxmlformats.org/officeDocument/2006/relationships/vmlDrawing" Target="../drawings/vmlDrawing35.vml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comments" Target="../comments35.xml"/><Relationship Id="rId1" Type="http://schemas.openxmlformats.org/officeDocument/2006/relationships/vmlDrawing" Target="../drawings/vmlDrawing36.v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comments" Target="../comments36.xml"/><Relationship Id="rId1" Type="http://schemas.openxmlformats.org/officeDocument/2006/relationships/vmlDrawing" Target="../drawings/vmlDrawing37.v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comments" Target="../comments37.xml"/><Relationship Id="rId1" Type="http://schemas.openxmlformats.org/officeDocument/2006/relationships/vmlDrawing" Target="../drawings/vmlDrawing38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O71"/>
  <sheetViews>
    <sheetView zoomScaleNormal="100" workbookViewId="0"/>
  </sheetViews>
  <sheetFormatPr defaultRowHeight="13.5" x14ac:dyDescent="0.15"/>
  <cols>
    <col min="2" max="2" width="16.875" style="4" bestFit="1" customWidth="1"/>
    <col min="3" max="3" width="60.875" customWidth="1"/>
  </cols>
  <sheetData>
    <row r="2" spans="2:10" x14ac:dyDescent="0.15">
      <c r="B2" s="1" t="s">
        <v>3</v>
      </c>
      <c r="C2" s="3" t="s">
        <v>5246</v>
      </c>
      <c r="I2" s="2" t="s">
        <v>8</v>
      </c>
    </row>
    <row r="3" spans="2:10" x14ac:dyDescent="0.15">
      <c r="J3" t="s">
        <v>15</v>
      </c>
    </row>
    <row r="4" spans="2:10" x14ac:dyDescent="0.15">
      <c r="B4" s="1" t="s">
        <v>0</v>
      </c>
      <c r="C4" s="6" t="s">
        <v>776</v>
      </c>
      <c r="J4" t="s">
        <v>16</v>
      </c>
    </row>
    <row r="5" spans="2:10" x14ac:dyDescent="0.15">
      <c r="J5" t="s">
        <v>7</v>
      </c>
    </row>
    <row r="6" spans="2:10" x14ac:dyDescent="0.15">
      <c r="B6" s="1" t="s">
        <v>46</v>
      </c>
      <c r="C6" s="71" t="s">
        <v>807</v>
      </c>
      <c r="J6" t="s">
        <v>14</v>
      </c>
    </row>
    <row r="8" spans="2:10" x14ac:dyDescent="0.15">
      <c r="I8" s="2" t="s">
        <v>5</v>
      </c>
    </row>
    <row r="9" spans="2:10" x14ac:dyDescent="0.15">
      <c r="J9" t="s">
        <v>6</v>
      </c>
    </row>
    <row r="18" spans="2:15" x14ac:dyDescent="0.15">
      <c r="B18" s="5" t="s">
        <v>1</v>
      </c>
      <c r="C18" t="s">
        <v>22</v>
      </c>
    </row>
    <row r="19" spans="2:15" x14ac:dyDescent="0.15">
      <c r="C19" t="s">
        <v>21</v>
      </c>
    </row>
    <row r="21" spans="2:15" x14ac:dyDescent="0.15">
      <c r="B21" s="5" t="s">
        <v>60</v>
      </c>
      <c r="C21" t="s">
        <v>62</v>
      </c>
    </row>
    <row r="22" spans="2:15" x14ac:dyDescent="0.15">
      <c r="B22" s="4" t="s">
        <v>61</v>
      </c>
      <c r="C22" t="s">
        <v>63</v>
      </c>
      <c r="M22" s="2" t="s">
        <v>58</v>
      </c>
      <c r="O22" t="s">
        <v>47</v>
      </c>
    </row>
    <row r="24" spans="2:15" x14ac:dyDescent="0.15">
      <c r="B24" s="5" t="s">
        <v>48</v>
      </c>
      <c r="C24" t="s">
        <v>50</v>
      </c>
    </row>
    <row r="25" spans="2:15" x14ac:dyDescent="0.15">
      <c r="B25" s="4" t="s">
        <v>49</v>
      </c>
      <c r="C25" t="s">
        <v>51</v>
      </c>
    </row>
    <row r="26" spans="2:15" x14ac:dyDescent="0.15">
      <c r="C26" t="s">
        <v>69</v>
      </c>
    </row>
    <row r="27" spans="2:15" x14ac:dyDescent="0.15">
      <c r="C27" t="s">
        <v>65</v>
      </c>
    </row>
    <row r="28" spans="2:15" x14ac:dyDescent="0.15">
      <c r="C28" t="s">
        <v>59</v>
      </c>
    </row>
    <row r="30" spans="2:15" x14ac:dyDescent="0.15">
      <c r="B30" s="5" t="s">
        <v>10</v>
      </c>
      <c r="C30" t="s">
        <v>35</v>
      </c>
    </row>
    <row r="31" spans="2:15" x14ac:dyDescent="0.15">
      <c r="B31" s="5"/>
      <c r="C31" t="s">
        <v>23</v>
      </c>
    </row>
    <row r="32" spans="2:15" x14ac:dyDescent="0.15">
      <c r="B32" s="5"/>
      <c r="C32" t="s">
        <v>24</v>
      </c>
    </row>
    <row r="33" spans="2:10" x14ac:dyDescent="0.15">
      <c r="B33" s="5"/>
      <c r="C33" t="s">
        <v>25</v>
      </c>
    </row>
    <row r="34" spans="2:10" x14ac:dyDescent="0.15">
      <c r="B34" s="5"/>
      <c r="C34" t="s">
        <v>52</v>
      </c>
      <c r="J34">
        <f>18+16</f>
        <v>34</v>
      </c>
    </row>
    <row r="35" spans="2:10" x14ac:dyDescent="0.15">
      <c r="C35" t="s">
        <v>53</v>
      </c>
    </row>
    <row r="36" spans="2:10" x14ac:dyDescent="0.15">
      <c r="C36" t="s">
        <v>54</v>
      </c>
    </row>
    <row r="38" spans="2:10" x14ac:dyDescent="0.15">
      <c r="B38" s="5" t="s">
        <v>36</v>
      </c>
      <c r="C38" t="s">
        <v>42</v>
      </c>
    </row>
    <row r="39" spans="2:10" x14ac:dyDescent="0.15">
      <c r="B39" s="4" t="s">
        <v>37</v>
      </c>
      <c r="C39" t="s">
        <v>43</v>
      </c>
    </row>
    <row r="40" spans="2:10" x14ac:dyDescent="0.15">
      <c r="C40" t="s">
        <v>44</v>
      </c>
    </row>
    <row r="41" spans="2:10" x14ac:dyDescent="0.15">
      <c r="C41" t="s">
        <v>38</v>
      </c>
    </row>
    <row r="42" spans="2:10" x14ac:dyDescent="0.15">
      <c r="C42" t="s">
        <v>56</v>
      </c>
    </row>
    <row r="44" spans="2:10" x14ac:dyDescent="0.15">
      <c r="B44" s="5" t="s">
        <v>55</v>
      </c>
      <c r="C44" t="s">
        <v>39</v>
      </c>
    </row>
    <row r="45" spans="2:10" x14ac:dyDescent="0.15">
      <c r="B45" s="4" t="s">
        <v>37</v>
      </c>
      <c r="C45" t="s">
        <v>40</v>
      </c>
    </row>
    <row r="47" spans="2:10" x14ac:dyDescent="0.15">
      <c r="B47" s="5" t="s">
        <v>64</v>
      </c>
      <c r="C47" t="s">
        <v>41</v>
      </c>
    </row>
    <row r="48" spans="2:10" x14ac:dyDescent="0.15">
      <c r="C48" t="s">
        <v>11</v>
      </c>
    </row>
    <row r="49" spans="2:3" x14ac:dyDescent="0.15">
      <c r="C49" t="s">
        <v>57</v>
      </c>
    </row>
    <row r="50" spans="2:3" x14ac:dyDescent="0.15">
      <c r="C50" t="s">
        <v>12</v>
      </c>
    </row>
    <row r="51" spans="2:3" x14ac:dyDescent="0.15">
      <c r="C51" t="s">
        <v>13</v>
      </c>
    </row>
    <row r="52" spans="2:3" x14ac:dyDescent="0.15">
      <c r="C52" t="s">
        <v>4</v>
      </c>
    </row>
    <row r="53" spans="2:3" x14ac:dyDescent="0.15">
      <c r="C53" t="s">
        <v>9</v>
      </c>
    </row>
    <row r="55" spans="2:3" x14ac:dyDescent="0.15">
      <c r="B55" s="5" t="s">
        <v>2</v>
      </c>
      <c r="C55" t="s">
        <v>26</v>
      </c>
    </row>
    <row r="56" spans="2:3" x14ac:dyDescent="0.15">
      <c r="C56" t="s">
        <v>27</v>
      </c>
    </row>
    <row r="57" spans="2:3" x14ac:dyDescent="0.15">
      <c r="C57" t="s">
        <v>28</v>
      </c>
    </row>
    <row r="58" spans="2:3" x14ac:dyDescent="0.15">
      <c r="C58" t="s">
        <v>29</v>
      </c>
    </row>
    <row r="59" spans="2:3" x14ac:dyDescent="0.15">
      <c r="C59" t="s">
        <v>30</v>
      </c>
    </row>
    <row r="60" spans="2:3" x14ac:dyDescent="0.15">
      <c r="C60" t="s">
        <v>31</v>
      </c>
    </row>
    <row r="61" spans="2:3" x14ac:dyDescent="0.15">
      <c r="C61" t="s">
        <v>45</v>
      </c>
    </row>
    <row r="63" spans="2:3" x14ac:dyDescent="0.15">
      <c r="B63" s="5" t="s">
        <v>17</v>
      </c>
      <c r="C63" t="s">
        <v>32</v>
      </c>
    </row>
    <row r="64" spans="2:3" x14ac:dyDescent="0.15">
      <c r="C64" t="s">
        <v>33</v>
      </c>
    </row>
    <row r="65" spans="2:4" x14ac:dyDescent="0.15">
      <c r="C65" t="s">
        <v>19</v>
      </c>
    </row>
    <row r="66" spans="2:4" x14ac:dyDescent="0.15">
      <c r="C66" t="s">
        <v>18</v>
      </c>
    </row>
    <row r="67" spans="2:4" x14ac:dyDescent="0.15">
      <c r="C67" t="s">
        <v>20</v>
      </c>
    </row>
    <row r="68" spans="2:4" x14ac:dyDescent="0.15">
      <c r="C68" t="s">
        <v>34</v>
      </c>
    </row>
    <row r="70" spans="2:4" x14ac:dyDescent="0.15">
      <c r="B70" s="5" t="s">
        <v>67</v>
      </c>
      <c r="C70" t="str">
        <f>IFERROR(IFERROR(_xlfn.FILTERXML(_xlfn.WEBSERVICE("http://fanyi.youdao.com/translate?&amp;i="&amp;LEFT(D70,FIND("$",D70)-1)&amp;"&amp;doctype=xml&amp;version"),"//translation")&amp;" "&amp;MID(D70,FIND("$",D70),FIND("}",D70)-FIND("$",D70)+1)&amp;" "&amp;_xlfn.FILTERXML(_xlfn.WEBSERVICE("http://fanyi.youdao.com/translate?&amp;i="&amp;RIGHT(D70,LEN(D70)-FIND("}",D70))&amp;"&amp;doctype=xml&amp;version"),"//translation"),_xlfn.FILTERXML(_xlfn.WEBSERVICE("http://fanyi.youdao.com/translate?&amp;i="&amp;D70&amp;"&amp;doctype=xml&amp;version"),"//translation")),"")</f>
        <v/>
      </c>
      <c r="D70" t="s">
        <v>68</v>
      </c>
    </row>
    <row r="71" spans="2:4" x14ac:dyDescent="0.15">
      <c r="C71" t="s">
        <v>66</v>
      </c>
    </row>
  </sheetData>
  <phoneticPr fontId="11" type="noConversion"/>
  <dataValidations count="1">
    <dataValidation type="list" allowBlank="1" showInputMessage="1" showErrorMessage="1" sqref="C4" xr:uid="{00000000-0002-0000-0000-000000000000}">
      <formula1>"精确合表,检测模式"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0" r:id="rId4" name="CommandButton1">
          <controlPr defaultSize="0" autoLine="0" autoPict="0" r:id="rId5">
            <anchor moveWithCells="1">
              <from>
                <xdr:col>15</xdr:col>
                <xdr:colOff>600075</xdr:colOff>
                <xdr:row>2</xdr:row>
                <xdr:rowOff>0</xdr:rowOff>
              </from>
              <to>
                <xdr:col>20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030" r:id="rId4" name="CommandButton1"/>
      </mc:Fallback>
    </mc:AlternateContent>
    <mc:AlternateContent xmlns:mc="http://schemas.openxmlformats.org/markup-compatibility/2006">
      <mc:Choice Requires="x14">
        <control shapeId="1025" r:id="rId6" name="Button 1">
          <controlPr defaultSize="0" print="0" autoFill="0" autoPict="0" macro="[0]!普通合表">
            <anchor moveWithCells="1" sizeWithCells="1">
              <from>
                <xdr:col>1</xdr:col>
                <xdr:colOff>0</xdr:colOff>
                <xdr:row>7</xdr:row>
                <xdr:rowOff>0</xdr:rowOff>
              </from>
              <to>
                <xdr:col>3</xdr:col>
                <xdr:colOff>0</xdr:colOff>
                <xdr:row>11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" r:id="rId7" name="Button 4">
          <controlPr defaultSize="0" print="0" autoFill="0" autoPict="0" macro="[0]!清除所有底色">
            <anchor moveWithCells="1" sizeWithCells="1">
              <from>
                <xdr:col>4</xdr:col>
                <xdr:colOff>0</xdr:colOff>
                <xdr:row>7</xdr:row>
                <xdr:rowOff>9525</xdr:rowOff>
              </from>
              <to>
                <xdr:col>7</xdr:col>
                <xdr:colOff>9525</xdr:colOff>
                <xdr:row>15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9" r:id="rId8" name="Button 5">
          <controlPr defaultSize="0" print="0" autoFill="0" autoPict="0" macro="[0]!选择目录">
            <anchor moveWithCells="1" sizeWithCells="1">
              <from>
                <xdr:col>4</xdr:col>
                <xdr:colOff>0</xdr:colOff>
                <xdr:row>1</xdr:row>
                <xdr:rowOff>0</xdr:rowOff>
              </from>
              <to>
                <xdr:col>7</xdr:col>
                <xdr:colOff>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9" name="Button 7">
          <controlPr defaultSize="0" print="0" autoFill="0" autoPict="0" macro="[0]!批量删除批注">
            <anchor moveWithCells="1" sizeWithCells="1">
              <from>
                <xdr:col>12</xdr:col>
                <xdr:colOff>9525</xdr:colOff>
                <xdr:row>23</xdr:row>
                <xdr:rowOff>0</xdr:rowOff>
              </from>
              <to>
                <xdr:col>17</xdr:col>
                <xdr:colOff>9525</xdr:colOff>
                <xdr:row>28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10" name="Button 8">
          <controlPr defaultSize="0" print="0" autoFill="0" autoPict="0" macro="[0]!强制合表">
            <anchor moveWithCells="1" sizeWithCells="1">
              <from>
                <xdr:col>1</xdr:col>
                <xdr:colOff>9525</xdr:colOff>
                <xdr:row>12</xdr:row>
                <xdr:rowOff>9525</xdr:rowOff>
              </from>
              <to>
                <xdr:col>3</xdr:col>
                <xdr:colOff>0</xdr:colOff>
                <xdr:row>16</xdr:row>
                <xdr:rowOff>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C178E2-5290-4CEA-A2C1-8E9A08CBF8F9}">
  <sheetPr>
    <tabColor theme="7"/>
  </sheetPr>
  <dimension ref="A1:Z22"/>
  <sheetViews>
    <sheetView tabSelected="1" topLeftCell="G1" workbookViewId="0">
      <selection activeCell="K8" sqref="K8"/>
    </sheetView>
  </sheetViews>
  <sheetFormatPr defaultColWidth="9" defaultRowHeight="13.5" x14ac:dyDescent="0.15"/>
  <cols>
    <col min="1" max="1" width="9" style="87"/>
    <col min="2" max="2" width="49.875" style="87" customWidth="1"/>
    <col min="3" max="3" width="17.625" style="87" customWidth="1"/>
    <col min="4" max="4" width="54.375" style="87" customWidth="1"/>
    <col min="5" max="5" width="28.875" style="87" customWidth="1"/>
    <col min="6" max="6" width="40.75" style="87" customWidth="1"/>
    <col min="7" max="7" width="52.25" style="87" customWidth="1"/>
    <col min="8" max="8" width="29.75" style="87" customWidth="1"/>
    <col min="9" max="9" width="24.125" style="87" customWidth="1"/>
    <col min="10" max="10" width="14.5" style="87" customWidth="1"/>
    <col min="11" max="11" width="78.375" style="87" customWidth="1"/>
    <col min="12" max="12" width="5.125" style="87" customWidth="1"/>
    <col min="13" max="13" width="3.75" style="87" customWidth="1"/>
    <col min="14" max="14" width="30.875" style="87" customWidth="1"/>
    <col min="15" max="15" width="11.75" style="87" customWidth="1"/>
    <col min="16" max="16" width="121.5" style="87" customWidth="1"/>
    <col min="17" max="17" width="19" style="87" customWidth="1"/>
    <col min="18" max="18" width="44.25" style="87" customWidth="1"/>
    <col min="19" max="19" width="9" style="87"/>
    <col min="20" max="21" width="13.875" style="87" bestFit="1" customWidth="1"/>
    <col min="22" max="22" width="9" style="87"/>
    <col min="23" max="23" width="14.5" style="87" customWidth="1"/>
    <col min="24" max="16384" width="9" style="87"/>
  </cols>
  <sheetData>
    <row r="1" spans="1:26" x14ac:dyDescent="0.15">
      <c r="A1" s="86" t="s">
        <v>3326</v>
      </c>
      <c r="B1" s="7" t="s">
        <v>3327</v>
      </c>
      <c r="D1" s="7"/>
      <c r="E1" s="7"/>
      <c r="F1" s="7"/>
      <c r="P1" s="7"/>
      <c r="V1" s="88"/>
      <c r="W1" s="88"/>
      <c r="Y1" s="7"/>
      <c r="Z1" s="7"/>
    </row>
    <row r="2" spans="1:26" x14ac:dyDescent="0.15">
      <c r="A2" s="87" t="s">
        <v>70</v>
      </c>
      <c r="B2" s="8" t="s">
        <v>3328</v>
      </c>
      <c r="C2" s="8" t="s">
        <v>71</v>
      </c>
      <c r="D2" s="8" t="s">
        <v>3329</v>
      </c>
      <c r="E2" s="8" t="s">
        <v>3330</v>
      </c>
      <c r="F2" s="8" t="s">
        <v>3331</v>
      </c>
      <c r="G2" s="8" t="s">
        <v>3332</v>
      </c>
      <c r="H2" s="8" t="s">
        <v>3333</v>
      </c>
      <c r="I2" s="8" t="s">
        <v>71</v>
      </c>
      <c r="J2" s="8" t="s">
        <v>3334</v>
      </c>
      <c r="K2" s="8" t="s">
        <v>3335</v>
      </c>
      <c r="L2" s="8" t="s">
        <v>3336</v>
      </c>
      <c r="M2" s="8" t="s">
        <v>3337</v>
      </c>
      <c r="N2" s="8" t="s">
        <v>3338</v>
      </c>
      <c r="O2" s="8" t="s">
        <v>3339</v>
      </c>
      <c r="P2" s="8" t="s">
        <v>3340</v>
      </c>
      <c r="Q2" s="8" t="s">
        <v>3341</v>
      </c>
      <c r="R2" s="8" t="s">
        <v>3342</v>
      </c>
      <c r="S2" s="8" t="s">
        <v>3343</v>
      </c>
      <c r="T2" s="8" t="s">
        <v>3344</v>
      </c>
      <c r="U2" s="8" t="s">
        <v>3345</v>
      </c>
      <c r="V2" s="8" t="s">
        <v>3346</v>
      </c>
      <c r="W2" s="8" t="s">
        <v>3347</v>
      </c>
      <c r="X2" s="8" t="s">
        <v>3348</v>
      </c>
      <c r="Y2" s="8" t="s">
        <v>3349</v>
      </c>
      <c r="Z2" s="8" t="s">
        <v>3350</v>
      </c>
    </row>
    <row r="3" spans="1:26" x14ac:dyDescent="0.15">
      <c r="B3" s="9" t="s">
        <v>72</v>
      </c>
      <c r="C3" s="9" t="s">
        <v>73</v>
      </c>
      <c r="D3" s="9" t="s">
        <v>72</v>
      </c>
      <c r="E3" s="9" t="s">
        <v>74</v>
      </c>
      <c r="F3" s="9" t="s">
        <v>74</v>
      </c>
      <c r="G3" s="9" t="s">
        <v>74</v>
      </c>
      <c r="H3" s="9" t="s">
        <v>74</v>
      </c>
      <c r="I3" s="9" t="s">
        <v>73</v>
      </c>
      <c r="J3" s="9" t="s">
        <v>3351</v>
      </c>
      <c r="K3" s="9" t="s">
        <v>3351</v>
      </c>
      <c r="L3" s="9" t="s">
        <v>3351</v>
      </c>
      <c r="M3" s="9" t="s">
        <v>3351</v>
      </c>
      <c r="N3" s="9" t="s">
        <v>3351</v>
      </c>
      <c r="O3" s="9" t="s">
        <v>3351</v>
      </c>
      <c r="P3" s="89" t="s">
        <v>72</v>
      </c>
      <c r="Q3" s="9" t="s">
        <v>3351</v>
      </c>
      <c r="R3" s="9" t="s">
        <v>3351</v>
      </c>
      <c r="S3" s="9" t="s">
        <v>3351</v>
      </c>
      <c r="T3" s="9" t="s">
        <v>72</v>
      </c>
      <c r="U3" s="9" t="s">
        <v>72</v>
      </c>
      <c r="V3" s="9" t="s">
        <v>96</v>
      </c>
      <c r="W3" s="9" t="s">
        <v>96</v>
      </c>
      <c r="X3" s="9" t="s">
        <v>96</v>
      </c>
      <c r="Y3" s="9" t="s">
        <v>96</v>
      </c>
      <c r="Z3" s="9" t="s">
        <v>3351</v>
      </c>
    </row>
    <row r="4" spans="1:26" x14ac:dyDescent="0.15">
      <c r="B4" s="10" t="s">
        <v>740</v>
      </c>
      <c r="C4" s="10" t="s">
        <v>73</v>
      </c>
      <c r="D4" s="10" t="s">
        <v>75</v>
      </c>
      <c r="E4" s="10" t="s">
        <v>75</v>
      </c>
      <c r="F4" s="10" t="s">
        <v>75</v>
      </c>
      <c r="G4" s="10" t="s">
        <v>75</v>
      </c>
      <c r="H4" s="10" t="s">
        <v>75</v>
      </c>
      <c r="I4" s="10" t="s">
        <v>73</v>
      </c>
      <c r="J4" s="10" t="s">
        <v>75</v>
      </c>
      <c r="K4" s="90" t="s">
        <v>3352</v>
      </c>
      <c r="L4" s="10" t="s">
        <v>75</v>
      </c>
      <c r="M4" s="10" t="s">
        <v>3352</v>
      </c>
      <c r="N4" s="90" t="s">
        <v>3352</v>
      </c>
      <c r="O4" s="90" t="s">
        <v>3352</v>
      </c>
      <c r="P4" s="90" t="s">
        <v>3352</v>
      </c>
      <c r="Q4" s="10" t="s">
        <v>76</v>
      </c>
      <c r="R4" s="10" t="s">
        <v>75</v>
      </c>
      <c r="S4" s="10" t="s">
        <v>76</v>
      </c>
      <c r="T4" s="10" t="s">
        <v>76</v>
      </c>
      <c r="U4" s="10" t="s">
        <v>76</v>
      </c>
      <c r="V4" s="10" t="s">
        <v>76</v>
      </c>
      <c r="W4" s="10" t="s">
        <v>76</v>
      </c>
      <c r="X4" s="10" t="s">
        <v>75</v>
      </c>
      <c r="Y4" s="10" t="s">
        <v>75</v>
      </c>
      <c r="Z4" s="10" t="s">
        <v>741</v>
      </c>
    </row>
    <row r="5" spans="1:26" x14ac:dyDescent="0.15">
      <c r="B5" s="9" t="s">
        <v>3353</v>
      </c>
      <c r="C5" s="9" t="s">
        <v>3354</v>
      </c>
      <c r="D5" s="9" t="s">
        <v>3355</v>
      </c>
      <c r="E5" s="9" t="s">
        <v>3356</v>
      </c>
      <c r="F5" s="9" t="s">
        <v>3357</v>
      </c>
      <c r="G5" s="9" t="s">
        <v>3358</v>
      </c>
      <c r="H5" s="9" t="s">
        <v>3359</v>
      </c>
      <c r="I5" s="9" t="s">
        <v>3360</v>
      </c>
      <c r="J5" s="9" t="s">
        <v>3361</v>
      </c>
      <c r="K5" s="9" t="s">
        <v>3362</v>
      </c>
      <c r="L5" s="9" t="s">
        <v>3363</v>
      </c>
      <c r="M5" s="9" t="s">
        <v>3364</v>
      </c>
      <c r="N5" s="9" t="s">
        <v>3365</v>
      </c>
      <c r="O5" s="9" t="s">
        <v>3366</v>
      </c>
      <c r="P5" s="89" t="s">
        <v>3367</v>
      </c>
      <c r="Q5" s="9" t="s">
        <v>3368</v>
      </c>
      <c r="R5" s="9" t="s">
        <v>3369</v>
      </c>
      <c r="S5" s="9" t="s">
        <v>3370</v>
      </c>
      <c r="T5" s="9" t="s">
        <v>3371</v>
      </c>
      <c r="U5" s="9" t="s">
        <v>3372</v>
      </c>
      <c r="V5" s="9" t="s">
        <v>3373</v>
      </c>
      <c r="W5" s="9" t="s">
        <v>3374</v>
      </c>
      <c r="X5" s="9" t="s">
        <v>3375</v>
      </c>
      <c r="Y5" s="9" t="s">
        <v>3376</v>
      </c>
      <c r="Z5" s="9" t="s">
        <v>3377</v>
      </c>
    </row>
    <row r="6" spans="1:26" x14ac:dyDescent="0.15">
      <c r="B6" s="10" t="s">
        <v>77</v>
      </c>
      <c r="C6" s="10"/>
      <c r="D6" s="10"/>
      <c r="E6" s="10"/>
      <c r="F6" s="10"/>
      <c r="G6" s="10" t="s">
        <v>3378</v>
      </c>
      <c r="H6" s="10" t="s">
        <v>78</v>
      </c>
      <c r="I6" s="10"/>
      <c r="J6" s="10"/>
      <c r="K6" s="10"/>
      <c r="L6" s="10"/>
      <c r="M6" s="10"/>
      <c r="N6" s="10"/>
      <c r="O6" s="10"/>
      <c r="P6" s="10"/>
      <c r="Q6" s="10"/>
      <c r="R6" s="10" t="s">
        <v>3379</v>
      </c>
      <c r="S6" s="10"/>
      <c r="T6" s="10"/>
      <c r="U6" s="10"/>
      <c r="V6" s="10"/>
      <c r="W6" s="10"/>
      <c r="X6" s="10"/>
      <c r="Y6" s="10" t="s">
        <v>3380</v>
      </c>
      <c r="Z6" s="10"/>
    </row>
    <row r="7" spans="1:26" s="73" customFormat="1" ht="13.5" customHeight="1" x14ac:dyDescent="0.15">
      <c r="B7" s="119" t="s">
        <v>3381</v>
      </c>
      <c r="C7" s="120" t="s">
        <v>3382</v>
      </c>
      <c r="D7" s="119" t="s">
        <v>3383</v>
      </c>
      <c r="E7" s="73" t="s">
        <v>3384</v>
      </c>
      <c r="G7" s="73" t="s">
        <v>3385</v>
      </c>
      <c r="J7" s="119" t="s">
        <v>3386</v>
      </c>
      <c r="K7" s="167" t="s">
        <v>5247</v>
      </c>
      <c r="L7" s="119"/>
      <c r="M7" s="119"/>
      <c r="N7" s="119"/>
      <c r="O7" s="119" t="s">
        <v>742</v>
      </c>
      <c r="P7" s="121" t="s">
        <v>3387</v>
      </c>
      <c r="Q7" s="119">
        <v>0</v>
      </c>
      <c r="S7" s="119">
        <v>0</v>
      </c>
      <c r="T7" s="119">
        <v>1</v>
      </c>
      <c r="U7" s="119">
        <v>1</v>
      </c>
      <c r="V7" s="119">
        <v>2</v>
      </c>
      <c r="W7" s="119">
        <v>1112</v>
      </c>
      <c r="X7" s="119"/>
      <c r="Y7" s="119"/>
    </row>
    <row r="8" spans="1:26" s="73" customFormat="1" ht="13.5" customHeight="1" x14ac:dyDescent="0.15">
      <c r="B8" s="73" t="s">
        <v>3388</v>
      </c>
      <c r="C8" s="122" t="s">
        <v>3389</v>
      </c>
      <c r="D8" s="19" t="s">
        <v>3390</v>
      </c>
      <c r="E8" s="19" t="s">
        <v>3391</v>
      </c>
      <c r="G8" s="122" t="s">
        <v>3392</v>
      </c>
      <c r="J8" s="119" t="s">
        <v>3386</v>
      </c>
      <c r="K8" s="167" t="s">
        <v>5247</v>
      </c>
      <c r="O8" s="73" t="s">
        <v>742</v>
      </c>
      <c r="P8" s="73" t="s">
        <v>3393</v>
      </c>
      <c r="Q8" s="73">
        <v>0</v>
      </c>
      <c r="S8" s="73">
        <v>0</v>
      </c>
      <c r="T8" s="73">
        <v>1</v>
      </c>
      <c r="U8" s="73">
        <v>0</v>
      </c>
      <c r="V8" s="73">
        <v>0</v>
      </c>
      <c r="W8" s="119">
        <v>1113</v>
      </c>
    </row>
    <row r="9" spans="1:26" s="73" customFormat="1" ht="13.5" customHeight="1" x14ac:dyDescent="0.15">
      <c r="B9" s="73" t="s">
        <v>3394</v>
      </c>
      <c r="C9" s="73" t="s">
        <v>3395</v>
      </c>
      <c r="D9" s="73" t="s">
        <v>3396</v>
      </c>
      <c r="E9" s="73" t="s">
        <v>3397</v>
      </c>
      <c r="G9" s="73" t="s">
        <v>3398</v>
      </c>
      <c r="J9" s="119" t="s">
        <v>3386</v>
      </c>
      <c r="K9" s="167" t="s">
        <v>5247</v>
      </c>
      <c r="O9" s="73" t="s">
        <v>742</v>
      </c>
      <c r="P9" s="73" t="s">
        <v>3399</v>
      </c>
      <c r="Q9" s="73">
        <v>1</v>
      </c>
      <c r="R9" s="73" t="s">
        <v>3400</v>
      </c>
      <c r="S9" s="73">
        <v>1</v>
      </c>
      <c r="T9" s="73">
        <v>1</v>
      </c>
      <c r="U9" s="73">
        <v>0</v>
      </c>
      <c r="V9" s="73">
        <v>0</v>
      </c>
      <c r="W9" s="119">
        <v>1114</v>
      </c>
    </row>
    <row r="10" spans="1:26" s="73" customFormat="1" x14ac:dyDescent="0.15">
      <c r="B10" s="73" t="s">
        <v>3401</v>
      </c>
      <c r="C10" s="73" t="s">
        <v>3402</v>
      </c>
      <c r="D10" s="73" t="s">
        <v>3396</v>
      </c>
      <c r="E10" s="73" t="s">
        <v>3403</v>
      </c>
      <c r="G10" s="73" t="s">
        <v>3404</v>
      </c>
      <c r="J10" s="119" t="s">
        <v>3386</v>
      </c>
      <c r="K10" s="167" t="s">
        <v>5247</v>
      </c>
      <c r="O10" s="73" t="s">
        <v>742</v>
      </c>
      <c r="P10" s="73" t="s">
        <v>3405</v>
      </c>
      <c r="Q10" s="73">
        <v>1</v>
      </c>
      <c r="R10" s="73" t="s">
        <v>3406</v>
      </c>
      <c r="S10" s="73">
        <v>0</v>
      </c>
      <c r="T10" s="73">
        <v>1</v>
      </c>
      <c r="U10" s="73">
        <v>0</v>
      </c>
      <c r="V10" s="73">
        <v>0</v>
      </c>
      <c r="W10" s="119">
        <v>1115</v>
      </c>
    </row>
    <row r="11" spans="1:26" s="73" customFormat="1" ht="13.5" customHeight="1" x14ac:dyDescent="0.15">
      <c r="B11" s="119" t="s">
        <v>3407</v>
      </c>
      <c r="D11" s="73" t="s">
        <v>79</v>
      </c>
      <c r="E11" s="73" t="s">
        <v>3408</v>
      </c>
      <c r="J11" s="119" t="s">
        <v>3386</v>
      </c>
      <c r="K11" s="167" t="s">
        <v>5247</v>
      </c>
      <c r="L11" s="119"/>
      <c r="M11" s="119"/>
      <c r="N11" s="119"/>
      <c r="O11" s="119" t="s">
        <v>742</v>
      </c>
      <c r="P11" s="119" t="s">
        <v>3409</v>
      </c>
      <c r="Q11" s="119">
        <v>0</v>
      </c>
      <c r="R11" s="119"/>
      <c r="S11" s="119">
        <v>0</v>
      </c>
      <c r="T11" s="119">
        <v>1</v>
      </c>
      <c r="U11" s="119">
        <v>1</v>
      </c>
      <c r="V11" s="119">
        <v>0</v>
      </c>
      <c r="W11" s="119">
        <v>1116</v>
      </c>
      <c r="X11" s="119"/>
      <c r="Y11" s="119"/>
    </row>
    <row r="12" spans="1:26" s="73" customFormat="1" ht="13.5" customHeight="1" x14ac:dyDescent="0.15">
      <c r="B12" s="119" t="s">
        <v>3410</v>
      </c>
      <c r="D12" s="73" t="s">
        <v>79</v>
      </c>
      <c r="E12" s="73" t="s">
        <v>3408</v>
      </c>
      <c r="J12" s="119" t="s">
        <v>3386</v>
      </c>
      <c r="K12" s="167" t="s">
        <v>5247</v>
      </c>
      <c r="L12" s="119"/>
      <c r="M12" s="119"/>
      <c r="N12" s="119"/>
      <c r="O12" s="119" t="s">
        <v>742</v>
      </c>
      <c r="P12" s="119" t="s">
        <v>3411</v>
      </c>
      <c r="Q12" s="119">
        <v>0</v>
      </c>
      <c r="R12" s="119"/>
      <c r="S12" s="119">
        <v>0</v>
      </c>
      <c r="T12" s="119">
        <v>1</v>
      </c>
      <c r="U12" s="119">
        <v>1</v>
      </c>
      <c r="V12" s="119">
        <v>0</v>
      </c>
      <c r="W12" s="119">
        <v>1117</v>
      </c>
      <c r="X12" s="119"/>
      <c r="Y12" s="119"/>
    </row>
    <row r="13" spans="1:26" s="73" customFormat="1" ht="13.5" customHeight="1" x14ac:dyDescent="0.15">
      <c r="B13" s="119" t="s">
        <v>3412</v>
      </c>
      <c r="D13" s="73" t="s">
        <v>79</v>
      </c>
      <c r="E13" s="73" t="s">
        <v>3408</v>
      </c>
      <c r="J13" s="119" t="s">
        <v>3386</v>
      </c>
      <c r="K13" s="167" t="s">
        <v>5247</v>
      </c>
      <c r="L13" s="119"/>
      <c r="M13" s="119"/>
      <c r="N13" s="119"/>
      <c r="O13" s="119" t="s">
        <v>742</v>
      </c>
      <c r="P13" s="119" t="s">
        <v>3413</v>
      </c>
      <c r="Q13" s="119">
        <v>0</v>
      </c>
      <c r="R13" s="119"/>
      <c r="S13" s="119">
        <v>0</v>
      </c>
      <c r="T13" s="119">
        <v>1</v>
      </c>
      <c r="U13" s="119">
        <v>1</v>
      </c>
      <c r="V13" s="119">
        <v>0</v>
      </c>
      <c r="W13" s="119">
        <v>1118</v>
      </c>
      <c r="X13" s="119"/>
      <c r="Y13" s="119"/>
    </row>
    <row r="14" spans="1:26" s="73" customFormat="1" ht="13.5" customHeight="1" x14ac:dyDescent="0.15">
      <c r="B14" s="119" t="s">
        <v>3414</v>
      </c>
      <c r="C14" s="73" t="s">
        <v>3415</v>
      </c>
      <c r="D14" s="73" t="s">
        <v>3416</v>
      </c>
      <c r="E14" s="73" t="s">
        <v>3417</v>
      </c>
      <c r="F14" s="73" t="s">
        <v>3418</v>
      </c>
      <c r="G14" s="73" t="s">
        <v>3419</v>
      </c>
      <c r="H14" s="73" t="s">
        <v>3420</v>
      </c>
      <c r="I14" s="73" t="s">
        <v>3421</v>
      </c>
      <c r="J14" s="119" t="s">
        <v>3386</v>
      </c>
      <c r="K14" s="167" t="s">
        <v>5247</v>
      </c>
      <c r="L14" s="119"/>
      <c r="M14" s="119"/>
      <c r="N14" s="119"/>
      <c r="O14" s="119" t="s">
        <v>742</v>
      </c>
      <c r="P14" s="119" t="s">
        <v>3422</v>
      </c>
      <c r="Q14" s="119">
        <v>1</v>
      </c>
      <c r="R14" s="119" t="s">
        <v>3423</v>
      </c>
      <c r="S14" s="119">
        <v>0</v>
      </c>
      <c r="T14" s="119">
        <v>1</v>
      </c>
      <c r="U14" s="119">
        <v>1</v>
      </c>
      <c r="V14" s="119">
        <v>1</v>
      </c>
      <c r="W14" s="119">
        <v>1120</v>
      </c>
      <c r="X14" s="119"/>
      <c r="Y14" s="119"/>
    </row>
    <row r="15" spans="1:26" s="73" customFormat="1" ht="13.5" customHeight="1" x14ac:dyDescent="0.15">
      <c r="B15" s="73" t="s">
        <v>3424</v>
      </c>
      <c r="C15" s="73" t="s">
        <v>3425</v>
      </c>
      <c r="D15" s="73" t="s">
        <v>3426</v>
      </c>
      <c r="E15" s="19" t="s">
        <v>3427</v>
      </c>
      <c r="G15" s="73" t="s">
        <v>3428</v>
      </c>
      <c r="H15" s="73" t="s">
        <v>3429</v>
      </c>
      <c r="I15" s="122" t="s">
        <v>3430</v>
      </c>
      <c r="J15" s="73" t="s">
        <v>3386</v>
      </c>
      <c r="K15" s="167" t="s">
        <v>5248</v>
      </c>
      <c r="O15" s="73" t="s">
        <v>742</v>
      </c>
      <c r="P15" s="12" t="s">
        <v>3431</v>
      </c>
      <c r="Q15" s="73">
        <v>1</v>
      </c>
      <c r="S15" s="73">
        <v>0</v>
      </c>
      <c r="T15" s="73">
        <v>1</v>
      </c>
      <c r="U15" s="123">
        <v>1</v>
      </c>
      <c r="V15" s="73">
        <v>0</v>
      </c>
      <c r="W15" s="73">
        <v>1121</v>
      </c>
    </row>
    <row r="16" spans="1:26" s="73" customFormat="1" x14ac:dyDescent="0.15">
      <c r="K16" s="73" t="s">
        <v>3432</v>
      </c>
    </row>
    <row r="17" s="73" customFormat="1" x14ac:dyDescent="0.15"/>
    <row r="18" s="73" customFormat="1" x14ac:dyDescent="0.15"/>
    <row r="19" s="73" customFormat="1" x14ac:dyDescent="0.15"/>
    <row r="20" s="73" customFormat="1" x14ac:dyDescent="0.15"/>
    <row r="21" s="73" customFormat="1" x14ac:dyDescent="0.15"/>
    <row r="22" s="73" customFormat="1" ht="9" customHeight="1" x14ac:dyDescent="0.15"/>
  </sheetData>
  <phoneticPr fontId="11" type="noConversion"/>
  <conditionalFormatting sqref="G8">
    <cfRule type="duplicateValues" dxfId="54" priority="1"/>
    <cfRule type="duplicateValues" dxfId="53" priority="2"/>
  </conditionalFormatting>
  <conditionalFormatting sqref="G8">
    <cfRule type="duplicateValues" dxfId="52" priority="3"/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16FE4C-55FE-4CA5-83E6-9EE8BD7F6D2B}">
  <sheetPr>
    <tabColor theme="2"/>
  </sheetPr>
  <dimension ref="A1:D287"/>
  <sheetViews>
    <sheetView topLeftCell="A31" workbookViewId="0"/>
  </sheetViews>
  <sheetFormatPr defaultRowHeight="13.5" x14ac:dyDescent="0.15"/>
  <cols>
    <col min="2" max="2" width="48.25" bestFit="1" customWidth="1"/>
  </cols>
  <sheetData>
    <row r="1" spans="1:4" x14ac:dyDescent="0.15">
      <c r="A1" s="91" t="s">
        <v>3433</v>
      </c>
      <c r="B1" s="91" t="s">
        <v>3434</v>
      </c>
      <c r="C1" s="91"/>
      <c r="D1" s="91"/>
    </row>
    <row r="2" spans="1:4" x14ac:dyDescent="0.15">
      <c r="A2" s="91" t="s">
        <v>70</v>
      </c>
      <c r="B2" s="92" t="s">
        <v>123</v>
      </c>
      <c r="C2" s="92" t="s">
        <v>3130</v>
      </c>
      <c r="D2" s="92" t="s">
        <v>71</v>
      </c>
    </row>
    <row r="3" spans="1:4" x14ac:dyDescent="0.15">
      <c r="A3" s="91"/>
      <c r="B3" s="93" t="s">
        <v>74</v>
      </c>
      <c r="C3" s="93" t="s">
        <v>74</v>
      </c>
      <c r="D3" s="93" t="s">
        <v>73</v>
      </c>
    </row>
    <row r="4" spans="1:4" x14ac:dyDescent="0.15">
      <c r="A4" s="91"/>
      <c r="B4" s="94" t="s">
        <v>75</v>
      </c>
      <c r="C4" s="94" t="s">
        <v>75</v>
      </c>
      <c r="D4" s="94" t="s">
        <v>73</v>
      </c>
    </row>
    <row r="5" spans="1:4" x14ac:dyDescent="0.15">
      <c r="A5" s="91"/>
      <c r="B5" s="93" t="s">
        <v>81</v>
      </c>
      <c r="C5" s="93" t="s">
        <v>3133</v>
      </c>
      <c r="D5" s="93" t="s">
        <v>3134</v>
      </c>
    </row>
    <row r="6" spans="1:4" x14ac:dyDescent="0.15">
      <c r="A6" s="91"/>
      <c r="B6" s="94" t="s">
        <v>77</v>
      </c>
      <c r="C6" s="94"/>
      <c r="D6" s="94"/>
    </row>
    <row r="7" spans="1:4" s="11" customFormat="1" x14ac:dyDescent="0.15">
      <c r="A7" s="115"/>
      <c r="B7" s="124" t="s">
        <v>3385</v>
      </c>
      <c r="C7" s="125" t="s">
        <v>3435</v>
      </c>
      <c r="D7" s="124" t="s">
        <v>3436</v>
      </c>
    </row>
    <row r="8" spans="1:4" s="11" customFormat="1" x14ac:dyDescent="0.15">
      <c r="A8" s="115"/>
      <c r="B8" s="124" t="s">
        <v>3392</v>
      </c>
      <c r="C8" s="125" t="s">
        <v>3389</v>
      </c>
      <c r="D8" s="124" t="s">
        <v>3437</v>
      </c>
    </row>
    <row r="9" spans="1:4" s="11" customFormat="1" x14ac:dyDescent="0.15">
      <c r="A9" s="124"/>
      <c r="B9" s="124" t="s">
        <v>3398</v>
      </c>
      <c r="C9" s="124" t="s">
        <v>3395</v>
      </c>
      <c r="D9" s="124" t="s">
        <v>3438</v>
      </c>
    </row>
    <row r="10" spans="1:4" s="11" customFormat="1" x14ac:dyDescent="0.15">
      <c r="A10" s="124"/>
      <c r="B10" s="124" t="s">
        <v>3404</v>
      </c>
      <c r="C10" s="124" t="s">
        <v>3402</v>
      </c>
      <c r="D10" s="124" t="s">
        <v>3439</v>
      </c>
    </row>
    <row r="11" spans="1:4" s="11" customFormat="1" x14ac:dyDescent="0.15">
      <c r="A11" s="124"/>
      <c r="B11" s="126" t="s">
        <v>3428</v>
      </c>
      <c r="C11" s="125" t="s">
        <v>3440</v>
      </c>
      <c r="D11" s="124" t="s">
        <v>3441</v>
      </c>
    </row>
    <row r="12" spans="1:4" s="11" customFormat="1" x14ac:dyDescent="0.15">
      <c r="A12" s="124"/>
      <c r="B12" s="126" t="s">
        <v>3419</v>
      </c>
      <c r="C12" s="125" t="s">
        <v>3442</v>
      </c>
      <c r="D12" s="124" t="s">
        <v>3443</v>
      </c>
    </row>
    <row r="13" spans="1:4" s="11" customFormat="1" x14ac:dyDescent="0.15">
      <c r="A13" s="124"/>
      <c r="B13" s="126" t="s">
        <v>3444</v>
      </c>
      <c r="C13" s="124" t="s">
        <v>3445</v>
      </c>
      <c r="D13" s="124" t="s">
        <v>3437</v>
      </c>
    </row>
    <row r="14" spans="1:4" s="11" customFormat="1" x14ac:dyDescent="0.15">
      <c r="A14" s="124"/>
      <c r="B14" s="126" t="s">
        <v>3446</v>
      </c>
      <c r="C14" s="124" t="s">
        <v>3447</v>
      </c>
      <c r="D14" s="124" t="s">
        <v>3437</v>
      </c>
    </row>
    <row r="15" spans="1:4" s="11" customFormat="1" x14ac:dyDescent="0.15">
      <c r="A15" s="124"/>
      <c r="B15" s="124" t="s">
        <v>3448</v>
      </c>
      <c r="C15" s="124" t="s">
        <v>3449</v>
      </c>
      <c r="D15" s="124" t="s">
        <v>3450</v>
      </c>
    </row>
    <row r="16" spans="1:4" s="11" customFormat="1" ht="148.5" x14ac:dyDescent="0.15">
      <c r="A16" s="124"/>
      <c r="B16" s="124" t="s">
        <v>3451</v>
      </c>
      <c r="C16" s="127" t="s">
        <v>3452</v>
      </c>
      <c r="D16" s="124" t="s">
        <v>3453</v>
      </c>
    </row>
    <row r="17" spans="1:4" s="11" customFormat="1" x14ac:dyDescent="0.15">
      <c r="A17" s="124"/>
      <c r="B17" s="124" t="s">
        <v>3454</v>
      </c>
      <c r="C17" s="124" t="s">
        <v>3455</v>
      </c>
      <c r="D17" s="124" t="s">
        <v>3456</v>
      </c>
    </row>
    <row r="18" spans="1:4" s="11" customFormat="1" ht="148.5" x14ac:dyDescent="0.15">
      <c r="A18" s="124"/>
      <c r="B18" s="124" t="s">
        <v>3457</v>
      </c>
      <c r="C18" s="127" t="s">
        <v>3458</v>
      </c>
      <c r="D18" s="124" t="s">
        <v>3459</v>
      </c>
    </row>
    <row r="19" spans="1:4" s="11" customFormat="1" x14ac:dyDescent="0.15">
      <c r="A19" s="124"/>
      <c r="B19" s="124" t="s">
        <v>3460</v>
      </c>
      <c r="C19" s="124" t="s">
        <v>3461</v>
      </c>
      <c r="D19" s="124" t="s">
        <v>3462</v>
      </c>
    </row>
    <row r="20" spans="1:4" s="11" customFormat="1" x14ac:dyDescent="0.15">
      <c r="A20" s="124"/>
      <c r="B20" s="124" t="s">
        <v>3463</v>
      </c>
      <c r="C20" s="124" t="s">
        <v>3464</v>
      </c>
      <c r="D20" s="124" t="s">
        <v>3465</v>
      </c>
    </row>
    <row r="21" spans="1:4" s="11" customFormat="1" ht="148.5" x14ac:dyDescent="0.15">
      <c r="A21" s="124"/>
      <c r="B21" s="124" t="s">
        <v>3466</v>
      </c>
      <c r="C21" s="127" t="s">
        <v>3467</v>
      </c>
      <c r="D21" s="124" t="s">
        <v>3468</v>
      </c>
    </row>
    <row r="22" spans="1:4" s="11" customFormat="1" x14ac:dyDescent="0.15">
      <c r="A22" s="124"/>
      <c r="B22" s="124" t="s">
        <v>3469</v>
      </c>
      <c r="C22" s="124" t="s">
        <v>3470</v>
      </c>
      <c r="D22" s="124" t="s">
        <v>3471</v>
      </c>
    </row>
    <row r="23" spans="1:4" s="11" customFormat="1" x14ac:dyDescent="0.15">
      <c r="A23" s="124"/>
      <c r="B23" s="124" t="s">
        <v>3472</v>
      </c>
      <c r="C23" s="124" t="s">
        <v>3473</v>
      </c>
      <c r="D23" s="124" t="s">
        <v>3474</v>
      </c>
    </row>
    <row r="24" spans="1:4" s="11" customFormat="1" x14ac:dyDescent="0.15">
      <c r="A24" s="124"/>
      <c r="B24" s="128" t="s">
        <v>3475</v>
      </c>
      <c r="C24" s="128" t="s">
        <v>3476</v>
      </c>
      <c r="D24" s="124" t="s">
        <v>3477</v>
      </c>
    </row>
    <row r="25" spans="1:4" s="11" customFormat="1" x14ac:dyDescent="0.15">
      <c r="A25" s="124"/>
      <c r="B25" s="124" t="s">
        <v>3478</v>
      </c>
      <c r="C25" s="124" t="s">
        <v>3479</v>
      </c>
      <c r="D25" s="124" t="s">
        <v>3480</v>
      </c>
    </row>
    <row r="26" spans="1:4" s="11" customFormat="1" x14ac:dyDescent="0.15">
      <c r="A26" s="124"/>
      <c r="B26" s="124" t="s">
        <v>3481</v>
      </c>
      <c r="C26" s="116" t="s">
        <v>3482</v>
      </c>
      <c r="D26" s="124" t="s">
        <v>3483</v>
      </c>
    </row>
    <row r="27" spans="1:4" s="11" customFormat="1" x14ac:dyDescent="0.15">
      <c r="A27" s="124"/>
      <c r="B27" s="124" t="s">
        <v>3484</v>
      </c>
      <c r="C27" s="124" t="s">
        <v>3485</v>
      </c>
      <c r="D27" s="124" t="s">
        <v>3486</v>
      </c>
    </row>
    <row r="28" spans="1:4" s="11" customFormat="1" x14ac:dyDescent="0.15">
      <c r="A28" s="116"/>
      <c r="B28" s="116" t="s">
        <v>3487</v>
      </c>
      <c r="C28" s="116" t="s">
        <v>3488</v>
      </c>
      <c r="D28" s="116" t="s">
        <v>3489</v>
      </c>
    </row>
    <row r="29" spans="1:4" s="11" customFormat="1" x14ac:dyDescent="0.15">
      <c r="A29" s="124"/>
      <c r="B29" s="124" t="s">
        <v>3490</v>
      </c>
      <c r="C29" s="124" t="s">
        <v>3491</v>
      </c>
      <c r="D29" s="124" t="s">
        <v>3489</v>
      </c>
    </row>
    <row r="30" spans="1:4" s="11" customFormat="1" x14ac:dyDescent="0.15">
      <c r="A30" s="124"/>
      <c r="B30" s="124" t="s">
        <v>3492</v>
      </c>
      <c r="C30" s="124" t="s">
        <v>3493</v>
      </c>
      <c r="D30" s="124" t="s">
        <v>3494</v>
      </c>
    </row>
    <row r="31" spans="1:4" s="11" customFormat="1" x14ac:dyDescent="0.15">
      <c r="A31" s="124"/>
      <c r="B31" s="124" t="s">
        <v>3495</v>
      </c>
      <c r="C31" s="124" t="s">
        <v>3496</v>
      </c>
      <c r="D31" s="124" t="s">
        <v>3494</v>
      </c>
    </row>
    <row r="32" spans="1:4" s="11" customFormat="1" x14ac:dyDescent="0.15">
      <c r="A32" s="124"/>
      <c r="B32" s="124" t="s">
        <v>3497</v>
      </c>
      <c r="C32" s="124" t="s">
        <v>3498</v>
      </c>
      <c r="D32" s="124" t="s">
        <v>3494</v>
      </c>
    </row>
    <row r="33" spans="1:4" s="11" customFormat="1" x14ac:dyDescent="0.15">
      <c r="A33" s="124"/>
      <c r="B33" s="124" t="s">
        <v>3499</v>
      </c>
      <c r="C33" s="124" t="s">
        <v>3500</v>
      </c>
      <c r="D33" s="124" t="s">
        <v>3494</v>
      </c>
    </row>
    <row r="34" spans="1:4" s="11" customFormat="1" x14ac:dyDescent="0.15">
      <c r="A34" s="124"/>
      <c r="B34" s="124" t="s">
        <v>3501</v>
      </c>
      <c r="C34" s="124" t="s">
        <v>3502</v>
      </c>
      <c r="D34" s="124" t="s">
        <v>3494</v>
      </c>
    </row>
    <row r="35" spans="1:4" s="11" customFormat="1" x14ac:dyDescent="0.15">
      <c r="A35" s="124"/>
      <c r="B35" s="124" t="s">
        <v>3503</v>
      </c>
      <c r="C35" s="124" t="s">
        <v>3504</v>
      </c>
      <c r="D35" s="124" t="s">
        <v>3505</v>
      </c>
    </row>
    <row r="36" spans="1:4" s="11" customFormat="1" x14ac:dyDescent="0.15">
      <c r="A36" s="124"/>
      <c r="B36" s="124" t="s">
        <v>3506</v>
      </c>
      <c r="C36" s="124" t="s">
        <v>3507</v>
      </c>
      <c r="D36" s="124" t="s">
        <v>3505</v>
      </c>
    </row>
    <row r="37" spans="1:4" s="11" customFormat="1" x14ac:dyDescent="0.15">
      <c r="A37" s="125"/>
      <c r="B37" s="125" t="s">
        <v>1171</v>
      </c>
      <c r="C37" s="125" t="s">
        <v>3508</v>
      </c>
      <c r="D37" s="125" t="s">
        <v>3509</v>
      </c>
    </row>
    <row r="38" spans="1:4" s="11" customFormat="1" x14ac:dyDescent="0.15">
      <c r="A38" s="115"/>
      <c r="B38" s="125" t="s">
        <v>1172</v>
      </c>
      <c r="C38" s="115" t="s">
        <v>3510</v>
      </c>
      <c r="D38" s="115" t="s">
        <v>3511</v>
      </c>
    </row>
    <row r="39" spans="1:4" s="11" customFormat="1" x14ac:dyDescent="0.15">
      <c r="A39" s="125"/>
      <c r="B39" s="125" t="s">
        <v>3512</v>
      </c>
      <c r="C39" s="125" t="s">
        <v>3513</v>
      </c>
      <c r="D39" s="125" t="s">
        <v>3514</v>
      </c>
    </row>
    <row r="40" spans="1:4" s="11" customFormat="1" x14ac:dyDescent="0.15">
      <c r="A40" s="125"/>
      <c r="B40" s="125" t="s">
        <v>3515</v>
      </c>
      <c r="C40" s="125" t="s">
        <v>3516</v>
      </c>
      <c r="D40" s="125" t="s">
        <v>3514</v>
      </c>
    </row>
    <row r="41" spans="1:4" s="11" customFormat="1" x14ac:dyDescent="0.15">
      <c r="A41" s="125"/>
      <c r="B41" s="125" t="s">
        <v>3517</v>
      </c>
      <c r="C41" s="125" t="s">
        <v>3518</v>
      </c>
      <c r="D41" s="125" t="s">
        <v>3514</v>
      </c>
    </row>
    <row r="42" spans="1:4" s="11" customFormat="1" x14ac:dyDescent="0.15">
      <c r="A42" s="125"/>
      <c r="B42" s="125" t="s">
        <v>3519</v>
      </c>
      <c r="C42" s="125" t="s">
        <v>3520</v>
      </c>
      <c r="D42" s="125" t="s">
        <v>3514</v>
      </c>
    </row>
    <row r="43" spans="1:4" s="11" customFormat="1" x14ac:dyDescent="0.15">
      <c r="A43" s="125"/>
      <c r="B43" s="125" t="s">
        <v>3521</v>
      </c>
      <c r="C43" s="125" t="s">
        <v>3522</v>
      </c>
      <c r="D43" s="125" t="s">
        <v>3514</v>
      </c>
    </row>
    <row r="44" spans="1:4" s="11" customFormat="1" x14ac:dyDescent="0.15">
      <c r="A44" s="125"/>
      <c r="B44" s="125" t="s">
        <v>3523</v>
      </c>
      <c r="C44" s="125" t="s">
        <v>3524</v>
      </c>
      <c r="D44" s="125" t="s">
        <v>3514</v>
      </c>
    </row>
    <row r="45" spans="1:4" s="11" customFormat="1" x14ac:dyDescent="0.15">
      <c r="A45" s="124"/>
      <c r="B45" s="124" t="s">
        <v>3525</v>
      </c>
      <c r="C45" s="124" t="s">
        <v>3526</v>
      </c>
      <c r="D45" s="124" t="s">
        <v>3527</v>
      </c>
    </row>
    <row r="46" spans="1:4" s="11" customFormat="1" x14ac:dyDescent="0.15">
      <c r="A46" s="124"/>
      <c r="B46" s="124" t="s">
        <v>3528</v>
      </c>
      <c r="C46" s="124" t="s">
        <v>3529</v>
      </c>
      <c r="D46" s="124" t="s">
        <v>3530</v>
      </c>
    </row>
    <row r="47" spans="1:4" s="11" customFormat="1" x14ac:dyDescent="0.15">
      <c r="A47" s="124"/>
      <c r="B47" s="124" t="s">
        <v>3531</v>
      </c>
      <c r="C47" s="124" t="s">
        <v>3532</v>
      </c>
      <c r="D47" s="124" t="s">
        <v>3530</v>
      </c>
    </row>
    <row r="48" spans="1:4" s="11" customFormat="1" x14ac:dyDescent="0.15">
      <c r="A48" s="124"/>
      <c r="B48" s="124" t="s">
        <v>3533</v>
      </c>
      <c r="C48" s="124" t="s">
        <v>3534</v>
      </c>
      <c r="D48" s="124" t="s">
        <v>3530</v>
      </c>
    </row>
    <row r="49" spans="1:4" s="11" customFormat="1" x14ac:dyDescent="0.15">
      <c r="A49" s="124"/>
      <c r="B49" s="124" t="s">
        <v>3535</v>
      </c>
      <c r="C49" s="124" t="s">
        <v>3536</v>
      </c>
      <c r="D49" s="124" t="s">
        <v>3530</v>
      </c>
    </row>
    <row r="50" spans="1:4" s="11" customFormat="1" x14ac:dyDescent="0.15">
      <c r="A50" s="124"/>
      <c r="B50" s="124" t="s">
        <v>3537</v>
      </c>
      <c r="C50" s="124" t="s">
        <v>3538</v>
      </c>
      <c r="D50" s="124" t="s">
        <v>3539</v>
      </c>
    </row>
    <row r="51" spans="1:4" s="11" customFormat="1" x14ac:dyDescent="0.15">
      <c r="A51" s="124"/>
      <c r="B51" s="124" t="s">
        <v>3540</v>
      </c>
      <c r="C51" s="124" t="s">
        <v>3541</v>
      </c>
      <c r="D51" s="124" t="s">
        <v>3539</v>
      </c>
    </row>
    <row r="52" spans="1:4" s="11" customFormat="1" x14ac:dyDescent="0.15">
      <c r="A52" s="124"/>
      <c r="B52" s="124" t="s">
        <v>3542</v>
      </c>
      <c r="C52" s="124" t="s">
        <v>3543</v>
      </c>
      <c r="D52" s="124" t="s">
        <v>3544</v>
      </c>
    </row>
    <row r="53" spans="1:4" s="11" customFormat="1" x14ac:dyDescent="0.15">
      <c r="A53" s="124"/>
      <c r="B53" s="124" t="s">
        <v>3545</v>
      </c>
      <c r="C53" s="124" t="s">
        <v>3546</v>
      </c>
      <c r="D53" s="124" t="s">
        <v>3544</v>
      </c>
    </row>
    <row r="54" spans="1:4" s="11" customFormat="1" x14ac:dyDescent="0.15">
      <c r="A54" s="124"/>
      <c r="B54" s="124" t="s">
        <v>3547</v>
      </c>
      <c r="C54" s="124" t="s">
        <v>3548</v>
      </c>
      <c r="D54" s="124" t="s">
        <v>3544</v>
      </c>
    </row>
    <row r="55" spans="1:4" s="11" customFormat="1" x14ac:dyDescent="0.15">
      <c r="A55" s="124"/>
      <c r="B55" s="124" t="s">
        <v>3549</v>
      </c>
      <c r="C55" s="124" t="s">
        <v>3550</v>
      </c>
      <c r="D55" s="124" t="s">
        <v>3551</v>
      </c>
    </row>
    <row r="56" spans="1:4" s="11" customFormat="1" x14ac:dyDescent="0.15">
      <c r="A56" s="124"/>
      <c r="B56" s="124" t="s">
        <v>3552</v>
      </c>
      <c r="C56" s="124" t="s">
        <v>3553</v>
      </c>
      <c r="D56" s="124" t="s">
        <v>3554</v>
      </c>
    </row>
    <row r="57" spans="1:4" s="11" customFormat="1" x14ac:dyDescent="0.15">
      <c r="A57" s="124"/>
      <c r="B57" s="124" t="s">
        <v>3555</v>
      </c>
      <c r="C57" s="124" t="s">
        <v>3556</v>
      </c>
      <c r="D57" s="124" t="s">
        <v>3554</v>
      </c>
    </row>
    <row r="58" spans="1:4" s="11" customFormat="1" x14ac:dyDescent="0.15">
      <c r="A58" s="124"/>
      <c r="B58" s="124" t="s">
        <v>3557</v>
      </c>
      <c r="C58" s="124" t="s">
        <v>3558</v>
      </c>
      <c r="D58" s="124" t="s">
        <v>3554</v>
      </c>
    </row>
    <row r="59" spans="1:4" s="11" customFormat="1" x14ac:dyDescent="0.15">
      <c r="A59" s="124"/>
      <c r="B59" s="124" t="s">
        <v>3559</v>
      </c>
      <c r="C59" s="124" t="s">
        <v>3560</v>
      </c>
      <c r="D59" s="124" t="s">
        <v>3561</v>
      </c>
    </row>
    <row r="60" spans="1:4" s="11" customFormat="1" x14ac:dyDescent="0.15">
      <c r="A60" s="124"/>
      <c r="B60" s="124" t="s">
        <v>3562</v>
      </c>
      <c r="C60" s="124" t="s">
        <v>3563</v>
      </c>
      <c r="D60" s="124" t="s">
        <v>3561</v>
      </c>
    </row>
    <row r="61" spans="1:4" s="11" customFormat="1" x14ac:dyDescent="0.15">
      <c r="A61" s="124"/>
      <c r="B61" s="124" t="s">
        <v>3564</v>
      </c>
      <c r="C61" s="124" t="s">
        <v>3565</v>
      </c>
      <c r="D61" s="124" t="s">
        <v>3561</v>
      </c>
    </row>
    <row r="62" spans="1:4" s="11" customFormat="1" x14ac:dyDescent="0.15">
      <c r="A62" s="124"/>
      <c r="B62" s="124" t="s">
        <v>3566</v>
      </c>
      <c r="C62" s="124" t="s">
        <v>3567</v>
      </c>
      <c r="D62" s="124" t="s">
        <v>3561</v>
      </c>
    </row>
    <row r="63" spans="1:4" s="11" customFormat="1" x14ac:dyDescent="0.15">
      <c r="A63" s="124"/>
      <c r="B63" s="124" t="s">
        <v>3568</v>
      </c>
      <c r="C63" s="124" t="s">
        <v>3569</v>
      </c>
      <c r="D63" s="124" t="s">
        <v>3561</v>
      </c>
    </row>
    <row r="64" spans="1:4" s="11" customFormat="1" x14ac:dyDescent="0.15">
      <c r="A64" s="124"/>
      <c r="B64" s="124" t="s">
        <v>3570</v>
      </c>
      <c r="C64" s="124" t="s">
        <v>3571</v>
      </c>
      <c r="D64" s="124" t="s">
        <v>3561</v>
      </c>
    </row>
    <row r="65" spans="1:4" s="11" customFormat="1" x14ac:dyDescent="0.15">
      <c r="A65" s="124"/>
      <c r="B65" s="124" t="s">
        <v>3572</v>
      </c>
      <c r="C65" s="124" t="s">
        <v>3573</v>
      </c>
      <c r="D65" s="124" t="s">
        <v>3561</v>
      </c>
    </row>
    <row r="66" spans="1:4" s="11" customFormat="1" x14ac:dyDescent="0.15">
      <c r="A66" s="124"/>
      <c r="B66" s="124" t="s">
        <v>3574</v>
      </c>
      <c r="C66" s="124" t="s">
        <v>3575</v>
      </c>
      <c r="D66" s="124" t="s">
        <v>3561</v>
      </c>
    </row>
    <row r="67" spans="1:4" s="11" customFormat="1" x14ac:dyDescent="0.15">
      <c r="A67" s="124"/>
      <c r="B67" s="124" t="s">
        <v>3576</v>
      </c>
      <c r="C67" s="124" t="s">
        <v>3577</v>
      </c>
      <c r="D67" s="124" t="s">
        <v>3561</v>
      </c>
    </row>
    <row r="68" spans="1:4" s="11" customFormat="1" x14ac:dyDescent="0.15">
      <c r="A68" s="124"/>
      <c r="B68" s="124" t="s">
        <v>3578</v>
      </c>
      <c r="C68" s="166" t="s">
        <v>5245</v>
      </c>
      <c r="D68" s="124" t="s">
        <v>3561</v>
      </c>
    </row>
    <row r="69" spans="1:4" s="11" customFormat="1" x14ac:dyDescent="0.15">
      <c r="A69" s="129"/>
      <c r="B69" s="129" t="s">
        <v>3579</v>
      </c>
      <c r="C69" s="129" t="s">
        <v>3580</v>
      </c>
      <c r="D69" s="129" t="s">
        <v>3327</v>
      </c>
    </row>
    <row r="70" spans="1:4" s="11" customFormat="1" x14ac:dyDescent="0.15">
      <c r="A70" s="129"/>
      <c r="B70" s="129" t="s">
        <v>3581</v>
      </c>
      <c r="C70" s="129" t="s">
        <v>3582</v>
      </c>
      <c r="D70" s="129" t="s">
        <v>3327</v>
      </c>
    </row>
    <row r="71" spans="1:4" s="11" customFormat="1" x14ac:dyDescent="0.15">
      <c r="A71" s="129"/>
      <c r="B71" s="129" t="s">
        <v>3583</v>
      </c>
      <c r="C71" s="129" t="s">
        <v>241</v>
      </c>
      <c r="D71" s="129" t="s">
        <v>3327</v>
      </c>
    </row>
    <row r="72" spans="1:4" s="11" customFormat="1" x14ac:dyDescent="0.15">
      <c r="A72" s="129"/>
      <c r="B72" s="129" t="s">
        <v>3584</v>
      </c>
      <c r="C72" s="129" t="s">
        <v>3585</v>
      </c>
      <c r="D72" s="129" t="s">
        <v>3327</v>
      </c>
    </row>
    <row r="73" spans="1:4" s="11" customFormat="1" x14ac:dyDescent="0.15">
      <c r="A73" s="129"/>
      <c r="B73" s="129" t="s">
        <v>3586</v>
      </c>
      <c r="C73" s="129" t="s">
        <v>3587</v>
      </c>
      <c r="D73" s="129" t="s">
        <v>3327</v>
      </c>
    </row>
    <row r="74" spans="1:4" s="11" customFormat="1" x14ac:dyDescent="0.15">
      <c r="A74" s="129"/>
      <c r="B74" s="129" t="s">
        <v>3588</v>
      </c>
      <c r="C74" s="129" t="s">
        <v>3589</v>
      </c>
      <c r="D74" s="129" t="s">
        <v>3327</v>
      </c>
    </row>
    <row r="75" spans="1:4" s="11" customFormat="1" x14ac:dyDescent="0.15">
      <c r="A75" s="129"/>
      <c r="B75" s="129" t="s">
        <v>3590</v>
      </c>
      <c r="C75" s="129" t="s">
        <v>3591</v>
      </c>
      <c r="D75" s="129" t="s">
        <v>3327</v>
      </c>
    </row>
    <row r="76" spans="1:4" s="11" customFormat="1" x14ac:dyDescent="0.15">
      <c r="A76" s="124"/>
      <c r="B76" s="124" t="s">
        <v>1173</v>
      </c>
      <c r="C76" s="130" t="s">
        <v>3592</v>
      </c>
      <c r="D76" s="124" t="s">
        <v>3593</v>
      </c>
    </row>
    <row r="77" spans="1:4" s="11" customFormat="1" x14ac:dyDescent="0.15">
      <c r="A77" s="124"/>
      <c r="B77" s="124" t="s">
        <v>1174</v>
      </c>
      <c r="C77" s="130" t="s">
        <v>3594</v>
      </c>
      <c r="D77" s="124" t="s">
        <v>3593</v>
      </c>
    </row>
    <row r="78" spans="1:4" s="11" customFormat="1" x14ac:dyDescent="0.15">
      <c r="A78" s="124"/>
      <c r="B78" s="124" t="s">
        <v>1175</v>
      </c>
      <c r="C78" s="130" t="s">
        <v>3595</v>
      </c>
      <c r="D78" s="124" t="s">
        <v>3593</v>
      </c>
    </row>
    <row r="79" spans="1:4" s="11" customFormat="1" x14ac:dyDescent="0.15">
      <c r="A79" s="124"/>
      <c r="B79" s="124" t="s">
        <v>1176</v>
      </c>
      <c r="C79" s="130" t="s">
        <v>3596</v>
      </c>
      <c r="D79" s="124" t="s">
        <v>3593</v>
      </c>
    </row>
    <row r="80" spans="1:4" s="11" customFormat="1" x14ac:dyDescent="0.15">
      <c r="A80" s="124"/>
      <c r="B80" s="124" t="s">
        <v>1177</v>
      </c>
      <c r="C80" s="130" t="s">
        <v>3597</v>
      </c>
      <c r="D80" s="124" t="s">
        <v>3593</v>
      </c>
    </row>
    <row r="81" spans="1:4" s="11" customFormat="1" x14ac:dyDescent="0.15">
      <c r="A81" s="124"/>
      <c r="B81" s="124" t="s">
        <v>1178</v>
      </c>
      <c r="C81" s="130" t="s">
        <v>3598</v>
      </c>
      <c r="D81" s="124" t="s">
        <v>3593</v>
      </c>
    </row>
    <row r="82" spans="1:4" s="11" customFormat="1" x14ac:dyDescent="0.15">
      <c r="A82" s="124"/>
      <c r="B82" s="124" t="s">
        <v>1179</v>
      </c>
      <c r="C82" s="124" t="s">
        <v>3599</v>
      </c>
      <c r="D82" s="124" t="s">
        <v>3600</v>
      </c>
    </row>
    <row r="83" spans="1:4" s="11" customFormat="1" x14ac:dyDescent="0.15">
      <c r="A83" s="124"/>
      <c r="B83" s="124" t="s">
        <v>1180</v>
      </c>
      <c r="C83" s="124" t="s">
        <v>3601</v>
      </c>
      <c r="D83" s="124" t="s">
        <v>3600</v>
      </c>
    </row>
    <row r="84" spans="1:4" s="11" customFormat="1" x14ac:dyDescent="0.15">
      <c r="A84" s="124"/>
      <c r="B84" s="124" t="s">
        <v>1181</v>
      </c>
      <c r="C84" s="124" t="s">
        <v>3602</v>
      </c>
      <c r="D84" s="124" t="s">
        <v>3600</v>
      </c>
    </row>
    <row r="85" spans="1:4" s="11" customFormat="1" x14ac:dyDescent="0.15">
      <c r="A85" s="124"/>
      <c r="B85" s="124" t="s">
        <v>1182</v>
      </c>
      <c r="C85" s="124" t="s">
        <v>3603</v>
      </c>
      <c r="D85" s="124" t="s">
        <v>3600</v>
      </c>
    </row>
    <row r="86" spans="1:4" s="11" customFormat="1" x14ac:dyDescent="0.15">
      <c r="A86" s="124"/>
      <c r="B86" s="124" t="s">
        <v>1183</v>
      </c>
      <c r="C86" s="124" t="s">
        <v>3604</v>
      </c>
      <c r="D86" s="124" t="s">
        <v>3600</v>
      </c>
    </row>
    <row r="87" spans="1:4" s="11" customFormat="1" x14ac:dyDescent="0.15">
      <c r="A87" s="124"/>
      <c r="B87" s="124" t="s">
        <v>1184</v>
      </c>
      <c r="C87" s="124" t="s">
        <v>3605</v>
      </c>
      <c r="D87" s="124" t="s">
        <v>3600</v>
      </c>
    </row>
    <row r="88" spans="1:4" s="11" customFormat="1" x14ac:dyDescent="0.15">
      <c r="A88" s="124"/>
      <c r="B88" s="124" t="s">
        <v>3606</v>
      </c>
      <c r="C88" s="124" t="s">
        <v>3607</v>
      </c>
      <c r="D88" s="124" t="s">
        <v>3327</v>
      </c>
    </row>
    <row r="89" spans="1:4" s="11" customFormat="1" x14ac:dyDescent="0.15">
      <c r="A89" s="124"/>
      <c r="B89" s="124" t="s">
        <v>3608</v>
      </c>
      <c r="C89" s="124" t="s">
        <v>3609</v>
      </c>
      <c r="D89" s="124" t="s">
        <v>3327</v>
      </c>
    </row>
    <row r="90" spans="1:4" s="11" customFormat="1" x14ac:dyDescent="0.15">
      <c r="A90" s="124"/>
      <c r="B90" s="124" t="s">
        <v>3610</v>
      </c>
      <c r="C90" s="124" t="s">
        <v>3611</v>
      </c>
      <c r="D90" s="124" t="s">
        <v>3612</v>
      </c>
    </row>
    <row r="91" spans="1:4" s="11" customFormat="1" x14ac:dyDescent="0.15">
      <c r="A91" s="124"/>
      <c r="B91" s="124" t="s">
        <v>3613</v>
      </c>
      <c r="C91" s="124" t="s">
        <v>3614</v>
      </c>
      <c r="D91" s="124" t="s">
        <v>3612</v>
      </c>
    </row>
    <row r="92" spans="1:4" s="11" customFormat="1" x14ac:dyDescent="0.15">
      <c r="A92" s="124"/>
      <c r="B92" s="124" t="s">
        <v>3615</v>
      </c>
      <c r="C92" s="124" t="s">
        <v>3616</v>
      </c>
      <c r="D92" s="124" t="s">
        <v>3612</v>
      </c>
    </row>
    <row r="93" spans="1:4" s="11" customFormat="1" x14ac:dyDescent="0.15">
      <c r="A93" s="124"/>
      <c r="B93" s="124" t="s">
        <v>3617</v>
      </c>
      <c r="C93" s="124" t="s">
        <v>3618</v>
      </c>
      <c r="D93" s="124" t="s">
        <v>3612</v>
      </c>
    </row>
    <row r="94" spans="1:4" s="11" customFormat="1" x14ac:dyDescent="0.15">
      <c r="A94" s="124"/>
      <c r="B94" s="124" t="s">
        <v>3619</v>
      </c>
      <c r="C94" s="124" t="s">
        <v>3620</v>
      </c>
      <c r="D94" s="124" t="s">
        <v>3612</v>
      </c>
    </row>
    <row r="95" spans="1:4" s="11" customFormat="1" x14ac:dyDescent="0.15">
      <c r="A95" s="124"/>
      <c r="B95" s="124" t="s">
        <v>3621</v>
      </c>
      <c r="C95" s="124" t="s">
        <v>3622</v>
      </c>
      <c r="D95" s="124" t="s">
        <v>3612</v>
      </c>
    </row>
    <row r="96" spans="1:4" s="11" customFormat="1" x14ac:dyDescent="0.15">
      <c r="A96" s="124"/>
      <c r="B96" s="124" t="s">
        <v>3623</v>
      </c>
      <c r="C96" s="124" t="s">
        <v>3624</v>
      </c>
      <c r="D96" s="124" t="s">
        <v>3612</v>
      </c>
    </row>
    <row r="97" spans="1:4" s="11" customFormat="1" x14ac:dyDescent="0.15">
      <c r="A97" s="124"/>
      <c r="B97" s="124" t="s">
        <v>3625</v>
      </c>
      <c r="C97" s="124" t="s">
        <v>3626</v>
      </c>
      <c r="D97" s="124" t="s">
        <v>3612</v>
      </c>
    </row>
    <row r="98" spans="1:4" s="11" customFormat="1" x14ac:dyDescent="0.15">
      <c r="A98" s="124"/>
      <c r="B98" s="124" t="s">
        <v>3627</v>
      </c>
      <c r="C98" s="124" t="s">
        <v>3628</v>
      </c>
      <c r="D98" s="124" t="s">
        <v>3612</v>
      </c>
    </row>
    <row r="99" spans="1:4" s="11" customFormat="1" x14ac:dyDescent="0.15">
      <c r="A99" s="124"/>
      <c r="B99" s="124" t="s">
        <v>3629</v>
      </c>
      <c r="C99" s="124" t="s">
        <v>3630</v>
      </c>
      <c r="D99" s="124" t="s">
        <v>3612</v>
      </c>
    </row>
    <row r="100" spans="1:4" s="11" customFormat="1" x14ac:dyDescent="0.15">
      <c r="A100" s="124"/>
      <c r="B100" s="124" t="s">
        <v>3631</v>
      </c>
      <c r="C100" s="124" t="s">
        <v>3632</v>
      </c>
      <c r="D100" s="124" t="s">
        <v>3612</v>
      </c>
    </row>
    <row r="101" spans="1:4" s="11" customFormat="1" x14ac:dyDescent="0.15">
      <c r="A101" s="124"/>
      <c r="B101" s="124" t="s">
        <v>3633</v>
      </c>
      <c r="C101" s="124" t="s">
        <v>3634</v>
      </c>
      <c r="D101" s="124" t="s">
        <v>3612</v>
      </c>
    </row>
    <row r="102" spans="1:4" s="11" customFormat="1" x14ac:dyDescent="0.15">
      <c r="A102" s="124"/>
      <c r="B102" s="124" t="s">
        <v>3635</v>
      </c>
      <c r="C102" s="124" t="s">
        <v>3636</v>
      </c>
      <c r="D102" s="124" t="s">
        <v>3612</v>
      </c>
    </row>
    <row r="103" spans="1:4" s="11" customFormat="1" x14ac:dyDescent="0.15">
      <c r="A103" s="124"/>
      <c r="B103" s="124" t="s">
        <v>3637</v>
      </c>
      <c r="C103" s="124" t="s">
        <v>3638</v>
      </c>
      <c r="D103" s="124" t="s">
        <v>3612</v>
      </c>
    </row>
    <row r="104" spans="1:4" s="11" customFormat="1" x14ac:dyDescent="0.15">
      <c r="A104" s="124"/>
      <c r="B104" s="124" t="s">
        <v>3639</v>
      </c>
      <c r="C104" s="124" t="s">
        <v>3640</v>
      </c>
      <c r="D104" s="124" t="s">
        <v>3612</v>
      </c>
    </row>
    <row r="105" spans="1:4" s="11" customFormat="1" x14ac:dyDescent="0.15">
      <c r="A105" s="124"/>
      <c r="B105" s="124" t="s">
        <v>1185</v>
      </c>
      <c r="C105" s="124" t="s">
        <v>143</v>
      </c>
      <c r="D105" s="124" t="s">
        <v>3612</v>
      </c>
    </row>
    <row r="106" spans="1:4" s="11" customFormat="1" x14ac:dyDescent="0.15">
      <c r="A106" s="124"/>
      <c r="B106" s="124" t="s">
        <v>1186</v>
      </c>
      <c r="C106" s="124" t="s">
        <v>140</v>
      </c>
      <c r="D106" s="124" t="s">
        <v>3612</v>
      </c>
    </row>
    <row r="107" spans="1:4" s="11" customFormat="1" x14ac:dyDescent="0.15">
      <c r="A107" s="124"/>
      <c r="B107" s="124" t="s">
        <v>1187</v>
      </c>
      <c r="C107" s="124" t="s">
        <v>137</v>
      </c>
      <c r="D107" s="124" t="s">
        <v>3612</v>
      </c>
    </row>
    <row r="108" spans="1:4" s="11" customFormat="1" x14ac:dyDescent="0.15">
      <c r="A108" s="124"/>
      <c r="B108" s="124" t="s">
        <v>1188</v>
      </c>
      <c r="C108" s="124" t="s">
        <v>134</v>
      </c>
      <c r="D108" s="124" t="s">
        <v>3612</v>
      </c>
    </row>
    <row r="109" spans="1:4" s="11" customFormat="1" x14ac:dyDescent="0.15">
      <c r="A109" s="124"/>
      <c r="B109" s="124" t="s">
        <v>1189</v>
      </c>
      <c r="C109" s="124" t="s">
        <v>131</v>
      </c>
      <c r="D109" s="124" t="s">
        <v>3612</v>
      </c>
    </row>
    <row r="110" spans="1:4" s="11" customFormat="1" x14ac:dyDescent="0.15">
      <c r="A110" s="124"/>
      <c r="B110" s="124" t="s">
        <v>1190</v>
      </c>
      <c r="C110" s="124" t="s">
        <v>128</v>
      </c>
      <c r="D110" s="124" t="s">
        <v>3612</v>
      </c>
    </row>
    <row r="111" spans="1:4" s="11" customFormat="1" x14ac:dyDescent="0.15">
      <c r="A111" s="124"/>
      <c r="B111" s="124" t="s">
        <v>1191</v>
      </c>
      <c r="C111" s="124" t="s">
        <v>125</v>
      </c>
      <c r="D111" s="124" t="s">
        <v>3612</v>
      </c>
    </row>
    <row r="112" spans="1:4" s="11" customFormat="1" x14ac:dyDescent="0.15">
      <c r="A112" s="124"/>
      <c r="B112" s="124" t="s">
        <v>1192</v>
      </c>
      <c r="C112" s="124" t="s">
        <v>754</v>
      </c>
      <c r="D112" s="124" t="s">
        <v>3612</v>
      </c>
    </row>
    <row r="113" spans="1:4" s="11" customFormat="1" x14ac:dyDescent="0.15">
      <c r="A113" s="124"/>
      <c r="B113" s="124" t="s">
        <v>1193</v>
      </c>
      <c r="C113" s="124" t="s">
        <v>755</v>
      </c>
      <c r="D113" s="124" t="s">
        <v>3612</v>
      </c>
    </row>
    <row r="114" spans="1:4" s="11" customFormat="1" x14ac:dyDescent="0.15">
      <c r="A114" s="124"/>
      <c r="B114" s="124" t="s">
        <v>1194</v>
      </c>
      <c r="C114" s="124" t="s">
        <v>756</v>
      </c>
      <c r="D114" s="124" t="s">
        <v>3612</v>
      </c>
    </row>
    <row r="115" spans="1:4" s="11" customFormat="1" x14ac:dyDescent="0.15">
      <c r="A115" s="124"/>
      <c r="B115" s="124" t="s">
        <v>3641</v>
      </c>
      <c r="C115" s="124" t="s">
        <v>3642</v>
      </c>
      <c r="D115" s="124" t="s">
        <v>3612</v>
      </c>
    </row>
    <row r="116" spans="1:4" s="11" customFormat="1" x14ac:dyDescent="0.15">
      <c r="A116" s="124"/>
      <c r="B116" s="124" t="s">
        <v>3643</v>
      </c>
      <c r="C116" s="124" t="s">
        <v>3611</v>
      </c>
      <c r="D116" s="124" t="s">
        <v>3612</v>
      </c>
    </row>
    <row r="117" spans="1:4" s="11" customFormat="1" x14ac:dyDescent="0.15">
      <c r="A117" s="124"/>
      <c r="B117" s="124" t="s">
        <v>3644</v>
      </c>
      <c r="C117" s="124" t="s">
        <v>3614</v>
      </c>
      <c r="D117" s="124" t="s">
        <v>3612</v>
      </c>
    </row>
    <row r="118" spans="1:4" s="11" customFormat="1" x14ac:dyDescent="0.15">
      <c r="A118" s="124"/>
      <c r="B118" s="124" t="s">
        <v>3645</v>
      </c>
      <c r="C118" s="124" t="s">
        <v>3616</v>
      </c>
      <c r="D118" s="124" t="s">
        <v>3612</v>
      </c>
    </row>
    <row r="119" spans="1:4" s="11" customFormat="1" x14ac:dyDescent="0.15">
      <c r="A119" s="124"/>
      <c r="B119" s="124" t="s">
        <v>3646</v>
      </c>
      <c r="C119" s="124" t="s">
        <v>3618</v>
      </c>
      <c r="D119" s="124" t="s">
        <v>3612</v>
      </c>
    </row>
    <row r="120" spans="1:4" s="11" customFormat="1" x14ac:dyDescent="0.15">
      <c r="A120" s="124"/>
      <c r="B120" s="124" t="s">
        <v>3647</v>
      </c>
      <c r="C120" s="124" t="s">
        <v>3620</v>
      </c>
      <c r="D120" s="124" t="s">
        <v>3612</v>
      </c>
    </row>
    <row r="121" spans="1:4" s="11" customFormat="1" x14ac:dyDescent="0.15">
      <c r="A121" s="124"/>
      <c r="B121" s="124" t="s">
        <v>3648</v>
      </c>
      <c r="C121" s="124" t="s">
        <v>3622</v>
      </c>
      <c r="D121" s="124" t="s">
        <v>3612</v>
      </c>
    </row>
    <row r="122" spans="1:4" s="11" customFormat="1" x14ac:dyDescent="0.15">
      <c r="A122" s="124"/>
      <c r="B122" s="124" t="s">
        <v>3649</v>
      </c>
      <c r="C122" s="124" t="s">
        <v>3624</v>
      </c>
      <c r="D122" s="124" t="s">
        <v>3612</v>
      </c>
    </row>
    <row r="123" spans="1:4" s="11" customFormat="1" x14ac:dyDescent="0.15">
      <c r="A123" s="124"/>
      <c r="B123" s="124" t="s">
        <v>3650</v>
      </c>
      <c r="C123" s="124" t="s">
        <v>3626</v>
      </c>
      <c r="D123" s="124" t="s">
        <v>3612</v>
      </c>
    </row>
    <row r="124" spans="1:4" s="11" customFormat="1" x14ac:dyDescent="0.15">
      <c r="A124" s="124"/>
      <c r="B124" s="124" t="s">
        <v>3651</v>
      </c>
      <c r="C124" s="124" t="s">
        <v>3628</v>
      </c>
      <c r="D124" s="124" t="s">
        <v>3612</v>
      </c>
    </row>
    <row r="125" spans="1:4" s="11" customFormat="1" x14ac:dyDescent="0.15">
      <c r="A125" s="124"/>
      <c r="B125" s="124" t="s">
        <v>3652</v>
      </c>
      <c r="C125" s="124" t="s">
        <v>3630</v>
      </c>
      <c r="D125" s="124" t="s">
        <v>3612</v>
      </c>
    </row>
    <row r="126" spans="1:4" s="11" customFormat="1" x14ac:dyDescent="0.15">
      <c r="A126" s="124"/>
      <c r="B126" s="124" t="s">
        <v>3653</v>
      </c>
      <c r="C126" s="124" t="s">
        <v>3632</v>
      </c>
      <c r="D126" s="124" t="s">
        <v>3612</v>
      </c>
    </row>
    <row r="127" spans="1:4" s="11" customFormat="1" x14ac:dyDescent="0.15">
      <c r="A127" s="124"/>
      <c r="B127" s="124" t="s">
        <v>3654</v>
      </c>
      <c r="C127" s="124" t="s">
        <v>3634</v>
      </c>
      <c r="D127" s="124" t="s">
        <v>3612</v>
      </c>
    </row>
    <row r="128" spans="1:4" s="11" customFormat="1" x14ac:dyDescent="0.15">
      <c r="A128" s="124"/>
      <c r="B128" s="124" t="s">
        <v>3655</v>
      </c>
      <c r="C128" s="124" t="s">
        <v>3636</v>
      </c>
      <c r="D128" s="124" t="s">
        <v>3612</v>
      </c>
    </row>
    <row r="129" spans="1:4" s="11" customFormat="1" x14ac:dyDescent="0.15">
      <c r="A129" s="124"/>
      <c r="B129" s="124" t="s">
        <v>3656</v>
      </c>
      <c r="C129" s="124" t="s">
        <v>3638</v>
      </c>
      <c r="D129" s="124" t="s">
        <v>3612</v>
      </c>
    </row>
    <row r="130" spans="1:4" s="11" customFormat="1" x14ac:dyDescent="0.15">
      <c r="A130" s="124"/>
      <c r="B130" s="124" t="s">
        <v>3657</v>
      </c>
      <c r="C130" s="124" t="s">
        <v>3640</v>
      </c>
      <c r="D130" s="124" t="s">
        <v>3612</v>
      </c>
    </row>
    <row r="131" spans="1:4" s="11" customFormat="1" x14ac:dyDescent="0.15">
      <c r="A131" s="124"/>
      <c r="B131" s="124" t="s">
        <v>3658</v>
      </c>
      <c r="C131" s="124" t="s">
        <v>3659</v>
      </c>
      <c r="D131" s="124" t="s">
        <v>3612</v>
      </c>
    </row>
    <row r="132" spans="1:4" s="11" customFormat="1" x14ac:dyDescent="0.15">
      <c r="A132" s="124"/>
      <c r="B132" s="124" t="s">
        <v>3660</v>
      </c>
      <c r="C132" s="124" t="s">
        <v>3661</v>
      </c>
      <c r="D132" s="124" t="s">
        <v>3612</v>
      </c>
    </row>
    <row r="133" spans="1:4" s="11" customFormat="1" x14ac:dyDescent="0.15">
      <c r="A133" s="124"/>
      <c r="B133" s="124" t="s">
        <v>3662</v>
      </c>
      <c r="C133" s="124" t="s">
        <v>3663</v>
      </c>
      <c r="D133" s="124" t="s">
        <v>3612</v>
      </c>
    </row>
    <row r="134" spans="1:4" s="11" customFormat="1" x14ac:dyDescent="0.15">
      <c r="A134" s="124"/>
      <c r="B134" s="124" t="s">
        <v>3664</v>
      </c>
      <c r="C134" s="124" t="s">
        <v>3665</v>
      </c>
      <c r="D134" s="124" t="s">
        <v>3612</v>
      </c>
    </row>
    <row r="135" spans="1:4" s="11" customFormat="1" x14ac:dyDescent="0.15">
      <c r="A135" s="124"/>
      <c r="B135" s="124" t="s">
        <v>3666</v>
      </c>
      <c r="C135" s="124" t="s">
        <v>3642</v>
      </c>
      <c r="D135" s="124" t="s">
        <v>3612</v>
      </c>
    </row>
    <row r="136" spans="1:4" s="11" customFormat="1" x14ac:dyDescent="0.15">
      <c r="A136" s="124"/>
      <c r="B136" s="124" t="s">
        <v>3667</v>
      </c>
      <c r="C136" s="124" t="s">
        <v>3668</v>
      </c>
      <c r="D136" s="124" t="s">
        <v>3669</v>
      </c>
    </row>
    <row r="137" spans="1:4" s="11" customFormat="1" x14ac:dyDescent="0.15">
      <c r="A137" s="124"/>
      <c r="B137" s="124" t="s">
        <v>1195</v>
      </c>
      <c r="C137" s="124" t="s">
        <v>169</v>
      </c>
      <c r="D137" s="124" t="s">
        <v>3612</v>
      </c>
    </row>
    <row r="138" spans="1:4" s="11" customFormat="1" x14ac:dyDescent="0.15">
      <c r="A138" s="124"/>
      <c r="B138" s="124" t="s">
        <v>1196</v>
      </c>
      <c r="C138" s="124" t="s">
        <v>167</v>
      </c>
      <c r="D138" s="124" t="s">
        <v>3612</v>
      </c>
    </row>
    <row r="139" spans="1:4" s="11" customFormat="1" x14ac:dyDescent="0.15">
      <c r="A139" s="124"/>
      <c r="B139" s="124" t="s">
        <v>1197</v>
      </c>
      <c r="C139" s="124" t="s">
        <v>165</v>
      </c>
      <c r="D139" s="124" t="s">
        <v>3612</v>
      </c>
    </row>
    <row r="140" spans="1:4" s="11" customFormat="1" x14ac:dyDescent="0.15">
      <c r="A140" s="124"/>
      <c r="B140" s="124" t="s">
        <v>1198</v>
      </c>
      <c r="C140" s="124" t="s">
        <v>163</v>
      </c>
      <c r="D140" s="124" t="s">
        <v>3612</v>
      </c>
    </row>
    <row r="141" spans="1:4" s="11" customFormat="1" x14ac:dyDescent="0.15">
      <c r="A141" s="124"/>
      <c r="B141" s="124" t="s">
        <v>1199</v>
      </c>
      <c r="C141" s="124" t="s">
        <v>161</v>
      </c>
      <c r="D141" s="124" t="s">
        <v>3612</v>
      </c>
    </row>
    <row r="142" spans="1:4" s="11" customFormat="1" x14ac:dyDescent="0.15">
      <c r="A142" s="124"/>
      <c r="B142" s="124" t="s">
        <v>1200</v>
      </c>
      <c r="C142" s="124" t="s">
        <v>159</v>
      </c>
      <c r="D142" s="124" t="s">
        <v>3612</v>
      </c>
    </row>
    <row r="143" spans="1:4" s="11" customFormat="1" x14ac:dyDescent="0.15">
      <c r="A143" s="124"/>
      <c r="B143" s="124" t="s">
        <v>1201</v>
      </c>
      <c r="C143" s="124" t="s">
        <v>157</v>
      </c>
      <c r="D143" s="124" t="s">
        <v>3612</v>
      </c>
    </row>
    <row r="144" spans="1:4" s="11" customFormat="1" x14ac:dyDescent="0.15">
      <c r="A144" s="124"/>
      <c r="B144" s="124" t="s">
        <v>1202</v>
      </c>
      <c r="C144" s="124" t="s">
        <v>155</v>
      </c>
      <c r="D144" s="124" t="s">
        <v>3612</v>
      </c>
    </row>
    <row r="145" spans="1:4" s="11" customFormat="1" x14ac:dyDescent="0.15">
      <c r="A145" s="124"/>
      <c r="B145" s="124" t="s">
        <v>1203</v>
      </c>
      <c r="C145" s="124" t="s">
        <v>153</v>
      </c>
      <c r="D145" s="124" t="s">
        <v>3612</v>
      </c>
    </row>
    <row r="146" spans="1:4" s="11" customFormat="1" x14ac:dyDescent="0.15">
      <c r="A146" s="124"/>
      <c r="B146" s="124" t="s">
        <v>1204</v>
      </c>
      <c r="C146" s="124" t="s">
        <v>151</v>
      </c>
      <c r="D146" s="124" t="s">
        <v>3612</v>
      </c>
    </row>
    <row r="147" spans="1:4" s="11" customFormat="1" x14ac:dyDescent="0.15">
      <c r="A147" s="124"/>
      <c r="B147" s="124" t="s">
        <v>1205</v>
      </c>
      <c r="C147" s="124" t="s">
        <v>850</v>
      </c>
      <c r="D147" s="124" t="s">
        <v>3612</v>
      </c>
    </row>
    <row r="148" spans="1:4" s="11" customFormat="1" x14ac:dyDescent="0.15">
      <c r="A148" s="124"/>
      <c r="B148" s="124" t="s">
        <v>1206</v>
      </c>
      <c r="C148" s="124" t="s">
        <v>149</v>
      </c>
      <c r="D148" s="124" t="s">
        <v>3612</v>
      </c>
    </row>
    <row r="149" spans="1:4" s="11" customFormat="1" x14ac:dyDescent="0.15">
      <c r="A149" s="124"/>
      <c r="B149" s="124" t="s">
        <v>1207</v>
      </c>
      <c r="C149" s="124" t="s">
        <v>148</v>
      </c>
      <c r="D149" s="124" t="s">
        <v>3612</v>
      </c>
    </row>
    <row r="150" spans="1:4" s="11" customFormat="1" x14ac:dyDescent="0.15">
      <c r="A150" s="124"/>
      <c r="B150" s="124" t="s">
        <v>1208</v>
      </c>
      <c r="C150" s="124" t="s">
        <v>147</v>
      </c>
      <c r="D150" s="124" t="s">
        <v>3612</v>
      </c>
    </row>
    <row r="151" spans="1:4" s="11" customFormat="1" x14ac:dyDescent="0.15">
      <c r="A151" s="124"/>
      <c r="B151" s="124" t="s">
        <v>1209</v>
      </c>
      <c r="C151" s="124" t="s">
        <v>145</v>
      </c>
      <c r="D151" s="124" t="s">
        <v>3612</v>
      </c>
    </row>
    <row r="152" spans="1:4" s="11" customFormat="1" x14ac:dyDescent="0.15">
      <c r="A152" s="124"/>
      <c r="B152" s="124" t="s">
        <v>1210</v>
      </c>
      <c r="C152" s="124" t="s">
        <v>838</v>
      </c>
      <c r="D152" s="124" t="s">
        <v>3612</v>
      </c>
    </row>
    <row r="153" spans="1:4" s="11" customFormat="1" x14ac:dyDescent="0.15">
      <c r="A153" s="124"/>
      <c r="B153" s="124" t="s">
        <v>1211</v>
      </c>
      <c r="C153" s="124" t="s">
        <v>839</v>
      </c>
      <c r="D153" s="124" t="s">
        <v>3612</v>
      </c>
    </row>
    <row r="154" spans="1:4" s="11" customFormat="1" x14ac:dyDescent="0.15">
      <c r="A154" s="124"/>
      <c r="B154" s="124" t="s">
        <v>1212</v>
      </c>
      <c r="C154" s="124" t="s">
        <v>840</v>
      </c>
      <c r="D154" s="124" t="s">
        <v>3612</v>
      </c>
    </row>
    <row r="155" spans="1:4" s="11" customFormat="1" x14ac:dyDescent="0.15">
      <c r="A155" s="124"/>
      <c r="B155" s="124" t="s">
        <v>1213</v>
      </c>
      <c r="C155" s="124" t="s">
        <v>841</v>
      </c>
      <c r="D155" s="124" t="s">
        <v>3612</v>
      </c>
    </row>
    <row r="156" spans="1:4" s="11" customFormat="1" x14ac:dyDescent="0.15">
      <c r="A156" s="124"/>
      <c r="B156" s="124" t="s">
        <v>1214</v>
      </c>
      <c r="C156" s="124" t="s">
        <v>842</v>
      </c>
      <c r="D156" s="124" t="s">
        <v>3612</v>
      </c>
    </row>
    <row r="157" spans="1:4" s="11" customFormat="1" x14ac:dyDescent="0.15">
      <c r="A157" s="124"/>
      <c r="B157" s="124" t="s">
        <v>1215</v>
      </c>
      <c r="C157" s="124" t="s">
        <v>843</v>
      </c>
      <c r="D157" s="124" t="s">
        <v>3612</v>
      </c>
    </row>
    <row r="158" spans="1:4" s="11" customFormat="1" x14ac:dyDescent="0.15">
      <c r="A158" s="124"/>
      <c r="B158" s="124" t="s">
        <v>1216</v>
      </c>
      <c r="C158" s="124" t="s">
        <v>844</v>
      </c>
      <c r="D158" s="124" t="s">
        <v>3612</v>
      </c>
    </row>
    <row r="159" spans="1:4" s="11" customFormat="1" x14ac:dyDescent="0.15">
      <c r="A159" s="124"/>
      <c r="B159" s="124" t="s">
        <v>1217</v>
      </c>
      <c r="C159" s="124" t="s">
        <v>845</v>
      </c>
      <c r="D159" s="124" t="s">
        <v>3612</v>
      </c>
    </row>
    <row r="160" spans="1:4" s="11" customFormat="1" x14ac:dyDescent="0.15">
      <c r="A160" s="124"/>
      <c r="B160" s="124" t="s">
        <v>1218</v>
      </c>
      <c r="C160" s="124" t="s">
        <v>3622</v>
      </c>
      <c r="D160" s="124" t="s">
        <v>3612</v>
      </c>
    </row>
    <row r="161" spans="1:4" s="11" customFormat="1" x14ac:dyDescent="0.15">
      <c r="A161" s="124"/>
      <c r="B161" s="124" t="s">
        <v>1219</v>
      </c>
      <c r="C161" s="124" t="s">
        <v>3624</v>
      </c>
      <c r="D161" s="124" t="s">
        <v>3612</v>
      </c>
    </row>
    <row r="162" spans="1:4" s="11" customFormat="1" x14ac:dyDescent="0.15">
      <c r="A162" s="124"/>
      <c r="B162" s="124" t="s">
        <v>1220</v>
      </c>
      <c r="C162" s="124" t="s">
        <v>3626</v>
      </c>
      <c r="D162" s="124" t="s">
        <v>3612</v>
      </c>
    </row>
    <row r="163" spans="1:4" s="11" customFormat="1" x14ac:dyDescent="0.15">
      <c r="A163" s="124"/>
      <c r="B163" s="124" t="s">
        <v>1221</v>
      </c>
      <c r="C163" s="124" t="s">
        <v>3628</v>
      </c>
      <c r="D163" s="124" t="s">
        <v>3612</v>
      </c>
    </row>
    <row r="164" spans="1:4" s="11" customFormat="1" x14ac:dyDescent="0.15">
      <c r="A164" s="124"/>
      <c r="B164" s="124" t="s">
        <v>1222</v>
      </c>
      <c r="C164" s="124" t="s">
        <v>3630</v>
      </c>
      <c r="D164" s="124" t="s">
        <v>3612</v>
      </c>
    </row>
    <row r="165" spans="1:4" s="11" customFormat="1" x14ac:dyDescent="0.15">
      <c r="A165" s="124"/>
      <c r="B165" s="124" t="s">
        <v>1223</v>
      </c>
      <c r="C165" s="124" t="s">
        <v>3670</v>
      </c>
      <c r="D165" s="124" t="s">
        <v>3612</v>
      </c>
    </row>
    <row r="166" spans="1:4" s="11" customFormat="1" x14ac:dyDescent="0.15">
      <c r="A166" s="124"/>
      <c r="B166" s="124" t="s">
        <v>1224</v>
      </c>
      <c r="C166" s="124" t="s">
        <v>3671</v>
      </c>
      <c r="D166" s="124" t="s">
        <v>3612</v>
      </c>
    </row>
    <row r="167" spans="1:4" s="11" customFormat="1" x14ac:dyDescent="0.15">
      <c r="A167" s="124"/>
      <c r="B167" s="124" t="s">
        <v>1225</v>
      </c>
      <c r="C167" s="124" t="s">
        <v>3672</v>
      </c>
      <c r="D167" s="124" t="s">
        <v>3612</v>
      </c>
    </row>
    <row r="168" spans="1:4" s="11" customFormat="1" x14ac:dyDescent="0.15">
      <c r="A168" s="124"/>
      <c r="B168" s="124" t="s">
        <v>1226</v>
      </c>
      <c r="C168" s="124" t="s">
        <v>3673</v>
      </c>
      <c r="D168" s="124" t="s">
        <v>3612</v>
      </c>
    </row>
    <row r="169" spans="1:4" s="11" customFormat="1" x14ac:dyDescent="0.15">
      <c r="A169" s="124"/>
      <c r="B169" s="124" t="s">
        <v>1227</v>
      </c>
      <c r="C169" s="124" t="s">
        <v>3674</v>
      </c>
      <c r="D169" s="124" t="s">
        <v>3612</v>
      </c>
    </row>
    <row r="170" spans="1:4" s="11" customFormat="1" x14ac:dyDescent="0.15">
      <c r="A170" s="124"/>
      <c r="B170" s="124" t="s">
        <v>1228</v>
      </c>
      <c r="C170" s="130" t="s">
        <v>3675</v>
      </c>
      <c r="D170" s="124" t="s">
        <v>3612</v>
      </c>
    </row>
    <row r="171" spans="1:4" s="11" customFormat="1" x14ac:dyDescent="0.15">
      <c r="A171" s="124"/>
      <c r="B171" s="124" t="s">
        <v>1229</v>
      </c>
      <c r="C171" s="130" t="s">
        <v>3676</v>
      </c>
      <c r="D171" s="124" t="s">
        <v>3612</v>
      </c>
    </row>
    <row r="172" spans="1:4" s="11" customFormat="1" x14ac:dyDescent="0.15">
      <c r="A172" s="124"/>
      <c r="B172" s="124" t="s">
        <v>1230</v>
      </c>
      <c r="C172" s="130" t="s">
        <v>3677</v>
      </c>
      <c r="D172" s="124" t="s">
        <v>3612</v>
      </c>
    </row>
    <row r="173" spans="1:4" s="11" customFormat="1" x14ac:dyDescent="0.15">
      <c r="A173" s="124"/>
      <c r="B173" s="124" t="s">
        <v>1231</v>
      </c>
      <c r="C173" s="130" t="s">
        <v>3678</v>
      </c>
      <c r="D173" s="124" t="s">
        <v>3612</v>
      </c>
    </row>
    <row r="174" spans="1:4" s="11" customFormat="1" x14ac:dyDescent="0.15">
      <c r="A174" s="124"/>
      <c r="B174" s="124" t="s">
        <v>1232</v>
      </c>
      <c r="C174" s="130" t="s">
        <v>3679</v>
      </c>
      <c r="D174" s="124" t="s">
        <v>3612</v>
      </c>
    </row>
    <row r="175" spans="1:4" s="11" customFormat="1" x14ac:dyDescent="0.15">
      <c r="A175" s="124"/>
      <c r="B175" s="124" t="s">
        <v>1233</v>
      </c>
      <c r="C175" s="130" t="s">
        <v>3680</v>
      </c>
      <c r="D175" s="124" t="s">
        <v>3612</v>
      </c>
    </row>
    <row r="176" spans="1:4" s="11" customFormat="1" x14ac:dyDescent="0.15">
      <c r="A176" s="124"/>
      <c r="B176" s="124" t="s">
        <v>1234</v>
      </c>
      <c r="C176" s="130" t="s">
        <v>3681</v>
      </c>
      <c r="D176" s="124" t="s">
        <v>3612</v>
      </c>
    </row>
    <row r="177" spans="1:4" s="11" customFormat="1" x14ac:dyDescent="0.15">
      <c r="A177" s="124"/>
      <c r="B177" s="124" t="s">
        <v>1235</v>
      </c>
      <c r="C177" s="130" t="s">
        <v>3682</v>
      </c>
      <c r="D177" s="124" t="s">
        <v>3612</v>
      </c>
    </row>
    <row r="178" spans="1:4" s="11" customFormat="1" x14ac:dyDescent="0.15">
      <c r="A178" s="124"/>
      <c r="B178" s="124" t="s">
        <v>1236</v>
      </c>
      <c r="C178" s="130" t="s">
        <v>3683</v>
      </c>
      <c r="D178" s="124" t="s">
        <v>3612</v>
      </c>
    </row>
    <row r="179" spans="1:4" s="11" customFormat="1" x14ac:dyDescent="0.15">
      <c r="A179" s="124"/>
      <c r="B179" s="124" t="s">
        <v>1237</v>
      </c>
      <c r="C179" s="130" t="s">
        <v>3684</v>
      </c>
      <c r="D179" s="124" t="s">
        <v>3612</v>
      </c>
    </row>
    <row r="180" spans="1:4" s="11" customFormat="1" x14ac:dyDescent="0.15">
      <c r="A180" s="124"/>
      <c r="B180" s="124" t="s">
        <v>1238</v>
      </c>
      <c r="C180" s="130" t="s">
        <v>3685</v>
      </c>
      <c r="D180" s="124" t="s">
        <v>3612</v>
      </c>
    </row>
    <row r="181" spans="1:4" s="11" customFormat="1" x14ac:dyDescent="0.15">
      <c r="A181" s="124"/>
      <c r="B181" s="124" t="s">
        <v>1239</v>
      </c>
      <c r="C181" s="130" t="s">
        <v>3686</v>
      </c>
      <c r="D181" s="124" t="s">
        <v>3612</v>
      </c>
    </row>
    <row r="182" spans="1:4" s="11" customFormat="1" x14ac:dyDescent="0.15">
      <c r="A182" s="124"/>
      <c r="B182" s="124" t="s">
        <v>1240</v>
      </c>
      <c r="C182" s="130" t="s">
        <v>3687</v>
      </c>
      <c r="D182" s="124" t="s">
        <v>3612</v>
      </c>
    </row>
    <row r="183" spans="1:4" s="11" customFormat="1" x14ac:dyDescent="0.15">
      <c r="A183" s="124"/>
      <c r="B183" s="124" t="s">
        <v>1241</v>
      </c>
      <c r="C183" s="131" t="s">
        <v>3688</v>
      </c>
      <c r="D183" s="124" t="s">
        <v>3689</v>
      </c>
    </row>
    <row r="184" spans="1:4" s="11" customFormat="1" x14ac:dyDescent="0.15">
      <c r="A184" s="124"/>
      <c r="B184" s="124" t="s">
        <v>1242</v>
      </c>
      <c r="C184" s="131" t="s">
        <v>3690</v>
      </c>
      <c r="D184" s="124" t="s">
        <v>3689</v>
      </c>
    </row>
    <row r="185" spans="1:4" s="11" customFormat="1" x14ac:dyDescent="0.15">
      <c r="A185" s="124"/>
      <c r="B185" s="124" t="s">
        <v>1243</v>
      </c>
      <c r="C185" s="131" t="s">
        <v>3691</v>
      </c>
      <c r="D185" s="124" t="s">
        <v>3689</v>
      </c>
    </row>
    <row r="186" spans="1:4" s="11" customFormat="1" x14ac:dyDescent="0.15">
      <c r="A186" s="124"/>
      <c r="B186" s="124" t="s">
        <v>1244</v>
      </c>
      <c r="C186" s="131" t="s">
        <v>3692</v>
      </c>
      <c r="D186" s="124" t="s">
        <v>3689</v>
      </c>
    </row>
    <row r="187" spans="1:4" s="11" customFormat="1" x14ac:dyDescent="0.15">
      <c r="A187" s="124"/>
      <c r="B187" s="124" t="s">
        <v>1245</v>
      </c>
      <c r="C187" s="131" t="s">
        <v>3693</v>
      </c>
      <c r="D187" s="124" t="s">
        <v>3689</v>
      </c>
    </row>
    <row r="188" spans="1:4" s="11" customFormat="1" x14ac:dyDescent="0.15">
      <c r="A188" s="124"/>
      <c r="B188" s="124" t="s">
        <v>1246</v>
      </c>
      <c r="C188" s="131" t="s">
        <v>3694</v>
      </c>
      <c r="D188" s="124" t="s">
        <v>3689</v>
      </c>
    </row>
    <row r="189" spans="1:4" s="11" customFormat="1" x14ac:dyDescent="0.15">
      <c r="A189" s="124"/>
      <c r="B189" s="124" t="s">
        <v>1247</v>
      </c>
      <c r="C189" s="131" t="s">
        <v>3695</v>
      </c>
      <c r="D189" s="124" t="s">
        <v>3689</v>
      </c>
    </row>
    <row r="190" spans="1:4" s="11" customFormat="1" x14ac:dyDescent="0.15">
      <c r="A190" s="124"/>
      <c r="B190" s="124" t="s">
        <v>1248</v>
      </c>
      <c r="C190" s="131" t="s">
        <v>3696</v>
      </c>
      <c r="D190" s="124" t="s">
        <v>3689</v>
      </c>
    </row>
    <row r="191" spans="1:4" s="11" customFormat="1" x14ac:dyDescent="0.15">
      <c r="A191" s="124"/>
      <c r="B191" s="124" t="s">
        <v>1249</v>
      </c>
      <c r="C191" s="131" t="s">
        <v>3697</v>
      </c>
      <c r="D191" s="124" t="s">
        <v>3689</v>
      </c>
    </row>
    <row r="192" spans="1:4" s="11" customFormat="1" x14ac:dyDescent="0.15">
      <c r="A192" s="124"/>
      <c r="B192" s="124" t="s">
        <v>1250</v>
      </c>
      <c r="C192" s="131" t="s">
        <v>3698</v>
      </c>
      <c r="D192" s="124" t="s">
        <v>3689</v>
      </c>
    </row>
    <row r="193" spans="1:4" s="11" customFormat="1" x14ac:dyDescent="0.15">
      <c r="A193" s="124"/>
      <c r="B193" s="124" t="s">
        <v>1251</v>
      </c>
      <c r="C193" s="115" t="s">
        <v>3699</v>
      </c>
      <c r="D193" s="124" t="s">
        <v>3689</v>
      </c>
    </row>
    <row r="194" spans="1:4" s="11" customFormat="1" x14ac:dyDescent="0.15">
      <c r="A194" s="124"/>
      <c r="B194" s="124" t="s">
        <v>1252</v>
      </c>
      <c r="C194" s="115" t="s">
        <v>3700</v>
      </c>
      <c r="D194" s="124" t="s">
        <v>3689</v>
      </c>
    </row>
    <row r="195" spans="1:4" s="11" customFormat="1" x14ac:dyDescent="0.15">
      <c r="A195" s="124"/>
      <c r="B195" s="124" t="s">
        <v>1253</v>
      </c>
      <c r="C195" s="131" t="s">
        <v>3701</v>
      </c>
      <c r="D195" s="124" t="s">
        <v>3689</v>
      </c>
    </row>
    <row r="196" spans="1:4" s="11" customFormat="1" x14ac:dyDescent="0.15">
      <c r="A196" s="124"/>
      <c r="B196" s="124" t="s">
        <v>1254</v>
      </c>
      <c r="C196" s="131" t="s">
        <v>3702</v>
      </c>
      <c r="D196" s="124" t="s">
        <v>3689</v>
      </c>
    </row>
    <row r="197" spans="1:4" s="11" customFormat="1" x14ac:dyDescent="0.15">
      <c r="A197" s="124"/>
      <c r="B197" s="124" t="s">
        <v>1255</v>
      </c>
      <c r="C197" s="131" t="s">
        <v>3703</v>
      </c>
      <c r="D197" s="124" t="s">
        <v>3689</v>
      </c>
    </row>
    <row r="198" spans="1:4" s="11" customFormat="1" x14ac:dyDescent="0.15">
      <c r="A198" s="124"/>
      <c r="B198" s="124" t="s">
        <v>1256</v>
      </c>
      <c r="C198" s="131" t="s">
        <v>3704</v>
      </c>
      <c r="D198" s="124" t="s">
        <v>3689</v>
      </c>
    </row>
    <row r="199" spans="1:4" s="11" customFormat="1" x14ac:dyDescent="0.15">
      <c r="A199" s="124"/>
      <c r="B199" s="124" t="s">
        <v>1257</v>
      </c>
      <c r="C199" s="131" t="s">
        <v>3705</v>
      </c>
      <c r="D199" s="124" t="s">
        <v>3689</v>
      </c>
    </row>
    <row r="200" spans="1:4" s="11" customFormat="1" x14ac:dyDescent="0.15">
      <c r="A200" s="124"/>
      <c r="B200" s="124" t="s">
        <v>1258</v>
      </c>
      <c r="C200" s="131" t="s">
        <v>3706</v>
      </c>
      <c r="D200" s="124" t="s">
        <v>3689</v>
      </c>
    </row>
    <row r="201" spans="1:4" s="11" customFormat="1" x14ac:dyDescent="0.15">
      <c r="A201" s="124"/>
      <c r="B201" s="124" t="s">
        <v>1259</v>
      </c>
      <c r="C201" s="131" t="s">
        <v>3707</v>
      </c>
      <c r="D201" s="124" t="s">
        <v>3689</v>
      </c>
    </row>
    <row r="202" spans="1:4" s="11" customFormat="1" x14ac:dyDescent="0.15">
      <c r="A202" s="124"/>
      <c r="B202" s="124" t="s">
        <v>1260</v>
      </c>
      <c r="C202" s="131" t="s">
        <v>3708</v>
      </c>
      <c r="D202" s="124" t="s">
        <v>3689</v>
      </c>
    </row>
    <row r="203" spans="1:4" s="11" customFormat="1" x14ac:dyDescent="0.15">
      <c r="A203" s="124"/>
      <c r="B203" s="124" t="s">
        <v>1261</v>
      </c>
      <c r="C203" s="131" t="s">
        <v>3709</v>
      </c>
      <c r="D203" s="124" t="s">
        <v>3689</v>
      </c>
    </row>
    <row r="204" spans="1:4" s="11" customFormat="1" x14ac:dyDescent="0.15">
      <c r="A204" s="124"/>
      <c r="B204" s="124" t="s">
        <v>1262</v>
      </c>
      <c r="C204" s="131" t="s">
        <v>3710</v>
      </c>
      <c r="D204" s="124" t="s">
        <v>3689</v>
      </c>
    </row>
    <row r="205" spans="1:4" s="11" customFormat="1" x14ac:dyDescent="0.15">
      <c r="A205" s="124"/>
      <c r="B205" s="124" t="s">
        <v>1263</v>
      </c>
      <c r="C205" s="131" t="s">
        <v>3711</v>
      </c>
      <c r="D205" s="124" t="s">
        <v>3689</v>
      </c>
    </row>
    <row r="206" spans="1:4" s="11" customFormat="1" x14ac:dyDescent="0.15">
      <c r="A206" s="124"/>
      <c r="B206" s="124" t="s">
        <v>1264</v>
      </c>
      <c r="C206" s="131" t="s">
        <v>3712</v>
      </c>
      <c r="D206" s="124" t="s">
        <v>3689</v>
      </c>
    </row>
    <row r="207" spans="1:4" s="11" customFormat="1" x14ac:dyDescent="0.15">
      <c r="A207" s="124"/>
      <c r="B207" s="124" t="s">
        <v>1265</v>
      </c>
      <c r="C207" s="131" t="s">
        <v>3713</v>
      </c>
      <c r="D207" s="124" t="s">
        <v>3689</v>
      </c>
    </row>
    <row r="208" spans="1:4" s="11" customFormat="1" x14ac:dyDescent="0.15">
      <c r="A208" s="124"/>
      <c r="B208" s="124" t="s">
        <v>1266</v>
      </c>
      <c r="C208" s="131" t="s">
        <v>3714</v>
      </c>
      <c r="D208" s="124" t="s">
        <v>3689</v>
      </c>
    </row>
    <row r="209" spans="1:4" s="11" customFormat="1" x14ac:dyDescent="0.15">
      <c r="A209" s="124"/>
      <c r="B209" s="124" t="s">
        <v>1267</v>
      </c>
      <c r="C209" s="115" t="s">
        <v>3715</v>
      </c>
      <c r="D209" s="124" t="s">
        <v>3689</v>
      </c>
    </row>
    <row r="210" spans="1:4" s="11" customFormat="1" x14ac:dyDescent="0.15">
      <c r="A210" s="124"/>
      <c r="B210" s="124" t="s">
        <v>1268</v>
      </c>
      <c r="C210" s="115" t="s">
        <v>3716</v>
      </c>
      <c r="D210" s="124" t="s">
        <v>3689</v>
      </c>
    </row>
    <row r="211" spans="1:4" s="11" customFormat="1" x14ac:dyDescent="0.15">
      <c r="A211" s="124"/>
      <c r="B211" s="124" t="s">
        <v>1269</v>
      </c>
      <c r="C211" s="131" t="s">
        <v>3717</v>
      </c>
      <c r="D211" s="124" t="s">
        <v>3689</v>
      </c>
    </row>
    <row r="212" spans="1:4" s="11" customFormat="1" x14ac:dyDescent="0.15">
      <c r="A212" s="124"/>
      <c r="B212" s="124" t="s">
        <v>1270</v>
      </c>
      <c r="C212" s="131" t="s">
        <v>3718</v>
      </c>
      <c r="D212" s="124" t="s">
        <v>3689</v>
      </c>
    </row>
    <row r="213" spans="1:4" s="11" customFormat="1" x14ac:dyDescent="0.15">
      <c r="A213" s="124"/>
      <c r="B213" s="124" t="s">
        <v>1271</v>
      </c>
      <c r="C213" s="131" t="s">
        <v>3719</v>
      </c>
      <c r="D213" s="124" t="s">
        <v>3689</v>
      </c>
    </row>
    <row r="214" spans="1:4" s="11" customFormat="1" x14ac:dyDescent="0.15">
      <c r="A214" s="124"/>
      <c r="B214" s="124" t="s">
        <v>1272</v>
      </c>
      <c r="C214" s="131" t="s">
        <v>3720</v>
      </c>
      <c r="D214" s="124" t="s">
        <v>3689</v>
      </c>
    </row>
    <row r="215" spans="1:4" s="11" customFormat="1" x14ac:dyDescent="0.15">
      <c r="A215" s="130"/>
      <c r="B215" s="132" t="s">
        <v>1273</v>
      </c>
      <c r="C215" s="131" t="s">
        <v>3721</v>
      </c>
      <c r="D215" s="130" t="s">
        <v>3722</v>
      </c>
    </row>
    <row r="216" spans="1:4" s="11" customFormat="1" x14ac:dyDescent="0.15">
      <c r="A216" s="130"/>
      <c r="B216" s="132" t="s">
        <v>1274</v>
      </c>
      <c r="C216" s="131" t="s">
        <v>3723</v>
      </c>
      <c r="D216" s="130" t="s">
        <v>3722</v>
      </c>
    </row>
    <row r="217" spans="1:4" s="11" customFormat="1" x14ac:dyDescent="0.15">
      <c r="A217" s="130"/>
      <c r="B217" s="132" t="s">
        <v>1275</v>
      </c>
      <c r="C217" s="131" t="s">
        <v>3724</v>
      </c>
      <c r="D217" s="130" t="s">
        <v>3722</v>
      </c>
    </row>
    <row r="218" spans="1:4" s="11" customFormat="1" x14ac:dyDescent="0.15">
      <c r="A218" s="124"/>
      <c r="B218" s="133" t="s">
        <v>1276</v>
      </c>
      <c r="C218" s="131" t="s">
        <v>3725</v>
      </c>
      <c r="D218" s="124" t="s">
        <v>3726</v>
      </c>
    </row>
    <row r="219" spans="1:4" s="11" customFormat="1" x14ac:dyDescent="0.15">
      <c r="A219" s="124"/>
      <c r="B219" s="133" t="s">
        <v>1277</v>
      </c>
      <c r="C219" s="131" t="s">
        <v>3727</v>
      </c>
      <c r="D219" s="124" t="s">
        <v>3726</v>
      </c>
    </row>
    <row r="220" spans="1:4" s="11" customFormat="1" x14ac:dyDescent="0.15">
      <c r="A220" s="124"/>
      <c r="B220" s="133" t="s">
        <v>1278</v>
      </c>
      <c r="C220" s="115" t="s">
        <v>3728</v>
      </c>
      <c r="D220" s="124" t="s">
        <v>3726</v>
      </c>
    </row>
    <row r="221" spans="1:4" s="11" customFormat="1" x14ac:dyDescent="0.15">
      <c r="A221" s="124"/>
      <c r="B221" s="133" t="s">
        <v>1279</v>
      </c>
      <c r="C221" s="115" t="s">
        <v>3729</v>
      </c>
      <c r="D221" s="124" t="s">
        <v>3726</v>
      </c>
    </row>
    <row r="222" spans="1:4" s="11" customFormat="1" x14ac:dyDescent="0.15">
      <c r="A222" s="124"/>
      <c r="B222" s="133" t="s">
        <v>1280</v>
      </c>
      <c r="C222" s="131" t="s">
        <v>3730</v>
      </c>
      <c r="D222" s="124" t="s">
        <v>3726</v>
      </c>
    </row>
    <row r="223" spans="1:4" s="11" customFormat="1" x14ac:dyDescent="0.15">
      <c r="A223" s="124"/>
      <c r="B223" s="133" t="s">
        <v>1281</v>
      </c>
      <c r="C223" s="115" t="s">
        <v>3731</v>
      </c>
      <c r="D223" s="124" t="s">
        <v>3726</v>
      </c>
    </row>
    <row r="224" spans="1:4" s="11" customFormat="1" x14ac:dyDescent="0.15">
      <c r="A224" s="124"/>
      <c r="B224" s="133" t="s">
        <v>1282</v>
      </c>
      <c r="C224" s="131" t="s">
        <v>3732</v>
      </c>
      <c r="D224" s="124" t="s">
        <v>3726</v>
      </c>
    </row>
    <row r="225" spans="1:4" s="11" customFormat="1" x14ac:dyDescent="0.15">
      <c r="A225" s="124"/>
      <c r="B225" s="133" t="s">
        <v>1283</v>
      </c>
      <c r="C225" s="115" t="s">
        <v>3733</v>
      </c>
      <c r="D225" s="124" t="s">
        <v>3726</v>
      </c>
    </row>
    <row r="226" spans="1:4" s="11" customFormat="1" x14ac:dyDescent="0.15">
      <c r="A226" s="124"/>
      <c r="B226" s="133" t="s">
        <v>1284</v>
      </c>
      <c r="C226" s="134" t="s">
        <v>3734</v>
      </c>
      <c r="D226" s="124" t="s">
        <v>3726</v>
      </c>
    </row>
    <row r="227" spans="1:4" s="11" customFormat="1" x14ac:dyDescent="0.15">
      <c r="A227" s="124"/>
      <c r="B227" s="133" t="s">
        <v>1285</v>
      </c>
      <c r="C227" s="134" t="s">
        <v>3735</v>
      </c>
      <c r="D227" s="124" t="s">
        <v>3726</v>
      </c>
    </row>
    <row r="228" spans="1:4" s="11" customFormat="1" x14ac:dyDescent="0.15">
      <c r="A228" s="124"/>
      <c r="B228" s="133" t="s">
        <v>1286</v>
      </c>
      <c r="C228" s="115" t="s">
        <v>3736</v>
      </c>
      <c r="D228" s="124" t="s">
        <v>3726</v>
      </c>
    </row>
    <row r="229" spans="1:4" s="11" customFormat="1" x14ac:dyDescent="0.15">
      <c r="A229" s="124"/>
      <c r="B229" s="133" t="s">
        <v>1287</v>
      </c>
      <c r="C229" s="115" t="s">
        <v>3737</v>
      </c>
      <c r="D229" s="124" t="s">
        <v>3726</v>
      </c>
    </row>
    <row r="230" spans="1:4" s="11" customFormat="1" x14ac:dyDescent="0.15">
      <c r="A230" s="124"/>
      <c r="B230" s="133" t="s">
        <v>1288</v>
      </c>
      <c r="C230" s="131" t="s">
        <v>3738</v>
      </c>
      <c r="D230" s="124" t="s">
        <v>3726</v>
      </c>
    </row>
    <row r="231" spans="1:4" s="11" customFormat="1" x14ac:dyDescent="0.15">
      <c r="A231" s="124"/>
      <c r="B231" s="133" t="s">
        <v>1289</v>
      </c>
      <c r="C231" s="131" t="s">
        <v>3739</v>
      </c>
      <c r="D231" s="124" t="s">
        <v>3726</v>
      </c>
    </row>
    <row r="232" spans="1:4" s="11" customFormat="1" x14ac:dyDescent="0.15">
      <c r="A232" s="124"/>
      <c r="B232" s="133" t="s">
        <v>1290</v>
      </c>
      <c r="C232" s="131" t="s">
        <v>3740</v>
      </c>
      <c r="D232" s="124" t="s">
        <v>3726</v>
      </c>
    </row>
    <row r="233" spans="1:4" s="11" customFormat="1" x14ac:dyDescent="0.15">
      <c r="A233" s="124"/>
      <c r="B233" s="133" t="s">
        <v>1291</v>
      </c>
      <c r="C233" s="115" t="s">
        <v>3741</v>
      </c>
      <c r="D233" s="124" t="s">
        <v>3726</v>
      </c>
    </row>
    <row r="234" spans="1:4" s="11" customFormat="1" x14ac:dyDescent="0.15">
      <c r="A234" s="124"/>
      <c r="B234" s="133" t="s">
        <v>1292</v>
      </c>
      <c r="C234" s="131" t="s">
        <v>3742</v>
      </c>
      <c r="D234" s="124" t="s">
        <v>3726</v>
      </c>
    </row>
    <row r="235" spans="1:4" s="11" customFormat="1" x14ac:dyDescent="0.15">
      <c r="A235" s="124"/>
      <c r="B235" s="133" t="s">
        <v>1293</v>
      </c>
      <c r="C235" s="131" t="s">
        <v>3743</v>
      </c>
      <c r="D235" s="124" t="s">
        <v>3726</v>
      </c>
    </row>
    <row r="236" spans="1:4" s="11" customFormat="1" x14ac:dyDescent="0.15">
      <c r="A236" s="124"/>
      <c r="B236" s="133" t="s">
        <v>1294</v>
      </c>
      <c r="C236" s="115" t="s">
        <v>3744</v>
      </c>
      <c r="D236" s="124" t="s">
        <v>3726</v>
      </c>
    </row>
    <row r="237" spans="1:4" s="11" customFormat="1" x14ac:dyDescent="0.15">
      <c r="A237" s="124"/>
      <c r="B237" s="133" t="s">
        <v>1295</v>
      </c>
      <c r="C237" s="115" t="s">
        <v>3745</v>
      </c>
      <c r="D237" s="124" t="s">
        <v>3726</v>
      </c>
    </row>
    <row r="238" spans="1:4" s="11" customFormat="1" x14ac:dyDescent="0.15">
      <c r="A238" s="124"/>
      <c r="B238" s="133" t="s">
        <v>1296</v>
      </c>
      <c r="C238" s="131" t="s">
        <v>3746</v>
      </c>
      <c r="D238" s="124" t="s">
        <v>3726</v>
      </c>
    </row>
    <row r="239" spans="1:4" s="11" customFormat="1" x14ac:dyDescent="0.15">
      <c r="A239" s="124"/>
      <c r="B239" s="133" t="s">
        <v>1297</v>
      </c>
      <c r="C239" s="115" t="s">
        <v>3747</v>
      </c>
      <c r="D239" s="124" t="s">
        <v>3726</v>
      </c>
    </row>
    <row r="240" spans="1:4" s="11" customFormat="1" x14ac:dyDescent="0.15">
      <c r="A240" s="124"/>
      <c r="B240" s="133" t="s">
        <v>1298</v>
      </c>
      <c r="C240" s="131" t="s">
        <v>3748</v>
      </c>
      <c r="D240" s="124" t="s">
        <v>3726</v>
      </c>
    </row>
    <row r="241" spans="1:4" s="11" customFormat="1" x14ac:dyDescent="0.15">
      <c r="A241" s="124"/>
      <c r="B241" s="133" t="s">
        <v>1299</v>
      </c>
      <c r="C241" s="115" t="s">
        <v>3749</v>
      </c>
      <c r="D241" s="124" t="s">
        <v>3726</v>
      </c>
    </row>
    <row r="242" spans="1:4" s="11" customFormat="1" x14ac:dyDescent="0.15">
      <c r="A242" s="124"/>
      <c r="B242" s="133" t="s">
        <v>1300</v>
      </c>
      <c r="C242" s="134" t="s">
        <v>3750</v>
      </c>
      <c r="D242" s="124" t="s">
        <v>3726</v>
      </c>
    </row>
    <row r="243" spans="1:4" s="11" customFormat="1" x14ac:dyDescent="0.15">
      <c r="A243" s="124"/>
      <c r="B243" s="133" t="s">
        <v>1301</v>
      </c>
      <c r="C243" s="134" t="s">
        <v>3751</v>
      </c>
      <c r="D243" s="124" t="s">
        <v>3726</v>
      </c>
    </row>
    <row r="244" spans="1:4" s="11" customFormat="1" x14ac:dyDescent="0.15">
      <c r="A244" s="124"/>
      <c r="B244" s="133" t="s">
        <v>1302</v>
      </c>
      <c r="C244" s="115" t="s">
        <v>3752</v>
      </c>
      <c r="D244" s="124" t="s">
        <v>3726</v>
      </c>
    </row>
    <row r="245" spans="1:4" s="11" customFormat="1" x14ac:dyDescent="0.15">
      <c r="A245" s="124"/>
      <c r="B245" s="133" t="s">
        <v>1303</v>
      </c>
      <c r="C245" s="115" t="s">
        <v>3753</v>
      </c>
      <c r="D245" s="124" t="s">
        <v>3726</v>
      </c>
    </row>
    <row r="246" spans="1:4" s="11" customFormat="1" x14ac:dyDescent="0.15">
      <c r="A246" s="124"/>
      <c r="B246" s="133" t="s">
        <v>1304</v>
      </c>
      <c r="C246" s="131" t="s">
        <v>3754</v>
      </c>
      <c r="D246" s="124" t="s">
        <v>3726</v>
      </c>
    </row>
    <row r="247" spans="1:4" s="11" customFormat="1" x14ac:dyDescent="0.15">
      <c r="A247" s="124"/>
      <c r="B247" s="133" t="s">
        <v>1305</v>
      </c>
      <c r="C247" s="131" t="s">
        <v>3755</v>
      </c>
      <c r="D247" s="124" t="s">
        <v>3726</v>
      </c>
    </row>
    <row r="248" spans="1:4" s="11" customFormat="1" x14ac:dyDescent="0.15">
      <c r="A248" s="124"/>
      <c r="B248" s="133" t="s">
        <v>1306</v>
      </c>
      <c r="C248" s="131" t="s">
        <v>3756</v>
      </c>
      <c r="D248" s="124" t="s">
        <v>3726</v>
      </c>
    </row>
    <row r="249" spans="1:4" s="11" customFormat="1" x14ac:dyDescent="0.15">
      <c r="A249" s="124"/>
      <c r="B249" s="133" t="s">
        <v>1307</v>
      </c>
      <c r="C249" s="115" t="s">
        <v>3757</v>
      </c>
      <c r="D249" s="124" t="s">
        <v>3726</v>
      </c>
    </row>
    <row r="250" spans="1:4" s="11" customFormat="1" x14ac:dyDescent="0.15">
      <c r="A250" s="130"/>
      <c r="B250" s="132" t="s">
        <v>1308</v>
      </c>
      <c r="C250" s="115" t="s">
        <v>3758</v>
      </c>
      <c r="D250" s="130" t="s">
        <v>3759</v>
      </c>
    </row>
    <row r="251" spans="1:4" s="11" customFormat="1" x14ac:dyDescent="0.15">
      <c r="A251" s="130"/>
      <c r="B251" s="132" t="s">
        <v>1309</v>
      </c>
      <c r="C251" s="115" t="s">
        <v>3760</v>
      </c>
      <c r="D251" s="130" t="s">
        <v>3759</v>
      </c>
    </row>
    <row r="252" spans="1:4" s="11" customFormat="1" x14ac:dyDescent="0.15">
      <c r="A252" s="130"/>
      <c r="B252" s="132" t="s">
        <v>1310</v>
      </c>
      <c r="C252" s="115" t="s">
        <v>3761</v>
      </c>
      <c r="D252" s="130" t="s">
        <v>3759</v>
      </c>
    </row>
    <row r="253" spans="1:4" s="11" customFormat="1" x14ac:dyDescent="0.15">
      <c r="A253" s="124"/>
      <c r="B253" s="135" t="s">
        <v>3762</v>
      </c>
      <c r="C253" s="115" t="s">
        <v>5239</v>
      </c>
      <c r="D253" s="124" t="s">
        <v>3764</v>
      </c>
    </row>
    <row r="254" spans="1:4" s="11" customFormat="1" x14ac:dyDescent="0.15">
      <c r="A254" s="124"/>
      <c r="B254" s="135" t="s">
        <v>3765</v>
      </c>
      <c r="C254" s="136" t="s">
        <v>3763</v>
      </c>
      <c r="D254" s="124" t="s">
        <v>3764</v>
      </c>
    </row>
    <row r="255" spans="1:4" s="11" customFormat="1" x14ac:dyDescent="0.15">
      <c r="A255" s="124"/>
      <c r="B255" s="135" t="s">
        <v>3767</v>
      </c>
      <c r="C255" s="137" t="s">
        <v>3766</v>
      </c>
      <c r="D255" s="124" t="s">
        <v>3764</v>
      </c>
    </row>
    <row r="256" spans="1:4" s="11" customFormat="1" x14ac:dyDescent="0.15">
      <c r="A256" s="124"/>
      <c r="B256" s="135" t="s">
        <v>3769</v>
      </c>
      <c r="C256" s="138" t="s">
        <v>3768</v>
      </c>
      <c r="D256" s="124" t="s">
        <v>3764</v>
      </c>
    </row>
    <row r="257" spans="1:4" s="11" customFormat="1" x14ac:dyDescent="0.15">
      <c r="A257" s="124"/>
      <c r="B257" s="135" t="s">
        <v>5238</v>
      </c>
      <c r="C257" s="138" t="s">
        <v>3770</v>
      </c>
      <c r="D257" s="124" t="s">
        <v>3764</v>
      </c>
    </row>
    <row r="258" spans="1:4" s="11" customFormat="1" x14ac:dyDescent="0.15">
      <c r="A258" s="124"/>
      <c r="B258" s="135" t="s">
        <v>3771</v>
      </c>
      <c r="C258" s="138" t="s">
        <v>3772</v>
      </c>
      <c r="D258" s="124" t="s">
        <v>3764</v>
      </c>
    </row>
    <row r="259" spans="1:4" s="11" customFormat="1" x14ac:dyDescent="0.15">
      <c r="A259" s="124"/>
      <c r="B259" s="135" t="s">
        <v>3773</v>
      </c>
      <c r="C259" s="138" t="s">
        <v>3774</v>
      </c>
      <c r="D259" s="124" t="s">
        <v>3764</v>
      </c>
    </row>
    <row r="260" spans="1:4" s="11" customFormat="1" x14ac:dyDescent="0.15">
      <c r="A260" s="124"/>
      <c r="B260" s="135" t="s">
        <v>3775</v>
      </c>
      <c r="C260" s="138" t="s">
        <v>3776</v>
      </c>
      <c r="D260" s="124" t="s">
        <v>3764</v>
      </c>
    </row>
    <row r="261" spans="1:4" s="11" customFormat="1" x14ac:dyDescent="0.15">
      <c r="A261" s="124"/>
      <c r="B261" s="135" t="s">
        <v>3777</v>
      </c>
      <c r="C261" s="138" t="s">
        <v>3778</v>
      </c>
      <c r="D261" s="124" t="s">
        <v>3764</v>
      </c>
    </row>
    <row r="262" spans="1:4" s="11" customFormat="1" x14ac:dyDescent="0.15">
      <c r="A262" s="124"/>
      <c r="B262" s="124" t="s">
        <v>3779</v>
      </c>
      <c r="C262" s="134" t="s">
        <v>3780</v>
      </c>
      <c r="D262" s="124" t="s">
        <v>3781</v>
      </c>
    </row>
    <row r="263" spans="1:4" s="11" customFormat="1" x14ac:dyDescent="0.15">
      <c r="A263" s="124"/>
      <c r="B263" s="124" t="s">
        <v>3782</v>
      </c>
      <c r="C263" s="134" t="s">
        <v>3783</v>
      </c>
      <c r="D263" s="124" t="s">
        <v>3784</v>
      </c>
    </row>
    <row r="264" spans="1:4" s="11" customFormat="1" ht="40.5" x14ac:dyDescent="0.15">
      <c r="A264" s="124"/>
      <c r="B264" s="124" t="s">
        <v>3785</v>
      </c>
      <c r="C264" s="139" t="s">
        <v>3786</v>
      </c>
      <c r="D264" s="124" t="s">
        <v>3787</v>
      </c>
    </row>
    <row r="265" spans="1:4" s="11" customFormat="1" x14ac:dyDescent="0.15">
      <c r="A265" s="124"/>
      <c r="B265" s="124" t="s">
        <v>3788</v>
      </c>
      <c r="C265" s="140" t="s">
        <v>3789</v>
      </c>
      <c r="D265" s="124" t="s">
        <v>3787</v>
      </c>
    </row>
    <row r="266" spans="1:4" s="11" customFormat="1" ht="67.5" x14ac:dyDescent="0.15">
      <c r="A266" s="124"/>
      <c r="B266" s="124" t="s">
        <v>3790</v>
      </c>
      <c r="C266" s="141" t="s">
        <v>3791</v>
      </c>
      <c r="D266" s="124" t="s">
        <v>3787</v>
      </c>
    </row>
    <row r="267" spans="1:4" s="11" customFormat="1" x14ac:dyDescent="0.15">
      <c r="A267" s="124"/>
      <c r="B267" s="124" t="s">
        <v>3792</v>
      </c>
      <c r="C267" s="124" t="s">
        <v>3793</v>
      </c>
      <c r="D267" s="124"/>
    </row>
    <row r="268" spans="1:4" s="11" customFormat="1" x14ac:dyDescent="0.15">
      <c r="A268" s="124"/>
      <c r="B268" s="124" t="s">
        <v>3429</v>
      </c>
      <c r="C268" s="130" t="s">
        <v>3430</v>
      </c>
      <c r="D268" s="124"/>
    </row>
    <row r="269" spans="1:4" s="11" customFormat="1" x14ac:dyDescent="0.15">
      <c r="A269" s="124"/>
      <c r="B269" s="142" t="s">
        <v>1311</v>
      </c>
      <c r="C269" s="142" t="s">
        <v>3479</v>
      </c>
      <c r="D269" s="124"/>
    </row>
    <row r="270" spans="1:4" s="11" customFormat="1" x14ac:dyDescent="0.15">
      <c r="A270" s="124"/>
      <c r="B270" s="124" t="s">
        <v>3794</v>
      </c>
      <c r="C270" s="124" t="s">
        <v>3795</v>
      </c>
      <c r="D270" s="124" t="s">
        <v>3796</v>
      </c>
    </row>
    <row r="271" spans="1:4" s="11" customFormat="1" x14ac:dyDescent="0.15">
      <c r="A271" s="116"/>
      <c r="B271" s="124" t="s">
        <v>3797</v>
      </c>
      <c r="C271" s="116" t="s">
        <v>3798</v>
      </c>
      <c r="D271" s="124" t="s">
        <v>3796</v>
      </c>
    </row>
    <row r="272" spans="1:4" s="11" customFormat="1" x14ac:dyDescent="0.15">
      <c r="A272" s="116"/>
      <c r="B272" s="124" t="s">
        <v>3799</v>
      </c>
      <c r="C272" s="116" t="s">
        <v>3800</v>
      </c>
      <c r="D272" s="124" t="s">
        <v>3796</v>
      </c>
    </row>
    <row r="273" spans="1:4" s="11" customFormat="1" x14ac:dyDescent="0.15">
      <c r="A273" s="116"/>
      <c r="B273" s="124" t="s">
        <v>3801</v>
      </c>
      <c r="C273" s="116" t="s">
        <v>3802</v>
      </c>
      <c r="D273" s="124" t="s">
        <v>3796</v>
      </c>
    </row>
    <row r="274" spans="1:4" s="11" customFormat="1" x14ac:dyDescent="0.15">
      <c r="A274" s="116"/>
      <c r="B274" s="124" t="s">
        <v>3803</v>
      </c>
      <c r="C274" s="116" t="s">
        <v>3804</v>
      </c>
      <c r="D274" s="124" t="s">
        <v>3796</v>
      </c>
    </row>
    <row r="275" spans="1:4" s="11" customFormat="1" x14ac:dyDescent="0.15">
      <c r="A275" s="116"/>
      <c r="B275" s="124" t="s">
        <v>3805</v>
      </c>
      <c r="C275" s="117" t="s">
        <v>3806</v>
      </c>
      <c r="D275" s="124" t="s">
        <v>3796</v>
      </c>
    </row>
    <row r="276" spans="1:4" s="11" customFormat="1" x14ac:dyDescent="0.15">
      <c r="A276" s="115"/>
      <c r="B276" s="115" t="s">
        <v>3807</v>
      </c>
      <c r="C276" s="115" t="s">
        <v>3808</v>
      </c>
      <c r="D276" s="124" t="s">
        <v>3796</v>
      </c>
    </row>
    <row r="277" spans="1:4" s="11" customFormat="1" x14ac:dyDescent="0.15">
      <c r="A277" s="115"/>
      <c r="B277" s="115" t="s">
        <v>3809</v>
      </c>
      <c r="C277" s="115" t="s">
        <v>3810</v>
      </c>
      <c r="D277" s="115" t="s">
        <v>3811</v>
      </c>
    </row>
    <row r="278" spans="1:4" s="11" customFormat="1" x14ac:dyDescent="0.15">
      <c r="A278" s="115"/>
      <c r="B278" s="115" t="s">
        <v>3812</v>
      </c>
      <c r="C278" s="115" t="s">
        <v>3813</v>
      </c>
      <c r="D278" s="115" t="s">
        <v>3811</v>
      </c>
    </row>
    <row r="279" spans="1:4" s="11" customFormat="1" x14ac:dyDescent="0.15">
      <c r="A279" s="115"/>
      <c r="B279" s="115" t="s">
        <v>3814</v>
      </c>
      <c r="C279" s="115" t="s">
        <v>3815</v>
      </c>
      <c r="D279" s="115" t="s">
        <v>3811</v>
      </c>
    </row>
    <row r="280" spans="1:4" s="11" customFormat="1" x14ac:dyDescent="0.15">
      <c r="A280" s="115"/>
      <c r="B280" s="115" t="s">
        <v>3816</v>
      </c>
      <c r="C280" s="115" t="s">
        <v>3817</v>
      </c>
      <c r="D280" s="115" t="s">
        <v>3811</v>
      </c>
    </row>
    <row r="281" spans="1:4" s="11" customFormat="1" x14ac:dyDescent="0.15">
      <c r="A281" s="115"/>
      <c r="B281" s="115" t="s">
        <v>3818</v>
      </c>
      <c r="C281" s="115" t="s">
        <v>3819</v>
      </c>
      <c r="D281" s="115" t="s">
        <v>3811</v>
      </c>
    </row>
    <row r="282" spans="1:4" s="11" customFormat="1" x14ac:dyDescent="0.15">
      <c r="A282" s="115"/>
      <c r="B282" s="117" t="s">
        <v>3820</v>
      </c>
      <c r="C282" s="115" t="s">
        <v>3821</v>
      </c>
      <c r="D282" s="115" t="s">
        <v>3822</v>
      </c>
    </row>
    <row r="283" spans="1:4" s="11" customFormat="1" x14ac:dyDescent="0.15">
      <c r="A283" s="115"/>
      <c r="B283" s="117" t="s">
        <v>3823</v>
      </c>
      <c r="C283" s="115" t="s">
        <v>3824</v>
      </c>
      <c r="D283" s="115" t="s">
        <v>3825</v>
      </c>
    </row>
    <row r="284" spans="1:4" s="11" customFormat="1" x14ac:dyDescent="0.15">
      <c r="A284" s="115"/>
      <c r="B284" s="117" t="s">
        <v>3826</v>
      </c>
      <c r="C284" s="115" t="s">
        <v>3827</v>
      </c>
      <c r="D284" s="115" t="s">
        <v>3828</v>
      </c>
    </row>
    <row r="285" spans="1:4" s="11" customFormat="1" x14ac:dyDescent="0.15">
      <c r="B285" s="11" t="s">
        <v>3829</v>
      </c>
      <c r="C285" s="11" t="s">
        <v>3830</v>
      </c>
      <c r="D285" s="11" t="s">
        <v>3831</v>
      </c>
    </row>
    <row r="286" spans="1:4" s="11" customFormat="1" x14ac:dyDescent="0.15">
      <c r="B286" s="11" t="s">
        <v>3832</v>
      </c>
      <c r="C286" s="11" t="s">
        <v>3833</v>
      </c>
      <c r="D286" s="11" t="s">
        <v>3834</v>
      </c>
    </row>
    <row r="287" spans="1:4" s="11" customFormat="1" x14ac:dyDescent="0.15">
      <c r="A287" s="115"/>
      <c r="B287" s="115" t="s">
        <v>3835</v>
      </c>
      <c r="C287" s="115" t="s">
        <v>3836</v>
      </c>
      <c r="D287" s="115" t="s">
        <v>3837</v>
      </c>
    </row>
  </sheetData>
  <phoneticPr fontId="11" type="noConversion"/>
  <conditionalFormatting sqref="B285:B287 B1:B6">
    <cfRule type="duplicateValues" dxfId="51" priority="11"/>
    <cfRule type="duplicateValues" dxfId="50" priority="12"/>
  </conditionalFormatting>
  <conditionalFormatting sqref="B285:B287 B1:B6">
    <cfRule type="duplicateValues" dxfId="49" priority="13"/>
  </conditionalFormatting>
  <conditionalFormatting sqref="B90:B108 B110:B135">
    <cfRule type="duplicateValues" dxfId="48" priority="10"/>
  </conditionalFormatting>
  <conditionalFormatting sqref="B270:B275">
    <cfRule type="duplicateValues" dxfId="47" priority="7"/>
    <cfRule type="duplicateValues" dxfId="46" priority="8"/>
  </conditionalFormatting>
  <conditionalFormatting sqref="B270:B275">
    <cfRule type="duplicateValues" dxfId="45" priority="9"/>
  </conditionalFormatting>
  <conditionalFormatting sqref="B276:B281 B269 B267 B29:B36 B7:B27 B45:B182">
    <cfRule type="duplicateValues" dxfId="44" priority="14"/>
    <cfRule type="duplicateValues" dxfId="43" priority="15"/>
  </conditionalFormatting>
  <conditionalFormatting sqref="B276:B281 B262:B269 B29:B36 B7:B27 B45:B182">
    <cfRule type="duplicateValues" dxfId="42" priority="16"/>
  </conditionalFormatting>
  <conditionalFormatting sqref="B218:B249 B253:B261">
    <cfRule type="duplicateValues" dxfId="41" priority="17"/>
    <cfRule type="duplicateValues" dxfId="40" priority="18"/>
  </conditionalFormatting>
  <conditionalFormatting sqref="B218:B249 B253:B261">
    <cfRule type="duplicateValues" dxfId="39" priority="19"/>
  </conditionalFormatting>
  <conditionalFormatting sqref="B37:B44">
    <cfRule type="duplicateValues" dxfId="38" priority="20"/>
    <cfRule type="duplicateValues" dxfId="37" priority="21"/>
  </conditionalFormatting>
  <conditionalFormatting sqref="B37:B44">
    <cfRule type="duplicateValues" dxfId="36" priority="22"/>
  </conditionalFormatting>
  <conditionalFormatting sqref="B215:B217">
    <cfRule type="duplicateValues" dxfId="35" priority="4"/>
    <cfRule type="duplicateValues" dxfId="34" priority="5"/>
  </conditionalFormatting>
  <conditionalFormatting sqref="B215:B217">
    <cfRule type="duplicateValues" dxfId="33" priority="6"/>
  </conditionalFormatting>
  <conditionalFormatting sqref="B250:B252">
    <cfRule type="duplicateValues" dxfId="32" priority="1"/>
    <cfRule type="duplicateValues" dxfId="31" priority="2"/>
  </conditionalFormatting>
  <conditionalFormatting sqref="B250:B252">
    <cfRule type="duplicateValues" dxfId="30" priority="3"/>
  </conditionalFormatting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A0E84E-0CDA-4F92-A5B7-C2C29EF896CF}">
  <sheetPr>
    <tabColor theme="2"/>
  </sheetPr>
  <dimension ref="A1:AF8"/>
  <sheetViews>
    <sheetView workbookViewId="0"/>
  </sheetViews>
  <sheetFormatPr defaultColWidth="9" defaultRowHeight="13.5" x14ac:dyDescent="0.15"/>
  <cols>
    <col min="1" max="1" width="11.75" style="87" customWidth="1"/>
    <col min="2" max="2" width="33.25" style="87" bestFit="1" customWidth="1"/>
    <col min="3" max="3" width="34.375" style="87" customWidth="1"/>
    <col min="4" max="4" width="18.875" style="87" bestFit="1" customWidth="1"/>
    <col min="5" max="5" width="11.625" style="87" bestFit="1" customWidth="1"/>
    <col min="6" max="6" width="15.75" style="87" customWidth="1"/>
    <col min="7" max="11" width="9" style="87"/>
    <col min="12" max="12" width="18" style="87" customWidth="1"/>
    <col min="13" max="14" width="9" style="87"/>
    <col min="15" max="15" width="38.25" style="87" customWidth="1"/>
    <col min="16" max="16" width="58.25" style="87" customWidth="1"/>
    <col min="17" max="17" width="41.25" style="87" customWidth="1"/>
    <col min="18" max="18" width="46" style="87" customWidth="1"/>
    <col min="19" max="19" width="31" style="87" customWidth="1"/>
    <col min="20" max="20" width="9" style="87"/>
    <col min="21" max="21" width="29.75" style="87" customWidth="1"/>
    <col min="22" max="22" width="40.75" style="87" customWidth="1"/>
    <col min="23" max="23" width="15" style="87" customWidth="1"/>
    <col min="24" max="24" width="9" style="87"/>
    <col min="25" max="25" width="23.125" style="87" customWidth="1"/>
    <col min="26" max="26" width="9" style="87"/>
    <col min="27" max="27" width="16.75" style="87" customWidth="1"/>
    <col min="28" max="28" width="19.25" style="87" customWidth="1"/>
    <col min="29" max="29" width="13.125" style="87" customWidth="1"/>
    <col min="30" max="16384" width="9" style="87"/>
  </cols>
  <sheetData>
    <row r="1" spans="1:32" x14ac:dyDescent="0.15">
      <c r="A1" s="86" t="s">
        <v>3838</v>
      </c>
      <c r="B1" s="7" t="s">
        <v>3527</v>
      </c>
      <c r="C1" s="7"/>
      <c r="D1" s="7"/>
      <c r="E1" s="7"/>
      <c r="F1" s="7"/>
      <c r="G1" s="7"/>
      <c r="H1" s="7"/>
      <c r="I1" s="7"/>
      <c r="J1" s="95"/>
      <c r="K1" s="7"/>
      <c r="L1" s="7"/>
      <c r="M1" s="7"/>
      <c r="N1" s="7"/>
      <c r="O1" s="7"/>
      <c r="P1" s="7"/>
      <c r="Q1" s="7"/>
      <c r="R1" s="7"/>
      <c r="S1" s="7"/>
      <c r="T1" s="7"/>
      <c r="U1" s="95"/>
      <c r="V1" s="7"/>
      <c r="W1" s="7"/>
      <c r="X1" s="7"/>
      <c r="Y1" s="7"/>
      <c r="Z1" s="7"/>
      <c r="AA1" s="7"/>
      <c r="AB1" s="7"/>
      <c r="AC1" s="7"/>
      <c r="AD1" s="7"/>
    </row>
    <row r="2" spans="1:32" s="7" customFormat="1" x14ac:dyDescent="0.15">
      <c r="A2" s="7" t="s">
        <v>70</v>
      </c>
      <c r="B2" s="8" t="s">
        <v>123</v>
      </c>
      <c r="C2" s="8" t="s">
        <v>241</v>
      </c>
      <c r="D2" s="8" t="s">
        <v>3839</v>
      </c>
      <c r="E2" s="8" t="s">
        <v>3840</v>
      </c>
      <c r="F2" s="8" t="s">
        <v>240</v>
      </c>
      <c r="G2" s="8" t="s">
        <v>3841</v>
      </c>
      <c r="H2" s="8" t="s">
        <v>239</v>
      </c>
      <c r="I2" s="8" t="s">
        <v>3842</v>
      </c>
      <c r="J2" s="8" t="s">
        <v>3843</v>
      </c>
      <c r="K2" s="8" t="s">
        <v>3844</v>
      </c>
      <c r="L2" s="8" t="s">
        <v>3845</v>
      </c>
      <c r="M2" s="8" t="s">
        <v>3846</v>
      </c>
      <c r="N2" s="8" t="s">
        <v>201</v>
      </c>
      <c r="O2" s="8" t="s">
        <v>3847</v>
      </c>
      <c r="P2" s="8" t="s">
        <v>71</v>
      </c>
      <c r="Q2" s="8" t="s">
        <v>3848</v>
      </c>
      <c r="R2" s="8" t="s">
        <v>71</v>
      </c>
      <c r="S2" s="8" t="s">
        <v>3849</v>
      </c>
      <c r="T2" s="8" t="s">
        <v>3850</v>
      </c>
      <c r="U2" s="8" t="s">
        <v>3851</v>
      </c>
      <c r="V2" s="8" t="s">
        <v>3852</v>
      </c>
      <c r="W2" s="8" t="s">
        <v>3853</v>
      </c>
      <c r="X2" s="8" t="s">
        <v>3854</v>
      </c>
      <c r="Y2" s="8" t="s">
        <v>3855</v>
      </c>
      <c r="Z2" s="8" t="s">
        <v>199</v>
      </c>
      <c r="AA2" s="8" t="s">
        <v>3856</v>
      </c>
      <c r="AB2" s="8" t="s">
        <v>3857</v>
      </c>
      <c r="AC2" s="8" t="s">
        <v>3858</v>
      </c>
      <c r="AD2" s="8" t="s">
        <v>3859</v>
      </c>
      <c r="AE2" s="8" t="s">
        <v>3860</v>
      </c>
      <c r="AF2" s="8" t="s">
        <v>3861</v>
      </c>
    </row>
    <row r="3" spans="1:32" s="7" customFormat="1" x14ac:dyDescent="0.15">
      <c r="B3" s="9" t="s">
        <v>72</v>
      </c>
      <c r="C3" s="9" t="s">
        <v>74</v>
      </c>
      <c r="D3" s="9" t="s">
        <v>3862</v>
      </c>
      <c r="E3" s="9" t="s">
        <v>74</v>
      </c>
      <c r="F3" s="9" t="s">
        <v>72</v>
      </c>
      <c r="G3" s="9" t="s">
        <v>72</v>
      </c>
      <c r="H3" s="9" t="s">
        <v>72</v>
      </c>
      <c r="I3" s="9" t="s">
        <v>72</v>
      </c>
      <c r="J3" s="9" t="s">
        <v>72</v>
      </c>
      <c r="K3" s="9" t="s">
        <v>72</v>
      </c>
      <c r="L3" s="9" t="s">
        <v>74</v>
      </c>
      <c r="M3" s="9" t="s">
        <v>74</v>
      </c>
      <c r="N3" s="9" t="s">
        <v>72</v>
      </c>
      <c r="O3" s="9" t="s">
        <v>74</v>
      </c>
      <c r="P3" s="9" t="s">
        <v>73</v>
      </c>
      <c r="Q3" s="9" t="s">
        <v>74</v>
      </c>
      <c r="R3" s="9" t="s">
        <v>73</v>
      </c>
      <c r="S3" s="9" t="s">
        <v>74</v>
      </c>
      <c r="T3" s="9" t="s">
        <v>72</v>
      </c>
      <c r="U3" s="9" t="s">
        <v>72</v>
      </c>
      <c r="V3" s="9" t="s">
        <v>72</v>
      </c>
      <c r="W3" s="9" t="s">
        <v>74</v>
      </c>
      <c r="X3" s="9" t="s">
        <v>74</v>
      </c>
      <c r="Y3" s="9" t="s">
        <v>72</v>
      </c>
      <c r="Z3" s="9" t="s">
        <v>74</v>
      </c>
      <c r="AA3" s="9" t="s">
        <v>74</v>
      </c>
      <c r="AB3" s="9" t="s">
        <v>72</v>
      </c>
      <c r="AC3" s="9" t="s">
        <v>74</v>
      </c>
      <c r="AD3" s="9" t="s">
        <v>72</v>
      </c>
      <c r="AE3" s="9" t="s">
        <v>95</v>
      </c>
      <c r="AF3" s="9" t="s">
        <v>72</v>
      </c>
    </row>
    <row r="4" spans="1:32" s="7" customFormat="1" x14ac:dyDescent="0.15">
      <c r="B4" s="10" t="s">
        <v>75</v>
      </c>
      <c r="C4" s="10" t="s">
        <v>75</v>
      </c>
      <c r="D4" s="10" t="s">
        <v>222</v>
      </c>
      <c r="E4" s="10" t="s">
        <v>75</v>
      </c>
      <c r="F4" s="10" t="s">
        <v>75</v>
      </c>
      <c r="G4" s="10" t="s">
        <v>80</v>
      </c>
      <c r="H4" s="10" t="s">
        <v>76</v>
      </c>
      <c r="I4" s="10" t="s">
        <v>76</v>
      </c>
      <c r="J4" s="10" t="s">
        <v>76</v>
      </c>
      <c r="K4" s="10" t="s">
        <v>76</v>
      </c>
      <c r="L4" s="10" t="s">
        <v>76</v>
      </c>
      <c r="M4" s="10" t="s">
        <v>76</v>
      </c>
      <c r="N4" s="10" t="s">
        <v>76</v>
      </c>
      <c r="O4" s="10" t="s">
        <v>75</v>
      </c>
      <c r="P4" s="10" t="s">
        <v>73</v>
      </c>
      <c r="Q4" s="10" t="s">
        <v>75</v>
      </c>
      <c r="R4" s="10" t="s">
        <v>73</v>
      </c>
      <c r="S4" s="10" t="s">
        <v>75</v>
      </c>
      <c r="T4" s="10" t="s">
        <v>76</v>
      </c>
      <c r="U4" s="10" t="s">
        <v>238</v>
      </c>
      <c r="V4" s="10" t="s">
        <v>238</v>
      </c>
      <c r="W4" s="10" t="s">
        <v>75</v>
      </c>
      <c r="X4" s="10" t="s">
        <v>76</v>
      </c>
      <c r="Y4" s="10" t="s">
        <v>76</v>
      </c>
      <c r="Z4" s="10" t="s">
        <v>75</v>
      </c>
      <c r="AA4" s="10" t="s">
        <v>76</v>
      </c>
      <c r="AB4" s="10" t="s">
        <v>76</v>
      </c>
      <c r="AC4" s="10" t="s">
        <v>76</v>
      </c>
      <c r="AD4" s="10" t="s">
        <v>740</v>
      </c>
      <c r="AE4" s="10" t="s">
        <v>237</v>
      </c>
      <c r="AF4" s="10" t="s">
        <v>237</v>
      </c>
    </row>
    <row r="5" spans="1:32" s="7" customFormat="1" x14ac:dyDescent="0.15">
      <c r="B5" s="9" t="s">
        <v>81</v>
      </c>
      <c r="C5" s="9" t="s">
        <v>194</v>
      </c>
      <c r="D5" s="9" t="s">
        <v>3863</v>
      </c>
      <c r="E5" s="9" t="s">
        <v>3864</v>
      </c>
      <c r="F5" s="9" t="s">
        <v>82</v>
      </c>
      <c r="G5" s="9" t="s">
        <v>3865</v>
      </c>
      <c r="H5" s="9" t="s">
        <v>236</v>
      </c>
      <c r="I5" s="9" t="s">
        <v>3866</v>
      </c>
      <c r="J5" s="9" t="s">
        <v>3867</v>
      </c>
      <c r="K5" s="9" t="s">
        <v>3868</v>
      </c>
      <c r="L5" s="9" t="s">
        <v>3869</v>
      </c>
      <c r="M5" s="9" t="s">
        <v>3870</v>
      </c>
      <c r="N5" s="9" t="s">
        <v>3871</v>
      </c>
      <c r="O5" s="9" t="s">
        <v>83</v>
      </c>
      <c r="P5" s="9" t="s">
        <v>84</v>
      </c>
      <c r="Q5" s="9" t="s">
        <v>3872</v>
      </c>
      <c r="R5" s="9" t="s">
        <v>3873</v>
      </c>
      <c r="S5" s="9" t="s">
        <v>86</v>
      </c>
      <c r="T5" s="9" t="s">
        <v>3874</v>
      </c>
      <c r="U5" s="9" t="s">
        <v>195</v>
      </c>
      <c r="V5" s="9" t="s">
        <v>3875</v>
      </c>
      <c r="W5" s="9" t="s">
        <v>3876</v>
      </c>
      <c r="X5" s="9" t="s">
        <v>3877</v>
      </c>
      <c r="Y5" s="9" t="s">
        <v>3878</v>
      </c>
      <c r="Z5" s="9" t="s">
        <v>3879</v>
      </c>
      <c r="AA5" s="9" t="s">
        <v>3880</v>
      </c>
      <c r="AB5" s="9" t="s">
        <v>3881</v>
      </c>
      <c r="AC5" s="9" t="s">
        <v>3882</v>
      </c>
      <c r="AD5" s="9" t="s">
        <v>3883</v>
      </c>
      <c r="AE5" s="9" t="s">
        <v>3884</v>
      </c>
      <c r="AF5" s="9" t="s">
        <v>3885</v>
      </c>
    </row>
    <row r="6" spans="1:32" s="7" customFormat="1" x14ac:dyDescent="0.15">
      <c r="B6" s="10" t="s">
        <v>77</v>
      </c>
      <c r="C6" s="10" t="s">
        <v>78</v>
      </c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 t="s">
        <v>78</v>
      </c>
      <c r="P6" s="10"/>
      <c r="Q6" s="10" t="s">
        <v>78</v>
      </c>
      <c r="R6" s="10"/>
      <c r="S6" s="10"/>
      <c r="T6" s="10"/>
      <c r="U6" s="10" t="s">
        <v>87</v>
      </c>
      <c r="V6" s="10" t="s">
        <v>3886</v>
      </c>
      <c r="W6" s="10" t="s">
        <v>78</v>
      </c>
      <c r="X6" s="10"/>
      <c r="Y6" s="10"/>
      <c r="Z6" s="10"/>
      <c r="AA6" s="10"/>
      <c r="AB6" s="10"/>
      <c r="AC6" s="10"/>
      <c r="AD6" s="10"/>
      <c r="AE6" s="10"/>
      <c r="AF6" s="10"/>
    </row>
    <row r="7" spans="1:32" s="73" customFormat="1" x14ac:dyDescent="0.15">
      <c r="B7" s="73" t="s">
        <v>3887</v>
      </c>
      <c r="C7" s="73" t="s">
        <v>3469</v>
      </c>
      <c r="D7" s="73" t="s">
        <v>3470</v>
      </c>
      <c r="E7" s="73" t="s">
        <v>3888</v>
      </c>
      <c r="F7" s="73" t="s">
        <v>3889</v>
      </c>
      <c r="H7" s="73">
        <v>5</v>
      </c>
      <c r="I7" s="73">
        <v>-1</v>
      </c>
      <c r="J7" s="73">
        <v>0</v>
      </c>
      <c r="K7" s="73">
        <v>1</v>
      </c>
      <c r="L7" s="73">
        <v>1</v>
      </c>
      <c r="M7" s="73">
        <v>0</v>
      </c>
      <c r="N7" s="73">
        <v>648861</v>
      </c>
      <c r="O7" s="122" t="s">
        <v>3472</v>
      </c>
      <c r="P7" s="122" t="s">
        <v>3473</v>
      </c>
      <c r="Q7" s="143" t="s">
        <v>3475</v>
      </c>
      <c r="R7" s="143" t="s">
        <v>3476</v>
      </c>
      <c r="S7" s="73" t="s">
        <v>3890</v>
      </c>
      <c r="T7" s="73">
        <v>-1</v>
      </c>
      <c r="U7" s="73" t="s">
        <v>235</v>
      </c>
      <c r="V7" s="73" t="s">
        <v>235</v>
      </c>
      <c r="X7" s="73">
        <v>0</v>
      </c>
      <c r="Y7" s="73">
        <v>999999</v>
      </c>
      <c r="AA7" s="73">
        <v>0</v>
      </c>
      <c r="AB7" s="73">
        <v>0</v>
      </c>
      <c r="AE7" s="73">
        <v>648</v>
      </c>
    </row>
    <row r="8" spans="1:32" s="73" customFormat="1" x14ac:dyDescent="0.15">
      <c r="B8" s="73" t="s">
        <v>1312</v>
      </c>
      <c r="C8" s="73" t="s">
        <v>3478</v>
      </c>
      <c r="D8" s="144" t="s">
        <v>3479</v>
      </c>
      <c r="E8" s="73" t="s">
        <v>3891</v>
      </c>
      <c r="F8" s="73" t="s">
        <v>3892</v>
      </c>
      <c r="H8" s="73">
        <v>5</v>
      </c>
      <c r="I8" s="73">
        <v>-1</v>
      </c>
      <c r="J8" s="73">
        <v>1</v>
      </c>
      <c r="K8" s="73">
        <v>1</v>
      </c>
      <c r="L8" s="73">
        <v>1</v>
      </c>
      <c r="M8" s="73">
        <v>0</v>
      </c>
      <c r="N8" s="73">
        <v>648862</v>
      </c>
      <c r="O8" s="122" t="s">
        <v>3481</v>
      </c>
      <c r="P8" s="73" t="s">
        <v>3482</v>
      </c>
      <c r="Q8" s="122" t="s">
        <v>3484</v>
      </c>
      <c r="R8" s="122" t="s">
        <v>3893</v>
      </c>
      <c r="S8" s="73" t="s">
        <v>3894</v>
      </c>
      <c r="T8" s="73">
        <v>200</v>
      </c>
      <c r="U8" s="73" t="s">
        <v>235</v>
      </c>
      <c r="V8" s="73" t="s">
        <v>235</v>
      </c>
      <c r="X8" s="73">
        <v>0</v>
      </c>
      <c r="Y8" s="73">
        <v>999999</v>
      </c>
      <c r="AA8" s="73">
        <v>1</v>
      </c>
      <c r="AB8" s="73">
        <v>0</v>
      </c>
      <c r="AE8" s="73">
        <v>648</v>
      </c>
    </row>
  </sheetData>
  <phoneticPr fontId="11" type="noConversion"/>
  <conditionalFormatting sqref="O7">
    <cfRule type="duplicateValues" dxfId="29" priority="10"/>
    <cfRule type="duplicateValues" dxfId="28" priority="11"/>
  </conditionalFormatting>
  <conditionalFormatting sqref="O7">
    <cfRule type="duplicateValues" dxfId="27" priority="12"/>
  </conditionalFormatting>
  <conditionalFormatting sqref="Q7">
    <cfRule type="duplicateValues" dxfId="26" priority="7"/>
    <cfRule type="duplicateValues" dxfId="25" priority="8"/>
  </conditionalFormatting>
  <conditionalFormatting sqref="Q7">
    <cfRule type="duplicateValues" dxfId="24" priority="9"/>
  </conditionalFormatting>
  <conditionalFormatting sqref="O8">
    <cfRule type="duplicateValues" dxfId="23" priority="4"/>
    <cfRule type="duplicateValues" dxfId="22" priority="5"/>
  </conditionalFormatting>
  <conditionalFormatting sqref="O8">
    <cfRule type="duplicateValues" dxfId="21" priority="6"/>
  </conditionalFormatting>
  <conditionalFormatting sqref="Q8">
    <cfRule type="duplicateValues" dxfId="20" priority="1"/>
    <cfRule type="duplicateValues" dxfId="19" priority="2"/>
  </conditionalFormatting>
  <conditionalFormatting sqref="Q8">
    <cfRule type="duplicateValues" dxfId="18" priority="3"/>
  </conditionalFormatting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028A31-5A79-4706-8DFF-928394256D90}">
  <sheetPr>
    <tabColor theme="2"/>
  </sheetPr>
  <dimension ref="A1:M7"/>
  <sheetViews>
    <sheetView workbookViewId="0"/>
  </sheetViews>
  <sheetFormatPr defaultRowHeight="13.5" x14ac:dyDescent="0.15"/>
  <sheetData>
    <row r="1" spans="1:13" x14ac:dyDescent="0.15">
      <c r="A1" s="96" t="s">
        <v>3895</v>
      </c>
      <c r="B1" s="96" t="s">
        <v>3896</v>
      </c>
      <c r="C1" s="96"/>
      <c r="D1" s="96"/>
      <c r="E1" s="96"/>
      <c r="F1" s="96"/>
      <c r="G1" s="96"/>
      <c r="H1" s="96"/>
      <c r="I1" s="96"/>
      <c r="J1" s="96"/>
      <c r="K1" s="96"/>
      <c r="L1" s="96"/>
      <c r="M1" s="96"/>
    </row>
    <row r="2" spans="1:13" x14ac:dyDescent="0.15">
      <c r="A2" s="96" t="s">
        <v>70</v>
      </c>
      <c r="B2" s="8" t="s">
        <v>123</v>
      </c>
      <c r="C2" s="8" t="s">
        <v>3897</v>
      </c>
      <c r="D2" s="8" t="s">
        <v>71</v>
      </c>
      <c r="E2" s="8" t="s">
        <v>3898</v>
      </c>
      <c r="F2" s="8" t="s">
        <v>3899</v>
      </c>
      <c r="G2" s="8" t="s">
        <v>3900</v>
      </c>
      <c r="H2" s="8" t="s">
        <v>3901</v>
      </c>
      <c r="I2" s="8" t="s">
        <v>3902</v>
      </c>
      <c r="J2" s="8" t="s">
        <v>71</v>
      </c>
      <c r="K2" s="8" t="s">
        <v>239</v>
      </c>
      <c r="L2" s="8" t="s">
        <v>3903</v>
      </c>
      <c r="M2" s="8" t="s">
        <v>3852</v>
      </c>
    </row>
    <row r="3" spans="1:13" x14ac:dyDescent="0.15">
      <c r="A3" s="96"/>
      <c r="B3" s="9" t="s">
        <v>72</v>
      </c>
      <c r="C3" s="9" t="s">
        <v>74</v>
      </c>
      <c r="D3" s="9" t="s">
        <v>73</v>
      </c>
      <c r="E3" s="9" t="s">
        <v>72</v>
      </c>
      <c r="F3" s="9" t="s">
        <v>74</v>
      </c>
      <c r="G3" s="9" t="s">
        <v>74</v>
      </c>
      <c r="H3" s="9" t="s">
        <v>74</v>
      </c>
      <c r="I3" s="9" t="s">
        <v>74</v>
      </c>
      <c r="J3" s="9" t="s">
        <v>73</v>
      </c>
      <c r="K3" s="9" t="s">
        <v>72</v>
      </c>
      <c r="L3" s="9" t="s">
        <v>74</v>
      </c>
      <c r="M3" s="9" t="s">
        <v>72</v>
      </c>
    </row>
    <row r="4" spans="1:13" x14ac:dyDescent="0.15">
      <c r="A4" s="96"/>
      <c r="B4" s="10" t="s">
        <v>75</v>
      </c>
      <c r="C4" s="10" t="s">
        <v>75</v>
      </c>
      <c r="D4" s="10" t="s">
        <v>73</v>
      </c>
      <c r="E4" s="10" t="s">
        <v>249</v>
      </c>
      <c r="F4" s="10" t="s">
        <v>238</v>
      </c>
      <c r="G4" s="10" t="s">
        <v>75</v>
      </c>
      <c r="H4" s="10" t="s">
        <v>75</v>
      </c>
      <c r="I4" s="10" t="s">
        <v>75</v>
      </c>
      <c r="J4" s="10" t="s">
        <v>73</v>
      </c>
      <c r="K4" s="10" t="s">
        <v>249</v>
      </c>
      <c r="L4" s="10" t="s">
        <v>764</v>
      </c>
      <c r="M4" s="10" t="s">
        <v>238</v>
      </c>
    </row>
    <row r="5" spans="1:13" x14ac:dyDescent="0.15">
      <c r="A5" s="96"/>
      <c r="B5" s="9" t="s">
        <v>81</v>
      </c>
      <c r="C5" s="9" t="s">
        <v>194</v>
      </c>
      <c r="D5" s="9" t="s">
        <v>73</v>
      </c>
      <c r="E5" s="9" t="s">
        <v>3904</v>
      </c>
      <c r="F5" s="9" t="s">
        <v>3905</v>
      </c>
      <c r="G5" s="9" t="s">
        <v>3906</v>
      </c>
      <c r="H5" s="9" t="s">
        <v>3907</v>
      </c>
      <c r="I5" s="9" t="s">
        <v>83</v>
      </c>
      <c r="J5" s="9" t="s">
        <v>73</v>
      </c>
      <c r="K5" s="9" t="s">
        <v>236</v>
      </c>
      <c r="L5" s="9" t="s">
        <v>3908</v>
      </c>
      <c r="M5" s="9" t="s">
        <v>3909</v>
      </c>
    </row>
    <row r="6" spans="1:13" x14ac:dyDescent="0.15">
      <c r="A6" s="96"/>
      <c r="B6" s="10" t="s">
        <v>77</v>
      </c>
      <c r="C6" s="10" t="s">
        <v>78</v>
      </c>
      <c r="D6" s="10"/>
      <c r="E6" s="10"/>
      <c r="F6" s="10"/>
      <c r="G6" s="10"/>
      <c r="H6" s="10"/>
      <c r="I6" s="10" t="s">
        <v>78</v>
      </c>
      <c r="J6" s="10"/>
      <c r="K6" s="10"/>
      <c r="L6" s="10"/>
      <c r="M6" s="10"/>
    </row>
    <row r="7" spans="1:13" s="11" customFormat="1" x14ac:dyDescent="0.15">
      <c r="A7" s="73"/>
      <c r="B7" s="73" t="s">
        <v>3910</v>
      </c>
      <c r="C7" s="73" t="s">
        <v>3469</v>
      </c>
      <c r="D7" s="73" t="s">
        <v>3470</v>
      </c>
      <c r="E7" s="73" t="s">
        <v>3305</v>
      </c>
      <c r="F7" s="73" t="s">
        <v>3911</v>
      </c>
      <c r="G7" s="73" t="s">
        <v>3890</v>
      </c>
      <c r="H7" s="73" t="s">
        <v>3912</v>
      </c>
      <c r="I7" s="73" t="s">
        <v>3475</v>
      </c>
      <c r="J7" s="73" t="s">
        <v>3913</v>
      </c>
      <c r="K7" s="73" t="s">
        <v>3914</v>
      </c>
      <c r="L7" s="73"/>
      <c r="M7" s="73" t="s">
        <v>235</v>
      </c>
    </row>
  </sheetData>
  <phoneticPr fontId="11" type="noConversion"/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F284C9-6918-4062-A08F-E4F3C495C96B}">
  <sheetPr>
    <tabColor theme="2"/>
  </sheetPr>
  <dimension ref="A1:J7"/>
  <sheetViews>
    <sheetView workbookViewId="0"/>
  </sheetViews>
  <sheetFormatPr defaultColWidth="9" defaultRowHeight="13.5" x14ac:dyDescent="0.15"/>
  <cols>
    <col min="1" max="1" width="13.875" style="87" bestFit="1" customWidth="1"/>
    <col min="2" max="2" width="26.875" style="87" bestFit="1" customWidth="1"/>
    <col min="3" max="6" width="9" style="87"/>
    <col min="7" max="7" width="36.625" style="87" customWidth="1"/>
    <col min="8" max="8" width="9" style="87"/>
    <col min="9" max="9" width="36.125" style="87" customWidth="1"/>
    <col min="10" max="16384" width="9" style="87"/>
  </cols>
  <sheetData>
    <row r="1" spans="1:10" s="7" customFormat="1" x14ac:dyDescent="0.15">
      <c r="A1" s="86" t="s">
        <v>3915</v>
      </c>
      <c r="B1" s="7" t="s">
        <v>3488</v>
      </c>
    </row>
    <row r="2" spans="1:10" s="7" customFormat="1" x14ac:dyDescent="0.15">
      <c r="A2" s="7" t="s">
        <v>70</v>
      </c>
      <c r="B2" s="8" t="s">
        <v>123</v>
      </c>
      <c r="C2" s="8" t="s">
        <v>3916</v>
      </c>
      <c r="D2" s="8" t="s">
        <v>3917</v>
      </c>
      <c r="E2" s="8" t="s">
        <v>3918</v>
      </c>
      <c r="F2" s="8" t="s">
        <v>3919</v>
      </c>
      <c r="G2" s="8" t="s">
        <v>3920</v>
      </c>
      <c r="H2" s="8" t="s">
        <v>71</v>
      </c>
      <c r="I2" s="8" t="s">
        <v>3921</v>
      </c>
      <c r="J2" s="8" t="s">
        <v>3916</v>
      </c>
    </row>
    <row r="3" spans="1:10" s="7" customFormat="1" x14ac:dyDescent="0.15">
      <c r="B3" s="9" t="s">
        <v>74</v>
      </c>
      <c r="C3" s="9" t="s">
        <v>73</v>
      </c>
      <c r="D3" s="9" t="s">
        <v>74</v>
      </c>
      <c r="E3" s="9" t="s">
        <v>74</v>
      </c>
      <c r="F3" s="9" t="s">
        <v>74</v>
      </c>
      <c r="G3" s="9" t="s">
        <v>74</v>
      </c>
      <c r="H3" s="9" t="s">
        <v>73</v>
      </c>
      <c r="I3" s="9" t="s">
        <v>74</v>
      </c>
      <c r="J3" s="9" t="s">
        <v>73</v>
      </c>
    </row>
    <row r="4" spans="1:10" s="7" customFormat="1" x14ac:dyDescent="0.15">
      <c r="B4" s="10" t="s">
        <v>75</v>
      </c>
      <c r="C4" s="10" t="s">
        <v>73</v>
      </c>
      <c r="D4" s="10" t="s">
        <v>75</v>
      </c>
      <c r="E4" s="10" t="s">
        <v>76</v>
      </c>
      <c r="F4" s="10" t="s">
        <v>76</v>
      </c>
      <c r="G4" s="10" t="s">
        <v>75</v>
      </c>
      <c r="H4" s="10" t="s">
        <v>73</v>
      </c>
      <c r="I4" s="10" t="s">
        <v>75</v>
      </c>
      <c r="J4" s="10" t="s">
        <v>73</v>
      </c>
    </row>
    <row r="5" spans="1:10" s="7" customFormat="1" x14ac:dyDescent="0.15">
      <c r="B5" s="9" t="s">
        <v>81</v>
      </c>
      <c r="C5" s="9" t="s">
        <v>73</v>
      </c>
      <c r="D5" s="9" t="s">
        <v>3917</v>
      </c>
      <c r="E5" s="9" t="s">
        <v>3922</v>
      </c>
      <c r="F5" s="9" t="s">
        <v>3923</v>
      </c>
      <c r="G5" s="9" t="s">
        <v>3924</v>
      </c>
      <c r="H5" s="9" t="s">
        <v>73</v>
      </c>
      <c r="I5" s="9" t="s">
        <v>3925</v>
      </c>
      <c r="J5" s="9" t="s">
        <v>73</v>
      </c>
    </row>
    <row r="6" spans="1:10" s="7" customFormat="1" x14ac:dyDescent="0.15">
      <c r="B6" s="10" t="s">
        <v>77</v>
      </c>
      <c r="C6" s="10"/>
      <c r="D6" s="10"/>
      <c r="E6" s="10"/>
      <c r="F6" s="10"/>
      <c r="G6" s="10" t="s">
        <v>78</v>
      </c>
      <c r="H6" s="10" t="s">
        <v>73</v>
      </c>
      <c r="I6" s="10" t="s">
        <v>78</v>
      </c>
      <c r="J6" s="10" t="s">
        <v>73</v>
      </c>
    </row>
    <row r="7" spans="1:10" s="73" customFormat="1" x14ac:dyDescent="0.15">
      <c r="B7" s="73" t="s">
        <v>3910</v>
      </c>
      <c r="E7" s="73">
        <v>0</v>
      </c>
      <c r="F7" s="73">
        <v>0</v>
      </c>
      <c r="G7" s="73" t="s">
        <v>3487</v>
      </c>
      <c r="H7" s="73" t="s">
        <v>3488</v>
      </c>
      <c r="I7" s="122" t="s">
        <v>3490</v>
      </c>
      <c r="J7" s="122" t="s">
        <v>3491</v>
      </c>
    </row>
  </sheetData>
  <phoneticPr fontId="11" type="noConversion"/>
  <conditionalFormatting sqref="I7">
    <cfRule type="duplicateValues" dxfId="17" priority="1"/>
    <cfRule type="duplicateValues" dxfId="16" priority="2"/>
  </conditionalFormatting>
  <conditionalFormatting sqref="I7">
    <cfRule type="duplicateValues" dxfId="15" priority="3"/>
  </conditionalFormatting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D62EFD-FA06-419B-8365-FE46B2283F8F}">
  <sheetPr>
    <tabColor theme="2"/>
  </sheetPr>
  <dimension ref="A1:H8"/>
  <sheetViews>
    <sheetView workbookViewId="0"/>
  </sheetViews>
  <sheetFormatPr defaultColWidth="9" defaultRowHeight="13.5" x14ac:dyDescent="0.15"/>
  <cols>
    <col min="1" max="1" width="9" style="96"/>
    <col min="2" max="2" width="29.5" style="96" customWidth="1"/>
    <col min="3" max="3" width="11.125" style="96" customWidth="1"/>
    <col min="4" max="4" width="13.25" style="96" customWidth="1"/>
    <col min="5" max="5" width="35.5" style="96" customWidth="1"/>
    <col min="6" max="6" width="44.875" style="96" customWidth="1"/>
    <col min="7" max="7" width="70" style="96" customWidth="1"/>
    <col min="8" max="8" width="92.625" style="96" bestFit="1" customWidth="1"/>
    <col min="9" max="16384" width="9" style="96"/>
  </cols>
  <sheetData>
    <row r="1" spans="1:8" x14ac:dyDescent="0.15">
      <c r="A1" s="86" t="s">
        <v>3926</v>
      </c>
      <c r="B1" s="7" t="s">
        <v>3927</v>
      </c>
      <c r="C1" s="7"/>
      <c r="D1" s="87"/>
      <c r="E1" s="87"/>
      <c r="F1" s="88"/>
      <c r="G1" s="87"/>
    </row>
    <row r="2" spans="1:8" x14ac:dyDescent="0.15">
      <c r="A2" s="87" t="s">
        <v>70</v>
      </c>
      <c r="B2" s="8" t="s">
        <v>123</v>
      </c>
      <c r="C2" s="8" t="s">
        <v>3928</v>
      </c>
      <c r="D2" s="8" t="s">
        <v>3929</v>
      </c>
      <c r="E2" s="8" t="s">
        <v>3930</v>
      </c>
      <c r="F2" s="8" t="s">
        <v>3931</v>
      </c>
      <c r="G2" s="8" t="s">
        <v>3932</v>
      </c>
      <c r="H2" s="8" t="s">
        <v>3933</v>
      </c>
    </row>
    <row r="3" spans="1:8" x14ac:dyDescent="0.15">
      <c r="A3" s="87"/>
      <c r="B3" s="9" t="s">
        <v>72</v>
      </c>
      <c r="C3" s="9" t="s">
        <v>96</v>
      </c>
      <c r="D3" s="9" t="s">
        <v>96</v>
      </c>
      <c r="E3" s="9" t="s">
        <v>96</v>
      </c>
      <c r="F3" s="9" t="s">
        <v>96</v>
      </c>
      <c r="G3" s="89" t="s">
        <v>3934</v>
      </c>
      <c r="H3" s="89" t="s">
        <v>3934</v>
      </c>
    </row>
    <row r="4" spans="1:8" x14ac:dyDescent="0.15">
      <c r="A4" s="87"/>
      <c r="B4" s="10" t="s">
        <v>75</v>
      </c>
      <c r="C4" s="10" t="s">
        <v>93</v>
      </c>
      <c r="D4" s="10" t="s">
        <v>75</v>
      </c>
      <c r="E4" s="10" t="s">
        <v>75</v>
      </c>
      <c r="F4" s="10" t="s">
        <v>740</v>
      </c>
      <c r="G4" s="90" t="s">
        <v>222</v>
      </c>
      <c r="H4" s="90" t="s">
        <v>3935</v>
      </c>
    </row>
    <row r="5" spans="1:8" x14ac:dyDescent="0.15">
      <c r="A5" s="87"/>
      <c r="B5" s="9" t="s">
        <v>81</v>
      </c>
      <c r="C5" s="9" t="s">
        <v>3936</v>
      </c>
      <c r="D5" s="9" t="s">
        <v>3355</v>
      </c>
      <c r="E5" s="9" t="s">
        <v>3937</v>
      </c>
      <c r="F5" s="9" t="s">
        <v>3938</v>
      </c>
      <c r="G5" s="89" t="s">
        <v>3939</v>
      </c>
      <c r="H5" s="89" t="s">
        <v>3940</v>
      </c>
    </row>
    <row r="6" spans="1:8" x14ac:dyDescent="0.15">
      <c r="A6" s="87"/>
      <c r="B6" s="10" t="s">
        <v>77</v>
      </c>
      <c r="C6" s="10"/>
      <c r="D6" s="10"/>
      <c r="E6" s="10"/>
      <c r="F6" s="10"/>
      <c r="G6" s="90"/>
      <c r="H6" s="90"/>
    </row>
    <row r="7" spans="1:8" s="144" customFormat="1" x14ac:dyDescent="0.15">
      <c r="A7" s="119"/>
      <c r="B7" s="119" t="s">
        <v>3941</v>
      </c>
      <c r="C7" s="119">
        <v>3013</v>
      </c>
      <c r="D7" s="119" t="s">
        <v>3942</v>
      </c>
      <c r="E7" s="119" t="s">
        <v>3381</v>
      </c>
      <c r="F7" s="119" t="s">
        <v>3943</v>
      </c>
      <c r="G7" s="119" t="s">
        <v>3944</v>
      </c>
    </row>
    <row r="8" spans="1:8" s="144" customFormat="1" x14ac:dyDescent="0.15">
      <c r="A8" s="119"/>
      <c r="B8" s="119" t="s">
        <v>3945</v>
      </c>
      <c r="C8" s="119">
        <v>3015</v>
      </c>
      <c r="D8" s="119" t="s">
        <v>3942</v>
      </c>
      <c r="E8" s="119" t="s">
        <v>3424</v>
      </c>
      <c r="F8" s="119" t="s">
        <v>3946</v>
      </c>
      <c r="G8" s="145" t="s">
        <v>3947</v>
      </c>
      <c r="H8" s="146" t="s">
        <v>3948</v>
      </c>
    </row>
  </sheetData>
  <phoneticPr fontId="11" type="noConversion"/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3E435D-95D7-4E80-BFE5-5FE49DD9AB53}">
  <sheetPr>
    <tabColor theme="2"/>
  </sheetPr>
  <dimension ref="A1:O9"/>
  <sheetViews>
    <sheetView workbookViewId="0"/>
  </sheetViews>
  <sheetFormatPr defaultRowHeight="13.5" x14ac:dyDescent="0.15"/>
  <sheetData>
    <row r="1" spans="1:15" ht="16.5" x14ac:dyDescent="0.15">
      <c r="A1" s="97" t="s">
        <v>3949</v>
      </c>
      <c r="B1" s="97" t="s">
        <v>3896</v>
      </c>
      <c r="C1" s="97"/>
      <c r="D1" s="97"/>
      <c r="E1" s="97"/>
      <c r="F1" s="97"/>
      <c r="G1" s="97"/>
      <c r="H1" s="97"/>
      <c r="I1" s="97"/>
      <c r="J1" s="97"/>
      <c r="K1" s="97"/>
      <c r="L1" s="97"/>
      <c r="M1" s="97"/>
      <c r="N1" s="97"/>
      <c r="O1" s="97"/>
    </row>
    <row r="2" spans="1:15" ht="16.5" x14ac:dyDescent="0.15">
      <c r="A2" s="97" t="s">
        <v>70</v>
      </c>
      <c r="B2" s="98" t="s">
        <v>123</v>
      </c>
      <c r="C2" s="98" t="s">
        <v>240</v>
      </c>
      <c r="D2" s="98" t="s">
        <v>3950</v>
      </c>
      <c r="E2" s="98" t="s">
        <v>71</v>
      </c>
      <c r="F2" s="98" t="s">
        <v>3951</v>
      </c>
      <c r="G2" s="98" t="s">
        <v>71</v>
      </c>
      <c r="H2" s="98" t="s">
        <v>3952</v>
      </c>
      <c r="I2" s="98" t="s">
        <v>3953</v>
      </c>
      <c r="J2" s="98" t="s">
        <v>3954</v>
      </c>
      <c r="K2" s="98" t="s">
        <v>3955</v>
      </c>
      <c r="L2" s="98" t="s">
        <v>3956</v>
      </c>
      <c r="M2" s="98" t="s">
        <v>3957</v>
      </c>
      <c r="N2" s="98" t="s">
        <v>3958</v>
      </c>
      <c r="O2" s="98" t="s">
        <v>3959</v>
      </c>
    </row>
    <row r="3" spans="1:15" ht="16.5" x14ac:dyDescent="0.15">
      <c r="A3" s="97"/>
      <c r="B3" s="99" t="s">
        <v>72</v>
      </c>
      <c r="C3" s="99" t="s">
        <v>72</v>
      </c>
      <c r="D3" s="99" t="s">
        <v>74</v>
      </c>
      <c r="E3" s="99" t="s">
        <v>73</v>
      </c>
      <c r="F3" s="99" t="s">
        <v>74</v>
      </c>
      <c r="G3" s="99" t="s">
        <v>73</v>
      </c>
      <c r="H3" s="99" t="s">
        <v>72</v>
      </c>
      <c r="I3" s="99" t="s">
        <v>72</v>
      </c>
      <c r="J3" s="99" t="s">
        <v>72</v>
      </c>
      <c r="K3" s="99" t="s">
        <v>72</v>
      </c>
      <c r="L3" s="99" t="s">
        <v>72</v>
      </c>
      <c r="M3" s="99" t="s">
        <v>72</v>
      </c>
      <c r="N3" s="99" t="s">
        <v>72</v>
      </c>
      <c r="O3" s="99" t="s">
        <v>74</v>
      </c>
    </row>
    <row r="4" spans="1:15" ht="16.5" x14ac:dyDescent="0.15">
      <c r="A4" s="97"/>
      <c r="B4" s="100" t="s">
        <v>75</v>
      </c>
      <c r="C4" s="100" t="s">
        <v>75</v>
      </c>
      <c r="D4" s="100" t="s">
        <v>75</v>
      </c>
      <c r="E4" s="100" t="s">
        <v>73</v>
      </c>
      <c r="F4" s="100" t="s">
        <v>75</v>
      </c>
      <c r="G4" s="100" t="s">
        <v>73</v>
      </c>
      <c r="H4" s="100" t="s">
        <v>3960</v>
      </c>
      <c r="I4" s="100" t="s">
        <v>75</v>
      </c>
      <c r="J4" s="100" t="s">
        <v>3960</v>
      </c>
      <c r="K4" s="100" t="s">
        <v>75</v>
      </c>
      <c r="L4" s="100" t="s">
        <v>76</v>
      </c>
      <c r="M4" s="100" t="s">
        <v>76</v>
      </c>
      <c r="N4" s="100" t="s">
        <v>76</v>
      </c>
      <c r="O4" s="100" t="s">
        <v>75</v>
      </c>
    </row>
    <row r="5" spans="1:15" ht="16.5" x14ac:dyDescent="0.15">
      <c r="A5" s="97"/>
      <c r="B5" s="99" t="s">
        <v>81</v>
      </c>
      <c r="C5" s="99" t="s">
        <v>82</v>
      </c>
      <c r="D5" s="99" t="s">
        <v>3961</v>
      </c>
      <c r="E5" s="99" t="s">
        <v>73</v>
      </c>
      <c r="F5" s="99" t="s">
        <v>116</v>
      </c>
      <c r="G5" s="99" t="s">
        <v>73</v>
      </c>
      <c r="H5" s="99" t="s">
        <v>3962</v>
      </c>
      <c r="I5" s="99" t="s">
        <v>194</v>
      </c>
      <c r="J5" s="99" t="s">
        <v>3963</v>
      </c>
      <c r="K5" s="99" t="s">
        <v>195</v>
      </c>
      <c r="L5" s="99" t="s">
        <v>3964</v>
      </c>
      <c r="M5" s="99" t="s">
        <v>3965</v>
      </c>
      <c r="N5" s="99" t="s">
        <v>3966</v>
      </c>
      <c r="O5" s="99" t="s">
        <v>86</v>
      </c>
    </row>
    <row r="6" spans="1:15" ht="16.5" x14ac:dyDescent="0.15">
      <c r="A6" s="97"/>
      <c r="B6" s="100" t="s">
        <v>77</v>
      </c>
      <c r="C6" s="100" t="s">
        <v>3967</v>
      </c>
      <c r="D6" s="100" t="s">
        <v>78</v>
      </c>
      <c r="E6" s="100"/>
      <c r="F6" s="100" t="s">
        <v>78</v>
      </c>
      <c r="G6" s="100"/>
      <c r="H6" s="100"/>
      <c r="I6" s="100" t="s">
        <v>78</v>
      </c>
      <c r="J6" s="100"/>
      <c r="K6" s="100"/>
      <c r="L6" s="100"/>
      <c r="M6" s="100"/>
      <c r="N6" s="100"/>
      <c r="O6" s="100"/>
    </row>
    <row r="7" spans="1:15" s="11" customFormat="1" ht="181.5" x14ac:dyDescent="0.15">
      <c r="A7" s="147"/>
      <c r="B7" s="73" t="s">
        <v>3400</v>
      </c>
      <c r="C7" s="147" t="s">
        <v>3968</v>
      </c>
      <c r="D7" s="147" t="s">
        <v>3448</v>
      </c>
      <c r="E7" s="147" t="s">
        <v>3449</v>
      </c>
      <c r="F7" s="147" t="s">
        <v>3451</v>
      </c>
      <c r="G7" s="148" t="s">
        <v>3452</v>
      </c>
      <c r="H7" s="147">
        <v>72000</v>
      </c>
      <c r="I7" s="147" t="s">
        <v>3460</v>
      </c>
      <c r="J7" s="147">
        <v>0</v>
      </c>
      <c r="K7" s="147"/>
      <c r="L7" s="147">
        <v>0</v>
      </c>
      <c r="M7" s="147">
        <v>1</v>
      </c>
      <c r="N7" s="147">
        <v>1</v>
      </c>
      <c r="O7" s="147"/>
    </row>
    <row r="8" spans="1:15" s="11" customFormat="1" ht="181.5" x14ac:dyDescent="0.15">
      <c r="A8" s="147"/>
      <c r="B8" s="73" t="s">
        <v>3406</v>
      </c>
      <c r="C8" s="147" t="s">
        <v>3968</v>
      </c>
      <c r="D8" s="147" t="s">
        <v>3454</v>
      </c>
      <c r="E8" s="147" t="s">
        <v>3455</v>
      </c>
      <c r="F8" s="147" t="s">
        <v>3457</v>
      </c>
      <c r="G8" s="148" t="s">
        <v>3458</v>
      </c>
      <c r="H8" s="147">
        <v>72000</v>
      </c>
      <c r="I8" s="147" t="s">
        <v>3460</v>
      </c>
      <c r="J8" s="147">
        <v>0</v>
      </c>
      <c r="K8" s="147"/>
      <c r="L8" s="147">
        <v>0</v>
      </c>
      <c r="M8" s="147">
        <v>1</v>
      </c>
      <c r="N8" s="147">
        <v>1</v>
      </c>
      <c r="O8" s="147"/>
    </row>
    <row r="9" spans="1:15" s="11" customFormat="1" ht="181.5" x14ac:dyDescent="0.15">
      <c r="A9" s="147"/>
      <c r="B9" s="149" t="s">
        <v>3423</v>
      </c>
      <c r="C9" s="147" t="s">
        <v>3968</v>
      </c>
      <c r="D9" s="147" t="s">
        <v>3463</v>
      </c>
      <c r="E9" s="147" t="s">
        <v>3969</v>
      </c>
      <c r="F9" s="147" t="s">
        <v>3466</v>
      </c>
      <c r="G9" s="148" t="s">
        <v>3970</v>
      </c>
      <c r="H9" s="147">
        <v>72000</v>
      </c>
      <c r="I9" s="147" t="s">
        <v>3460</v>
      </c>
      <c r="J9" s="147">
        <v>0</v>
      </c>
      <c r="K9" s="147"/>
      <c r="L9" s="147">
        <v>0</v>
      </c>
      <c r="M9" s="147">
        <v>1</v>
      </c>
      <c r="N9" s="147">
        <v>1</v>
      </c>
      <c r="O9" s="147"/>
    </row>
  </sheetData>
  <phoneticPr fontId="11" type="noConversion"/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24215B-D429-4D34-8FA5-DF69E769E9B1}">
  <sheetPr>
    <tabColor theme="2"/>
  </sheetPr>
  <dimension ref="A1:G11"/>
  <sheetViews>
    <sheetView workbookViewId="0"/>
  </sheetViews>
  <sheetFormatPr defaultRowHeight="13.5" x14ac:dyDescent="0.15"/>
  <sheetData>
    <row r="1" spans="1:7" ht="16.5" x14ac:dyDescent="0.3">
      <c r="A1" s="101" t="s">
        <v>3971</v>
      </c>
      <c r="B1" s="101" t="s">
        <v>3971</v>
      </c>
      <c r="C1" s="101"/>
      <c r="D1" s="101"/>
      <c r="E1" s="101"/>
      <c r="F1" s="101"/>
      <c r="G1" s="101"/>
    </row>
    <row r="2" spans="1:7" ht="16.5" x14ac:dyDescent="0.3">
      <c r="A2" s="101" t="s">
        <v>70</v>
      </c>
      <c r="B2" s="98" t="s">
        <v>123</v>
      </c>
      <c r="C2" s="98" t="s">
        <v>244</v>
      </c>
      <c r="D2" s="98" t="s">
        <v>3972</v>
      </c>
      <c r="E2" s="98" t="s">
        <v>3973</v>
      </c>
      <c r="F2" s="98" t="s">
        <v>3974</v>
      </c>
      <c r="G2" s="102" t="s">
        <v>3975</v>
      </c>
    </row>
    <row r="3" spans="1:7" ht="16.5" x14ac:dyDescent="0.3">
      <c r="A3" s="101"/>
      <c r="B3" s="99" t="s">
        <v>72</v>
      </c>
      <c r="C3" s="99" t="s">
        <v>74</v>
      </c>
      <c r="D3" s="99" t="s">
        <v>74</v>
      </c>
      <c r="E3" s="99" t="s">
        <v>74</v>
      </c>
      <c r="F3" s="99" t="s">
        <v>74</v>
      </c>
      <c r="G3" s="103" t="s">
        <v>73</v>
      </c>
    </row>
    <row r="4" spans="1:7" ht="16.5" x14ac:dyDescent="0.3">
      <c r="A4" s="101"/>
      <c r="B4" s="100" t="s">
        <v>75</v>
      </c>
      <c r="C4" s="100" t="s">
        <v>75</v>
      </c>
      <c r="D4" s="100" t="s">
        <v>75</v>
      </c>
      <c r="E4" s="100" t="s">
        <v>75</v>
      </c>
      <c r="F4" s="100" t="s">
        <v>75</v>
      </c>
      <c r="G4" s="104" t="s">
        <v>73</v>
      </c>
    </row>
    <row r="5" spans="1:7" ht="16.5" x14ac:dyDescent="0.3">
      <c r="A5" s="101"/>
      <c r="B5" s="99" t="s">
        <v>81</v>
      </c>
      <c r="C5" s="99" t="s">
        <v>3976</v>
      </c>
      <c r="D5" s="99" t="s">
        <v>3977</v>
      </c>
      <c r="E5" s="99" t="s">
        <v>3978</v>
      </c>
      <c r="F5" s="99" t="s">
        <v>3979</v>
      </c>
      <c r="G5" s="103" t="s">
        <v>73</v>
      </c>
    </row>
    <row r="6" spans="1:7" ht="16.5" x14ac:dyDescent="0.3">
      <c r="A6" s="101"/>
      <c r="B6" s="100" t="s">
        <v>77</v>
      </c>
      <c r="C6" s="100"/>
      <c r="D6" s="100"/>
      <c r="E6" s="100"/>
      <c r="F6" s="100"/>
      <c r="G6" s="100"/>
    </row>
    <row r="7" spans="1:7" s="11" customFormat="1" x14ac:dyDescent="0.15">
      <c r="A7" s="73"/>
      <c r="B7" s="119" t="s">
        <v>3980</v>
      </c>
      <c r="C7" s="73" t="s">
        <v>3981</v>
      </c>
      <c r="D7" s="73"/>
      <c r="E7" s="73"/>
      <c r="F7" s="73"/>
      <c r="G7" s="119" t="s">
        <v>3982</v>
      </c>
    </row>
    <row r="8" spans="1:7" s="11" customFormat="1" x14ac:dyDescent="0.15">
      <c r="A8" s="73"/>
      <c r="B8" s="119" t="s">
        <v>1313</v>
      </c>
      <c r="C8" s="73" t="s">
        <v>3983</v>
      </c>
      <c r="D8" s="73"/>
      <c r="E8" s="73"/>
      <c r="F8" s="73"/>
      <c r="G8" s="119" t="s">
        <v>3984</v>
      </c>
    </row>
    <row r="9" spans="1:7" s="11" customFormat="1" x14ac:dyDescent="0.15">
      <c r="A9" s="73"/>
      <c r="B9" s="119" t="s">
        <v>1314</v>
      </c>
      <c r="C9" s="73" t="s">
        <v>3985</v>
      </c>
      <c r="D9" s="73"/>
      <c r="E9" s="73"/>
      <c r="F9" s="73"/>
      <c r="G9" s="119" t="s">
        <v>3986</v>
      </c>
    </row>
    <row r="10" spans="1:7" s="11" customFormat="1" x14ac:dyDescent="0.15">
      <c r="A10" s="119"/>
      <c r="B10" s="119" t="s">
        <v>1315</v>
      </c>
      <c r="C10" s="73" t="s">
        <v>3987</v>
      </c>
      <c r="D10" s="119"/>
      <c r="E10" s="119"/>
      <c r="F10" s="119"/>
      <c r="G10" s="119" t="s">
        <v>3988</v>
      </c>
    </row>
    <row r="11" spans="1:7" s="11" customFormat="1" ht="16.5" x14ac:dyDescent="0.15">
      <c r="A11" s="147"/>
      <c r="B11" s="119" t="s">
        <v>3989</v>
      </c>
      <c r="C11" s="73" t="s">
        <v>3990</v>
      </c>
      <c r="D11" s="147"/>
      <c r="E11" s="147"/>
      <c r="F11" s="147"/>
      <c r="G11" s="119" t="s">
        <v>3991</v>
      </c>
    </row>
  </sheetData>
  <phoneticPr fontId="11" type="noConversion"/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D4EF00-D9F9-4E16-A992-726814DED8AB}">
  <sheetPr>
    <tabColor theme="2"/>
  </sheetPr>
  <dimension ref="A1:P22"/>
  <sheetViews>
    <sheetView workbookViewId="0"/>
  </sheetViews>
  <sheetFormatPr defaultRowHeight="13.5" x14ac:dyDescent="0.15"/>
  <cols>
    <col min="1" max="1" width="19.125" customWidth="1"/>
    <col min="2" max="2" width="40.125" customWidth="1"/>
    <col min="3" max="3" width="5.875" customWidth="1"/>
    <col min="4" max="4" width="195" customWidth="1"/>
    <col min="5" max="5" width="34.375" customWidth="1"/>
    <col min="6" max="6" width="30.875" customWidth="1"/>
    <col min="11" max="11" width="45" customWidth="1"/>
    <col min="13" max="13" width="42" customWidth="1"/>
  </cols>
  <sheetData>
    <row r="1" spans="1:16" s="24" customFormat="1" x14ac:dyDescent="0.15">
      <c r="A1" s="24" t="s">
        <v>3993</v>
      </c>
      <c r="B1" s="24" t="s">
        <v>3810</v>
      </c>
    </row>
    <row r="2" spans="1:16" s="24" customFormat="1" x14ac:dyDescent="0.15">
      <c r="A2" s="24" t="s">
        <v>70</v>
      </c>
      <c r="B2" s="39" t="s">
        <v>123</v>
      </c>
      <c r="C2" s="39" t="s">
        <v>240</v>
      </c>
      <c r="D2" s="16" t="s">
        <v>3994</v>
      </c>
      <c r="E2" s="39" t="s">
        <v>241</v>
      </c>
      <c r="F2" s="16" t="s">
        <v>205</v>
      </c>
      <c r="G2" s="39" t="s">
        <v>3995</v>
      </c>
      <c r="H2" s="16" t="s">
        <v>205</v>
      </c>
      <c r="I2" s="39" t="s">
        <v>3996</v>
      </c>
      <c r="J2" s="16" t="s">
        <v>205</v>
      </c>
      <c r="K2" s="16" t="s">
        <v>3997</v>
      </c>
      <c r="L2" s="39" t="s">
        <v>244</v>
      </c>
      <c r="M2" s="16" t="s">
        <v>590</v>
      </c>
      <c r="N2" s="39" t="s">
        <v>3998</v>
      </c>
      <c r="O2" s="39" t="s">
        <v>3999</v>
      </c>
      <c r="P2" s="39" t="s">
        <v>4000</v>
      </c>
    </row>
    <row r="3" spans="1:16" s="24" customFormat="1" x14ac:dyDescent="0.15">
      <c r="B3" s="15" t="s">
        <v>72</v>
      </c>
      <c r="C3" s="15" t="s">
        <v>72</v>
      </c>
      <c r="D3" s="15" t="s">
        <v>72</v>
      </c>
      <c r="E3" s="15" t="s">
        <v>72</v>
      </c>
      <c r="F3" s="15" t="s">
        <v>73</v>
      </c>
      <c r="G3" s="15" t="s">
        <v>72</v>
      </c>
      <c r="H3" s="15" t="s">
        <v>73</v>
      </c>
      <c r="I3" s="15" t="s">
        <v>72</v>
      </c>
      <c r="J3" s="15" t="s">
        <v>73</v>
      </c>
      <c r="K3" s="15" t="s">
        <v>74</v>
      </c>
      <c r="L3" s="15" t="s">
        <v>74</v>
      </c>
      <c r="M3" s="15" t="s">
        <v>74</v>
      </c>
      <c r="N3" s="15" t="s">
        <v>72</v>
      </c>
      <c r="O3" s="15" t="s">
        <v>95</v>
      </c>
      <c r="P3" s="15" t="s">
        <v>95</v>
      </c>
    </row>
    <row r="4" spans="1:16" s="24" customFormat="1" x14ac:dyDescent="0.15">
      <c r="B4" s="14" t="s">
        <v>75</v>
      </c>
      <c r="C4" s="14" t="s">
        <v>75</v>
      </c>
      <c r="D4" s="14" t="s">
        <v>119</v>
      </c>
      <c r="E4" s="14" t="s">
        <v>75</v>
      </c>
      <c r="F4" s="14" t="s">
        <v>73</v>
      </c>
      <c r="G4" s="14" t="s">
        <v>75</v>
      </c>
      <c r="H4" s="14" t="s">
        <v>73</v>
      </c>
      <c r="I4" s="14" t="s">
        <v>75</v>
      </c>
      <c r="J4" s="14" t="s">
        <v>73</v>
      </c>
      <c r="K4" s="14" t="s">
        <v>75</v>
      </c>
      <c r="L4" s="14" t="s">
        <v>75</v>
      </c>
      <c r="M4" s="14" t="s">
        <v>75</v>
      </c>
      <c r="N4" s="14" t="s">
        <v>76</v>
      </c>
      <c r="O4" s="14" t="s">
        <v>75</v>
      </c>
      <c r="P4" s="14" t="s">
        <v>237</v>
      </c>
    </row>
    <row r="5" spans="1:16" s="24" customFormat="1" x14ac:dyDescent="0.15">
      <c r="B5" s="15" t="s">
        <v>81</v>
      </c>
      <c r="C5" s="15" t="s">
        <v>82</v>
      </c>
      <c r="D5" s="15" t="s">
        <v>197</v>
      </c>
      <c r="E5" s="15" t="s">
        <v>194</v>
      </c>
      <c r="F5" s="15" t="s">
        <v>73</v>
      </c>
      <c r="G5" s="15" t="s">
        <v>4001</v>
      </c>
      <c r="H5" s="15" t="s">
        <v>73</v>
      </c>
      <c r="I5" s="15" t="s">
        <v>83</v>
      </c>
      <c r="J5" s="15" t="s">
        <v>73</v>
      </c>
      <c r="K5" s="15" t="s">
        <v>4002</v>
      </c>
      <c r="L5" s="15" t="s">
        <v>3976</v>
      </c>
      <c r="M5" s="15" t="s">
        <v>528</v>
      </c>
      <c r="N5" s="15" t="s">
        <v>4003</v>
      </c>
      <c r="O5" s="15" t="s">
        <v>4004</v>
      </c>
      <c r="P5" s="15" t="s">
        <v>4005</v>
      </c>
    </row>
    <row r="6" spans="1:16" s="24" customFormat="1" x14ac:dyDescent="0.15">
      <c r="B6" s="14" t="s">
        <v>77</v>
      </c>
      <c r="C6" s="14" t="s">
        <v>4006</v>
      </c>
      <c r="D6" s="14"/>
      <c r="E6" s="14" t="s">
        <v>78</v>
      </c>
      <c r="F6" s="14"/>
      <c r="G6" s="14" t="s">
        <v>78</v>
      </c>
      <c r="H6" s="14"/>
      <c r="I6" s="14" t="s">
        <v>78</v>
      </c>
      <c r="J6" s="14"/>
      <c r="K6" s="14"/>
      <c r="L6" s="14"/>
      <c r="M6" s="14"/>
      <c r="N6" s="14"/>
      <c r="O6" s="14" t="s">
        <v>78</v>
      </c>
      <c r="P6" s="14"/>
    </row>
    <row r="7" spans="1:16" s="13" customFormat="1" x14ac:dyDescent="0.15">
      <c r="A7" s="19"/>
      <c r="B7" s="19" t="s">
        <v>5230</v>
      </c>
      <c r="C7" s="19" t="s">
        <v>4007</v>
      </c>
      <c r="D7" s="13" t="s">
        <v>4008</v>
      </c>
      <c r="E7" s="13" t="s">
        <v>3762</v>
      </c>
      <c r="F7" s="13" t="s">
        <v>5243</v>
      </c>
      <c r="I7" s="19"/>
      <c r="K7" s="13" t="s">
        <v>4010</v>
      </c>
      <c r="M7" s="136" t="s">
        <v>4412</v>
      </c>
      <c r="N7" s="13">
        <v>990</v>
      </c>
    </row>
    <row r="8" spans="1:16" s="13" customFormat="1" x14ac:dyDescent="0.15">
      <c r="A8" s="19"/>
      <c r="B8" s="19" t="s">
        <v>4011</v>
      </c>
      <c r="C8" s="19" t="s">
        <v>4007</v>
      </c>
      <c r="D8" s="13" t="s">
        <v>4012</v>
      </c>
      <c r="E8" s="13" t="s">
        <v>5240</v>
      </c>
      <c r="F8" s="136" t="s">
        <v>4009</v>
      </c>
      <c r="I8" s="19"/>
      <c r="K8" s="13" t="s">
        <v>4010</v>
      </c>
      <c r="M8" s="136" t="s">
        <v>4413</v>
      </c>
      <c r="N8" s="13">
        <v>991</v>
      </c>
    </row>
    <row r="9" spans="1:16" s="13" customFormat="1" x14ac:dyDescent="0.15">
      <c r="A9" s="19"/>
      <c r="B9" s="19" t="s">
        <v>4014</v>
      </c>
      <c r="C9" s="19" t="s">
        <v>4007</v>
      </c>
      <c r="D9" s="13" t="s">
        <v>4015</v>
      </c>
      <c r="E9" s="13" t="s">
        <v>5241</v>
      </c>
      <c r="F9" s="137" t="s">
        <v>4013</v>
      </c>
      <c r="I9" s="19"/>
      <c r="K9" s="13" t="s">
        <v>4010</v>
      </c>
      <c r="M9" s="136" t="s">
        <v>4414</v>
      </c>
      <c r="N9" s="13">
        <v>992</v>
      </c>
    </row>
    <row r="10" spans="1:16" s="13" customFormat="1" x14ac:dyDescent="0.15">
      <c r="A10" s="19"/>
      <c r="B10" s="19" t="s">
        <v>4017</v>
      </c>
      <c r="C10" s="19" t="s">
        <v>4007</v>
      </c>
      <c r="D10" s="13" t="s">
        <v>4018</v>
      </c>
      <c r="E10" s="13" t="s">
        <v>5242</v>
      </c>
      <c r="F10" s="138" t="s">
        <v>4016</v>
      </c>
      <c r="I10" s="19"/>
      <c r="K10" s="13" t="s">
        <v>4010</v>
      </c>
      <c r="M10" s="136" t="s">
        <v>4415</v>
      </c>
      <c r="N10" s="13">
        <v>993</v>
      </c>
    </row>
    <row r="11" spans="1:16" s="13" customFormat="1" x14ac:dyDescent="0.15">
      <c r="A11" s="19"/>
      <c r="B11" s="19" t="s">
        <v>4020</v>
      </c>
      <c r="C11" s="19" t="s">
        <v>4007</v>
      </c>
      <c r="D11" s="13" t="s">
        <v>5232</v>
      </c>
      <c r="E11" s="13" t="s">
        <v>5238</v>
      </c>
      <c r="F11" s="138" t="s">
        <v>4019</v>
      </c>
      <c r="I11" s="19"/>
      <c r="K11" s="13" t="s">
        <v>4010</v>
      </c>
      <c r="M11" s="136" t="s">
        <v>4416</v>
      </c>
      <c r="N11" s="13">
        <v>994</v>
      </c>
    </row>
    <row r="12" spans="1:16" s="13" customFormat="1" x14ac:dyDescent="0.15">
      <c r="A12" s="19"/>
      <c r="B12" s="19" t="s">
        <v>4022</v>
      </c>
      <c r="C12" s="19" t="s">
        <v>4007</v>
      </c>
      <c r="D12" s="13" t="s">
        <v>5233</v>
      </c>
      <c r="E12" s="13" t="s">
        <v>3771</v>
      </c>
      <c r="F12" s="136" t="s">
        <v>4009</v>
      </c>
      <c r="I12" s="19"/>
      <c r="K12" s="13" t="s">
        <v>4021</v>
      </c>
      <c r="M12" s="136" t="s">
        <v>4417</v>
      </c>
      <c r="N12" s="13">
        <v>995</v>
      </c>
    </row>
    <row r="13" spans="1:16" s="13" customFormat="1" x14ac:dyDescent="0.15">
      <c r="A13" s="19"/>
      <c r="B13" s="19" t="s">
        <v>4023</v>
      </c>
      <c r="C13" s="19" t="s">
        <v>4007</v>
      </c>
      <c r="D13" s="13" t="s">
        <v>5234</v>
      </c>
      <c r="E13" s="13" t="s">
        <v>3773</v>
      </c>
      <c r="F13" s="137" t="s">
        <v>4013</v>
      </c>
      <c r="I13" s="19"/>
      <c r="K13" s="13" t="s">
        <v>4021</v>
      </c>
      <c r="M13" s="136" t="s">
        <v>4418</v>
      </c>
      <c r="N13" s="13">
        <v>996</v>
      </c>
    </row>
    <row r="14" spans="1:16" s="13" customFormat="1" x14ac:dyDescent="0.15">
      <c r="A14" s="19"/>
      <c r="B14" s="19" t="s">
        <v>4024</v>
      </c>
      <c r="C14" s="19" t="s">
        <v>4007</v>
      </c>
      <c r="D14" s="13" t="s">
        <v>5235</v>
      </c>
      <c r="E14" s="13" t="s">
        <v>3775</v>
      </c>
      <c r="F14" s="138" t="s">
        <v>4016</v>
      </c>
      <c r="I14" s="19"/>
      <c r="K14" s="13" t="s">
        <v>4021</v>
      </c>
      <c r="M14" s="136" t="s">
        <v>4419</v>
      </c>
      <c r="N14" s="13">
        <v>997</v>
      </c>
    </row>
    <row r="15" spans="1:16" s="13" customFormat="1" x14ac:dyDescent="0.15">
      <c r="A15" s="19"/>
      <c r="B15" s="19" t="s">
        <v>5231</v>
      </c>
      <c r="C15" s="19" t="s">
        <v>4007</v>
      </c>
      <c r="D15" s="13" t="s">
        <v>4025</v>
      </c>
      <c r="E15" s="13" t="s">
        <v>3777</v>
      </c>
      <c r="F15" s="138">
        <v>2.2404000000000002</v>
      </c>
      <c r="I15" s="19"/>
      <c r="K15" s="13" t="s">
        <v>4021</v>
      </c>
      <c r="M15" s="136" t="s">
        <v>4420</v>
      </c>
      <c r="N15" s="13">
        <v>998</v>
      </c>
    </row>
    <row r="16" spans="1:16" s="11" customFormat="1" x14ac:dyDescent="0.15">
      <c r="D16" s="13"/>
    </row>
    <row r="17" spans="4:4" s="11" customFormat="1" x14ac:dyDescent="0.15">
      <c r="D17" s="13"/>
    </row>
    <row r="18" spans="4:4" s="11" customFormat="1" x14ac:dyDescent="0.15">
      <c r="D18" s="13"/>
    </row>
    <row r="19" spans="4:4" s="11" customFormat="1" x14ac:dyDescent="0.15">
      <c r="D19" s="13"/>
    </row>
    <row r="20" spans="4:4" s="11" customFormat="1" x14ac:dyDescent="0.15">
      <c r="D20" s="13"/>
    </row>
    <row r="21" spans="4:4" s="11" customFormat="1" x14ac:dyDescent="0.15">
      <c r="D21" s="13"/>
    </row>
    <row r="22" spans="4:4" s="11" customFormat="1" x14ac:dyDescent="0.15">
      <c r="D22" s="13"/>
    </row>
  </sheetData>
  <phoneticPr fontId="11" type="noConversion"/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C89C1-C6CE-4DAF-B5A0-D9CB4EF6D111}">
  <sheetPr>
    <tabColor theme="2"/>
  </sheetPr>
  <dimension ref="A1:L7"/>
  <sheetViews>
    <sheetView workbookViewId="0"/>
  </sheetViews>
  <sheetFormatPr defaultRowHeight="13.5" x14ac:dyDescent="0.15"/>
  <cols>
    <col min="1" max="1" width="21" customWidth="1"/>
    <col min="2" max="2" width="25" customWidth="1"/>
    <col min="3" max="3" width="39.75" customWidth="1"/>
    <col min="4" max="4" width="144.5" customWidth="1"/>
    <col min="8" max="8" width="25.625" customWidth="1"/>
    <col min="9" max="9" width="19.125" customWidth="1"/>
    <col min="10" max="10" width="14.125" customWidth="1"/>
  </cols>
  <sheetData>
    <row r="1" spans="1:12" x14ac:dyDescent="0.15">
      <c r="A1" s="24" t="s">
        <v>4026</v>
      </c>
      <c r="B1" t="s">
        <v>3488</v>
      </c>
      <c r="D1" s="24"/>
    </row>
    <row r="2" spans="1:12" x14ac:dyDescent="0.15">
      <c r="A2" t="s">
        <v>4027</v>
      </c>
      <c r="B2" s="39" t="s">
        <v>123</v>
      </c>
      <c r="C2" s="39" t="s">
        <v>240</v>
      </c>
      <c r="D2" s="16" t="s">
        <v>4028</v>
      </c>
      <c r="E2" s="39" t="s">
        <v>4029</v>
      </c>
      <c r="F2" s="16" t="s">
        <v>4030</v>
      </c>
      <c r="G2" s="16" t="s">
        <v>4031</v>
      </c>
      <c r="H2" s="39" t="s">
        <v>241</v>
      </c>
      <c r="I2" s="16" t="s">
        <v>205</v>
      </c>
      <c r="J2" s="16" t="s">
        <v>3997</v>
      </c>
      <c r="K2" s="16" t="s">
        <v>4032</v>
      </c>
      <c r="L2" s="39" t="s">
        <v>3998</v>
      </c>
    </row>
    <row r="3" spans="1:12" x14ac:dyDescent="0.15">
      <c r="B3" s="15" t="s">
        <v>72</v>
      </c>
      <c r="C3" s="15" t="s">
        <v>72</v>
      </c>
      <c r="D3" s="15" t="s">
        <v>72</v>
      </c>
      <c r="E3" s="15" t="s">
        <v>566</v>
      </c>
      <c r="F3" s="15" t="s">
        <v>72</v>
      </c>
      <c r="G3" s="15" t="s">
        <v>566</v>
      </c>
      <c r="H3" s="15" t="s">
        <v>72</v>
      </c>
      <c r="I3" s="15" t="s">
        <v>73</v>
      </c>
      <c r="J3" s="15" t="s">
        <v>74</v>
      </c>
      <c r="K3" s="15" t="s">
        <v>95</v>
      </c>
      <c r="L3" s="15" t="s">
        <v>72</v>
      </c>
    </row>
    <row r="4" spans="1:12" x14ac:dyDescent="0.15">
      <c r="B4" s="14" t="s">
        <v>75</v>
      </c>
      <c r="C4" s="14" t="s">
        <v>75</v>
      </c>
      <c r="D4" s="14" t="s">
        <v>119</v>
      </c>
      <c r="E4" s="14" t="s">
        <v>75</v>
      </c>
      <c r="F4" s="14" t="s">
        <v>741</v>
      </c>
      <c r="G4" s="14" t="s">
        <v>75</v>
      </c>
      <c r="H4" s="14" t="s">
        <v>75</v>
      </c>
      <c r="I4" s="14" t="s">
        <v>73</v>
      </c>
      <c r="J4" s="14" t="s">
        <v>75</v>
      </c>
      <c r="K4" s="14" t="s">
        <v>119</v>
      </c>
      <c r="L4" s="14" t="s">
        <v>76</v>
      </c>
    </row>
    <row r="5" spans="1:12" x14ac:dyDescent="0.15">
      <c r="B5" s="15" t="s">
        <v>81</v>
      </c>
      <c r="C5" s="15" t="s">
        <v>82</v>
      </c>
      <c r="D5" s="15" t="s">
        <v>197</v>
      </c>
      <c r="E5" s="15" t="s">
        <v>4033</v>
      </c>
      <c r="F5" s="15" t="s">
        <v>4034</v>
      </c>
      <c r="G5" s="15" t="s">
        <v>4035</v>
      </c>
      <c r="H5" s="15" t="s">
        <v>194</v>
      </c>
      <c r="I5" s="15" t="s">
        <v>73</v>
      </c>
      <c r="J5" s="15" t="s">
        <v>4002</v>
      </c>
      <c r="K5" s="15" t="s">
        <v>4036</v>
      </c>
      <c r="L5" s="15" t="s">
        <v>4003</v>
      </c>
    </row>
    <row r="6" spans="1:12" x14ac:dyDescent="0.15">
      <c r="B6" s="14" t="s">
        <v>77</v>
      </c>
      <c r="C6" s="14" t="s">
        <v>4037</v>
      </c>
      <c r="D6" s="14"/>
      <c r="E6" s="14"/>
      <c r="F6" s="14"/>
      <c r="G6" s="14" t="s">
        <v>78</v>
      </c>
      <c r="H6" s="14" t="s">
        <v>78</v>
      </c>
      <c r="I6" s="14"/>
      <c r="J6" s="14"/>
      <c r="K6" s="14"/>
      <c r="L6" s="14"/>
    </row>
    <row r="7" spans="1:12" s="11" customFormat="1" x14ac:dyDescent="0.15">
      <c r="A7" s="19"/>
      <c r="B7" s="19" t="s">
        <v>4038</v>
      </c>
      <c r="C7" s="19" t="s">
        <v>4039</v>
      </c>
      <c r="D7" s="13" t="s">
        <v>4008</v>
      </c>
      <c r="F7" s="19"/>
      <c r="G7" s="19"/>
      <c r="H7" s="130" t="s">
        <v>3385</v>
      </c>
      <c r="I7" s="120" t="s">
        <v>3435</v>
      </c>
      <c r="J7" s="13" t="s">
        <v>4010</v>
      </c>
      <c r="K7" s="19" t="s">
        <v>5236</v>
      </c>
      <c r="L7" s="19">
        <v>19</v>
      </c>
    </row>
  </sheetData>
  <phoneticPr fontId="11" type="noConversion"/>
  <conditionalFormatting sqref="H7">
    <cfRule type="duplicateValues" dxfId="14" priority="1"/>
    <cfRule type="duplicateValues" dxfId="13" priority="2"/>
  </conditionalFormatting>
  <conditionalFormatting sqref="H7">
    <cfRule type="duplicateValues" dxfId="12" priority="3"/>
  </conditionalFormatting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F0123E-96F5-48BD-8562-8E588DC7D760}">
  <sheetPr>
    <tabColor theme="2"/>
  </sheetPr>
  <dimension ref="A1:P7"/>
  <sheetViews>
    <sheetView workbookViewId="0">
      <selection activeCell="E7" sqref="E7"/>
    </sheetView>
  </sheetViews>
  <sheetFormatPr defaultRowHeight="13.5" x14ac:dyDescent="0.15"/>
  <sheetData>
    <row r="1" spans="1:16" x14ac:dyDescent="0.15">
      <c r="A1" s="24" t="s">
        <v>4040</v>
      </c>
      <c r="B1" s="24" t="s">
        <v>3896</v>
      </c>
      <c r="C1" s="24"/>
      <c r="D1" s="24"/>
      <c r="E1" s="24"/>
      <c r="F1" s="24"/>
      <c r="G1" s="24"/>
      <c r="H1" s="24"/>
      <c r="I1" s="24"/>
      <c r="J1" s="24"/>
      <c r="K1" s="24"/>
      <c r="L1" s="24"/>
      <c r="M1" s="24"/>
      <c r="N1" s="24"/>
      <c r="O1" s="24"/>
      <c r="P1" s="24" t="s">
        <v>1035</v>
      </c>
    </row>
    <row r="2" spans="1:16" x14ac:dyDescent="0.15">
      <c r="A2" s="24" t="s">
        <v>4041</v>
      </c>
      <c r="B2" s="16" t="s">
        <v>123</v>
      </c>
      <c r="C2" s="16" t="s">
        <v>4042</v>
      </c>
      <c r="D2" s="16" t="s">
        <v>4043</v>
      </c>
      <c r="E2" s="16" t="s">
        <v>4044</v>
      </c>
      <c r="F2" s="16" t="s">
        <v>4045</v>
      </c>
      <c r="G2" s="16" t="s">
        <v>4046</v>
      </c>
      <c r="H2" s="16" t="s">
        <v>3928</v>
      </c>
      <c r="I2" s="16" t="s">
        <v>4047</v>
      </c>
      <c r="J2" s="16" t="s">
        <v>4048</v>
      </c>
      <c r="K2" s="16" t="s">
        <v>4049</v>
      </c>
      <c r="L2" s="16" t="s">
        <v>4050</v>
      </c>
      <c r="M2" s="16" t="s">
        <v>4051</v>
      </c>
      <c r="N2" s="16" t="s">
        <v>4052</v>
      </c>
      <c r="O2" s="16" t="s">
        <v>4053</v>
      </c>
      <c r="P2" s="16" t="s">
        <v>4054</v>
      </c>
    </row>
    <row r="3" spans="1:16" x14ac:dyDescent="0.15">
      <c r="A3" s="24"/>
      <c r="B3" s="15" t="s">
        <v>72</v>
      </c>
      <c r="C3" s="15" t="s">
        <v>96</v>
      </c>
      <c r="D3" s="15" t="s">
        <v>4055</v>
      </c>
      <c r="E3" s="15" t="s">
        <v>3351</v>
      </c>
      <c r="F3" s="15" t="s">
        <v>3351</v>
      </c>
      <c r="G3" s="15" t="s">
        <v>3351</v>
      </c>
      <c r="H3" s="15" t="s">
        <v>96</v>
      </c>
      <c r="I3" s="15" t="s">
        <v>96</v>
      </c>
      <c r="J3" s="15" t="s">
        <v>3351</v>
      </c>
      <c r="K3" s="36" t="s">
        <v>72</v>
      </c>
      <c r="L3" s="36" t="s">
        <v>95</v>
      </c>
      <c r="M3" s="36" t="s">
        <v>95</v>
      </c>
      <c r="N3" s="15" t="s">
        <v>74</v>
      </c>
      <c r="O3" s="15" t="s">
        <v>74</v>
      </c>
      <c r="P3" s="15" t="s">
        <v>3351</v>
      </c>
    </row>
    <row r="4" spans="1:16" x14ac:dyDescent="0.15">
      <c r="A4" s="24"/>
      <c r="B4" s="14" t="s">
        <v>75</v>
      </c>
      <c r="C4" s="14" t="s">
        <v>75</v>
      </c>
      <c r="D4" s="14" t="s">
        <v>4055</v>
      </c>
      <c r="E4" s="14" t="s">
        <v>3352</v>
      </c>
      <c r="F4" s="14" t="s">
        <v>679</v>
      </c>
      <c r="G4" s="14" t="s">
        <v>93</v>
      </c>
      <c r="H4" s="14" t="s">
        <v>93</v>
      </c>
      <c r="I4" s="14" t="s">
        <v>93</v>
      </c>
      <c r="J4" s="14" t="s">
        <v>679</v>
      </c>
      <c r="K4" s="37" t="s">
        <v>80</v>
      </c>
      <c r="L4" s="37" t="s">
        <v>740</v>
      </c>
      <c r="M4" s="37" t="s">
        <v>740</v>
      </c>
      <c r="N4" s="14" t="s">
        <v>75</v>
      </c>
      <c r="O4" s="14" t="s">
        <v>741</v>
      </c>
      <c r="P4" s="14" t="s">
        <v>3352</v>
      </c>
    </row>
    <row r="5" spans="1:16" x14ac:dyDescent="0.15">
      <c r="A5" s="24"/>
      <c r="B5" s="15" t="s">
        <v>81</v>
      </c>
      <c r="C5" s="15" t="s">
        <v>713</v>
      </c>
      <c r="D5" s="15" t="s">
        <v>712</v>
      </c>
      <c r="E5" s="15" t="s">
        <v>3363</v>
      </c>
      <c r="F5" s="15" t="s">
        <v>92</v>
      </c>
      <c r="G5" s="15" t="s">
        <v>4056</v>
      </c>
      <c r="H5" s="15" t="s">
        <v>3936</v>
      </c>
      <c r="I5" s="15" t="s">
        <v>4057</v>
      </c>
      <c r="J5" s="15" t="s">
        <v>4058</v>
      </c>
      <c r="K5" s="36" t="s">
        <v>4059</v>
      </c>
      <c r="L5" s="36" t="s">
        <v>4060</v>
      </c>
      <c r="M5" s="36" t="s">
        <v>4061</v>
      </c>
      <c r="N5" s="15" t="s">
        <v>4062</v>
      </c>
      <c r="O5" s="15" t="s">
        <v>4063</v>
      </c>
      <c r="P5" s="15" t="s">
        <v>4064</v>
      </c>
    </row>
    <row r="6" spans="1:16" x14ac:dyDescent="0.15">
      <c r="A6" s="24"/>
      <c r="B6" s="14" t="s">
        <v>77</v>
      </c>
      <c r="C6" s="14" t="s">
        <v>78</v>
      </c>
      <c r="D6" s="14"/>
      <c r="E6" s="14"/>
      <c r="F6" s="14" t="s">
        <v>4065</v>
      </c>
      <c r="G6" s="14"/>
      <c r="H6" s="14"/>
      <c r="I6" s="14"/>
      <c r="J6" s="14" t="s">
        <v>4066</v>
      </c>
      <c r="K6" s="37"/>
      <c r="L6" s="37"/>
      <c r="M6" s="14" t="s">
        <v>78</v>
      </c>
      <c r="N6" s="14" t="s">
        <v>4067</v>
      </c>
      <c r="O6" s="14"/>
      <c r="P6" s="14"/>
    </row>
    <row r="7" spans="1:16" s="11" customFormat="1" x14ac:dyDescent="0.15">
      <c r="A7" s="19"/>
      <c r="B7" s="19" t="s">
        <v>4068</v>
      </c>
      <c r="C7" s="19" t="s">
        <v>3829</v>
      </c>
      <c r="D7" s="19"/>
      <c r="E7" s="19" t="s">
        <v>4069</v>
      </c>
      <c r="F7" s="19"/>
      <c r="G7" s="19"/>
      <c r="H7" s="19">
        <v>12</v>
      </c>
      <c r="I7" s="19">
        <v>1</v>
      </c>
      <c r="J7" s="19" t="s">
        <v>4070</v>
      </c>
      <c r="K7" s="19" t="s">
        <v>742</v>
      </c>
      <c r="L7" s="19" t="s">
        <v>4071</v>
      </c>
      <c r="M7" s="19" t="s">
        <v>3835</v>
      </c>
      <c r="N7" s="19" t="s">
        <v>4072</v>
      </c>
      <c r="O7" s="19"/>
      <c r="P7" s="19" t="s">
        <v>4073</v>
      </c>
    </row>
  </sheetData>
  <phoneticPr fontId="11" type="noConversion"/>
  <pageMargins left="0.7" right="0.7" top="0.75" bottom="0.75" header="0.3" footer="0.3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610449-E87B-4566-837B-1429EF31A30F}">
  <sheetPr>
    <tabColor theme="2"/>
  </sheetPr>
  <dimension ref="A1:G7"/>
  <sheetViews>
    <sheetView workbookViewId="0">
      <selection activeCell="F7" sqref="F7"/>
    </sheetView>
  </sheetViews>
  <sheetFormatPr defaultRowHeight="13.5" x14ac:dyDescent="0.15"/>
  <sheetData>
    <row r="1" spans="1:7" x14ac:dyDescent="0.15">
      <c r="A1" s="24" t="s">
        <v>3992</v>
      </c>
      <c r="B1" s="24" t="s">
        <v>3971</v>
      </c>
      <c r="C1" s="24"/>
      <c r="D1" s="24"/>
      <c r="E1" s="24"/>
      <c r="F1" s="24"/>
      <c r="G1" s="24"/>
    </row>
    <row r="2" spans="1:7" x14ac:dyDescent="0.15">
      <c r="A2" s="24" t="s">
        <v>70</v>
      </c>
      <c r="B2" s="16" t="s">
        <v>123</v>
      </c>
      <c r="C2" s="16" t="s">
        <v>244</v>
      </c>
      <c r="D2" s="16" t="s">
        <v>3972</v>
      </c>
      <c r="E2" s="16" t="s">
        <v>3973</v>
      </c>
      <c r="F2" s="16" t="s">
        <v>3974</v>
      </c>
      <c r="G2" s="39" t="s">
        <v>3975</v>
      </c>
    </row>
    <row r="3" spans="1:7" x14ac:dyDescent="0.15">
      <c r="A3" s="24"/>
      <c r="B3" s="15" t="s">
        <v>72</v>
      </c>
      <c r="C3" s="15" t="s">
        <v>74</v>
      </c>
      <c r="D3" s="15" t="s">
        <v>74</v>
      </c>
      <c r="E3" s="15" t="s">
        <v>74</v>
      </c>
      <c r="F3" s="15" t="s">
        <v>74</v>
      </c>
      <c r="G3" s="57" t="s">
        <v>73</v>
      </c>
    </row>
    <row r="4" spans="1:7" x14ac:dyDescent="0.15">
      <c r="A4" s="24"/>
      <c r="B4" s="14" t="s">
        <v>75</v>
      </c>
      <c r="C4" s="14" t="s">
        <v>75</v>
      </c>
      <c r="D4" s="14" t="s">
        <v>75</v>
      </c>
      <c r="E4" s="14" t="s">
        <v>75</v>
      </c>
      <c r="F4" s="14" t="s">
        <v>75</v>
      </c>
      <c r="G4" s="53" t="s">
        <v>73</v>
      </c>
    </row>
    <row r="5" spans="1:7" x14ac:dyDescent="0.15">
      <c r="A5" s="24"/>
      <c r="B5" s="15" t="s">
        <v>81</v>
      </c>
      <c r="C5" s="15" t="s">
        <v>3976</v>
      </c>
      <c r="D5" s="15" t="s">
        <v>3977</v>
      </c>
      <c r="E5" s="15" t="s">
        <v>3978</v>
      </c>
      <c r="F5" s="15" t="s">
        <v>3979</v>
      </c>
      <c r="G5" s="57" t="s">
        <v>73</v>
      </c>
    </row>
    <row r="6" spans="1:7" x14ac:dyDescent="0.15">
      <c r="A6" s="24"/>
      <c r="B6" s="14" t="s">
        <v>77</v>
      </c>
      <c r="C6" s="14"/>
      <c r="D6" s="14"/>
      <c r="E6" s="14"/>
      <c r="F6" s="14"/>
      <c r="G6" s="14"/>
    </row>
    <row r="7" spans="1:7" s="11" customFormat="1" x14ac:dyDescent="0.15">
      <c r="A7" s="19"/>
      <c r="B7" s="19" t="s">
        <v>4074</v>
      </c>
      <c r="C7" s="19" t="s">
        <v>3981</v>
      </c>
      <c r="D7" s="19" t="s">
        <v>4075</v>
      </c>
      <c r="E7" s="19"/>
      <c r="F7" s="19"/>
      <c r="G7" s="19" t="s">
        <v>4076</v>
      </c>
    </row>
  </sheetData>
  <phoneticPr fontId="11" type="noConversion"/>
  <pageMargins left="0.7" right="0.7" top="0.75" bottom="0.75" header="0.3" footer="0.3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70B698-60FD-4A45-80AA-756F9E205561}">
  <sheetPr>
    <tabColor theme="7"/>
  </sheetPr>
  <dimension ref="A1:Z8"/>
  <sheetViews>
    <sheetView workbookViewId="0"/>
  </sheetViews>
  <sheetFormatPr defaultRowHeight="13.5" x14ac:dyDescent="0.15"/>
  <sheetData>
    <row r="1" spans="1:26" x14ac:dyDescent="0.15">
      <c r="A1" s="18" t="s">
        <v>3326</v>
      </c>
      <c r="B1" s="17" t="s">
        <v>4077</v>
      </c>
      <c r="C1" s="17"/>
      <c r="D1" s="17"/>
      <c r="E1" s="17"/>
      <c r="P1" s="17"/>
      <c r="V1" s="22"/>
      <c r="W1" s="22"/>
      <c r="Y1" s="17"/>
      <c r="Z1" s="17"/>
    </row>
    <row r="2" spans="1:26" x14ac:dyDescent="0.15">
      <c r="A2" t="s">
        <v>70</v>
      </c>
      <c r="B2" s="16" t="s">
        <v>3328</v>
      </c>
      <c r="C2" s="16" t="s">
        <v>3329</v>
      </c>
      <c r="D2" s="16" t="s">
        <v>3330</v>
      </c>
      <c r="E2" s="16" t="s">
        <v>3331</v>
      </c>
      <c r="F2" s="16" t="s">
        <v>3332</v>
      </c>
      <c r="G2" s="16" t="s">
        <v>71</v>
      </c>
      <c r="H2" s="16" t="s">
        <v>3333</v>
      </c>
      <c r="I2" s="16" t="s">
        <v>71</v>
      </c>
      <c r="J2" s="16" t="s">
        <v>3334</v>
      </c>
      <c r="K2" s="16" t="s">
        <v>3335</v>
      </c>
      <c r="L2" s="16" t="s">
        <v>3336</v>
      </c>
      <c r="M2" s="16" t="s">
        <v>3337</v>
      </c>
      <c r="N2" s="16" t="s">
        <v>3338</v>
      </c>
      <c r="O2" s="16" t="s">
        <v>4078</v>
      </c>
      <c r="P2" s="16" t="s">
        <v>3340</v>
      </c>
      <c r="Q2" s="16" t="s">
        <v>3341</v>
      </c>
      <c r="R2" s="16" t="s">
        <v>3342</v>
      </c>
      <c r="S2" s="16" t="s">
        <v>3343</v>
      </c>
      <c r="T2" s="16" t="s">
        <v>3344</v>
      </c>
      <c r="U2" s="16" t="s">
        <v>3345</v>
      </c>
      <c r="V2" s="16" t="s">
        <v>3346</v>
      </c>
      <c r="W2" s="16" t="s">
        <v>3347</v>
      </c>
      <c r="X2" s="16" t="s">
        <v>3348</v>
      </c>
      <c r="Y2" s="16" t="s">
        <v>3349</v>
      </c>
      <c r="Z2" s="16" t="s">
        <v>3350</v>
      </c>
    </row>
    <row r="3" spans="1:26" x14ac:dyDescent="0.15">
      <c r="B3" s="15" t="s">
        <v>72</v>
      </c>
      <c r="C3" s="15" t="s">
        <v>72</v>
      </c>
      <c r="D3" s="15" t="s">
        <v>74</v>
      </c>
      <c r="E3" s="15" t="s">
        <v>74</v>
      </c>
      <c r="F3" s="15" t="s">
        <v>74</v>
      </c>
      <c r="G3" s="15" t="s">
        <v>73</v>
      </c>
      <c r="H3" s="15" t="s">
        <v>74</v>
      </c>
      <c r="I3" s="15" t="s">
        <v>73</v>
      </c>
      <c r="J3" s="15" t="s">
        <v>3351</v>
      </c>
      <c r="K3" s="15" t="s">
        <v>3351</v>
      </c>
      <c r="L3" s="15" t="s">
        <v>3351</v>
      </c>
      <c r="M3" s="15" t="s">
        <v>3351</v>
      </c>
      <c r="N3" s="15" t="s">
        <v>3351</v>
      </c>
      <c r="O3" s="15" t="s">
        <v>72</v>
      </c>
      <c r="P3" s="36" t="s">
        <v>72</v>
      </c>
      <c r="Q3" s="15" t="s">
        <v>3351</v>
      </c>
      <c r="R3" s="15" t="s">
        <v>3351</v>
      </c>
      <c r="S3" s="15" t="s">
        <v>3351</v>
      </c>
      <c r="T3" s="15" t="s">
        <v>72</v>
      </c>
      <c r="U3" s="15" t="s">
        <v>72</v>
      </c>
      <c r="V3" s="15" t="s">
        <v>96</v>
      </c>
      <c r="W3" s="15" t="s">
        <v>96</v>
      </c>
      <c r="X3" s="15" t="s">
        <v>96</v>
      </c>
      <c r="Y3" s="15" t="s">
        <v>96</v>
      </c>
      <c r="Z3" s="15" t="s">
        <v>3351</v>
      </c>
    </row>
    <row r="4" spans="1:26" x14ac:dyDescent="0.15">
      <c r="B4" s="14" t="s">
        <v>75</v>
      </c>
      <c r="C4" s="14" t="s">
        <v>75</v>
      </c>
      <c r="D4" s="14" t="s">
        <v>75</v>
      </c>
      <c r="E4" s="14" t="s">
        <v>75</v>
      </c>
      <c r="F4" s="14" t="s">
        <v>75</v>
      </c>
      <c r="G4" s="14" t="s">
        <v>73</v>
      </c>
      <c r="H4" s="14" t="s">
        <v>75</v>
      </c>
      <c r="I4" s="14" t="s">
        <v>73</v>
      </c>
      <c r="J4" s="14" t="s">
        <v>75</v>
      </c>
      <c r="K4" s="37" t="s">
        <v>3352</v>
      </c>
      <c r="L4" s="14" t="s">
        <v>75</v>
      </c>
      <c r="M4" s="14" t="s">
        <v>3352</v>
      </c>
      <c r="N4" s="37" t="s">
        <v>3352</v>
      </c>
      <c r="O4" s="37" t="s">
        <v>80</v>
      </c>
      <c r="P4" s="37" t="s">
        <v>3352</v>
      </c>
      <c r="Q4" s="14" t="s">
        <v>76</v>
      </c>
      <c r="R4" s="14" t="s">
        <v>75</v>
      </c>
      <c r="S4" s="14" t="s">
        <v>76</v>
      </c>
      <c r="T4" s="14" t="s">
        <v>76</v>
      </c>
      <c r="U4" s="14" t="s">
        <v>76</v>
      </c>
      <c r="V4" s="14" t="s">
        <v>76</v>
      </c>
      <c r="W4" s="14" t="s">
        <v>76</v>
      </c>
      <c r="X4" s="14" t="s">
        <v>75</v>
      </c>
      <c r="Y4" s="14" t="s">
        <v>679</v>
      </c>
      <c r="Z4" s="14" t="s">
        <v>741</v>
      </c>
    </row>
    <row r="5" spans="1:26" x14ac:dyDescent="0.15">
      <c r="A5" s="17"/>
      <c r="B5" s="15" t="s">
        <v>3353</v>
      </c>
      <c r="C5" s="15" t="s">
        <v>3355</v>
      </c>
      <c r="D5" s="15" t="s">
        <v>3356</v>
      </c>
      <c r="E5" s="15" t="s">
        <v>3357</v>
      </c>
      <c r="F5" s="15" t="s">
        <v>3358</v>
      </c>
      <c r="G5" s="15" t="s">
        <v>3354</v>
      </c>
      <c r="H5" s="15" t="s">
        <v>3359</v>
      </c>
      <c r="I5" s="15" t="s">
        <v>3360</v>
      </c>
      <c r="J5" s="15" t="s">
        <v>3361</v>
      </c>
      <c r="K5" s="15" t="s">
        <v>3362</v>
      </c>
      <c r="L5" s="15" t="s">
        <v>3363</v>
      </c>
      <c r="M5" s="15" t="s">
        <v>3364</v>
      </c>
      <c r="N5" s="15" t="s">
        <v>3365</v>
      </c>
      <c r="O5" s="15" t="s">
        <v>3366</v>
      </c>
      <c r="P5" s="36" t="s">
        <v>3367</v>
      </c>
      <c r="Q5" s="15" t="s">
        <v>3368</v>
      </c>
      <c r="R5" s="15" t="s">
        <v>3369</v>
      </c>
      <c r="S5" s="15" t="s">
        <v>3370</v>
      </c>
      <c r="T5" s="15" t="s">
        <v>3371</v>
      </c>
      <c r="U5" s="15" t="s">
        <v>3372</v>
      </c>
      <c r="V5" s="15" t="s">
        <v>3373</v>
      </c>
      <c r="W5" s="15" t="s">
        <v>3374</v>
      </c>
      <c r="X5" s="15" t="s">
        <v>3375</v>
      </c>
      <c r="Y5" s="15" t="s">
        <v>3376</v>
      </c>
      <c r="Z5" s="15" t="s">
        <v>3377</v>
      </c>
    </row>
    <row r="6" spans="1:26" x14ac:dyDescent="0.15">
      <c r="B6" s="14" t="s">
        <v>77</v>
      </c>
      <c r="C6" s="14"/>
      <c r="D6" s="14"/>
      <c r="E6" s="14"/>
      <c r="F6" s="14" t="s">
        <v>3378</v>
      </c>
      <c r="G6" s="14"/>
      <c r="H6" s="14" t="s">
        <v>78</v>
      </c>
      <c r="I6" s="14"/>
      <c r="J6" s="14"/>
      <c r="K6" s="14"/>
      <c r="L6" s="14"/>
      <c r="M6" s="14"/>
      <c r="N6" s="14"/>
      <c r="O6" s="14"/>
      <c r="P6" s="14"/>
      <c r="Q6" s="14"/>
      <c r="R6" s="14" t="s">
        <v>3379</v>
      </c>
      <c r="S6" s="14"/>
      <c r="T6" s="14"/>
      <c r="U6" s="14"/>
      <c r="V6" s="14"/>
      <c r="W6" s="14"/>
      <c r="X6" s="14"/>
      <c r="Y6" s="14" t="s">
        <v>4079</v>
      </c>
      <c r="Z6" s="14"/>
    </row>
    <row r="7" spans="1:26" s="11" customFormat="1" x14ac:dyDescent="0.15">
      <c r="A7" s="13"/>
      <c r="B7" s="13" t="s">
        <v>4080</v>
      </c>
      <c r="C7" s="13" t="s">
        <v>4081</v>
      </c>
      <c r="D7" s="13"/>
      <c r="E7" s="13"/>
      <c r="F7" s="13"/>
      <c r="G7" s="13" t="s">
        <v>4082</v>
      </c>
      <c r="H7" s="13"/>
      <c r="I7" s="13"/>
      <c r="J7" s="13" t="s">
        <v>3386</v>
      </c>
      <c r="K7" s="168" t="s">
        <v>5247</v>
      </c>
      <c r="L7" s="13"/>
      <c r="M7" s="13"/>
      <c r="N7" s="13"/>
      <c r="O7" s="13" t="s">
        <v>742</v>
      </c>
      <c r="P7" s="13" t="s">
        <v>4083</v>
      </c>
      <c r="Q7" s="13">
        <v>0</v>
      </c>
      <c r="R7" s="13"/>
      <c r="S7" s="13">
        <v>0</v>
      </c>
      <c r="T7" s="13">
        <v>1</v>
      </c>
      <c r="U7" s="13">
        <v>1</v>
      </c>
      <c r="V7" s="13">
        <v>0</v>
      </c>
      <c r="W7" s="13">
        <v>104</v>
      </c>
      <c r="X7" s="13"/>
      <c r="Y7" s="13"/>
      <c r="Z7" s="13"/>
    </row>
    <row r="8" spans="1:26" s="11" customFormat="1" x14ac:dyDescent="0.15">
      <c r="A8" s="13"/>
      <c r="B8" s="13" t="s">
        <v>4084</v>
      </c>
      <c r="C8" s="13" t="s">
        <v>4081</v>
      </c>
      <c r="D8" s="13"/>
      <c r="E8" s="13"/>
      <c r="F8" s="13"/>
      <c r="G8" s="13" t="s">
        <v>4085</v>
      </c>
      <c r="H8" s="13"/>
      <c r="I8" s="13"/>
      <c r="J8" s="13" t="s">
        <v>3386</v>
      </c>
      <c r="K8" s="13" t="s">
        <v>4086</v>
      </c>
      <c r="L8" s="13"/>
      <c r="M8" s="13"/>
      <c r="N8" s="13"/>
      <c r="O8" s="13" t="s">
        <v>742</v>
      </c>
      <c r="P8" s="13" t="s">
        <v>4087</v>
      </c>
      <c r="Q8" s="13">
        <v>0</v>
      </c>
      <c r="R8" s="13"/>
      <c r="S8" s="13">
        <v>0</v>
      </c>
      <c r="T8" s="13">
        <v>1</v>
      </c>
      <c r="U8" s="13">
        <v>1</v>
      </c>
      <c r="V8" s="13">
        <v>0</v>
      </c>
      <c r="W8" s="13">
        <v>104</v>
      </c>
      <c r="X8" s="13"/>
      <c r="Y8" s="13"/>
      <c r="Z8" s="13"/>
    </row>
  </sheetData>
  <phoneticPr fontId="11" type="noConversion"/>
  <pageMargins left="0.7" right="0.7" top="0.75" bottom="0.75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4505D7-0384-4DB6-99A0-2C296A5B841C}">
  <sheetPr>
    <tabColor theme="2"/>
  </sheetPr>
  <dimension ref="A1:AI8"/>
  <sheetViews>
    <sheetView workbookViewId="0"/>
  </sheetViews>
  <sheetFormatPr defaultRowHeight="13.5" x14ac:dyDescent="0.15"/>
  <sheetData>
    <row r="1" spans="1:35" x14ac:dyDescent="0.15">
      <c r="A1" s="87" t="s">
        <v>4088</v>
      </c>
      <c r="B1" s="87" t="s">
        <v>4089</v>
      </c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7"/>
      <c r="T1" s="87"/>
      <c r="U1" s="87"/>
      <c r="V1" s="87"/>
      <c r="W1" s="87"/>
      <c r="X1" s="87"/>
      <c r="Y1" s="87"/>
      <c r="Z1" s="87"/>
      <c r="AA1" s="87"/>
      <c r="AB1" s="87"/>
      <c r="AC1" s="87"/>
      <c r="AD1" s="87"/>
      <c r="AE1" s="87"/>
      <c r="AF1" s="87"/>
      <c r="AG1" s="87"/>
      <c r="AH1" s="87"/>
      <c r="AI1" s="87"/>
    </row>
    <row r="2" spans="1:35" x14ac:dyDescent="0.15">
      <c r="A2" s="87" t="s">
        <v>4041</v>
      </c>
      <c r="B2" s="8" t="s">
        <v>231</v>
      </c>
      <c r="C2" s="8" t="s">
        <v>4090</v>
      </c>
      <c r="D2" s="8" t="s">
        <v>4091</v>
      </c>
      <c r="E2" s="8" t="s">
        <v>4092</v>
      </c>
      <c r="F2" s="8" t="s">
        <v>4093</v>
      </c>
      <c r="G2" s="8" t="s">
        <v>4094</v>
      </c>
      <c r="H2" s="8" t="s">
        <v>4092</v>
      </c>
      <c r="I2" s="8" t="s">
        <v>4095</v>
      </c>
      <c r="J2" s="8" t="s">
        <v>4096</v>
      </c>
      <c r="K2" s="8" t="s">
        <v>4097</v>
      </c>
      <c r="L2" s="8" t="s">
        <v>4098</v>
      </c>
      <c r="M2" s="8" t="s">
        <v>4099</v>
      </c>
      <c r="N2" s="8" t="s">
        <v>4100</v>
      </c>
      <c r="O2" s="8" t="s">
        <v>4101</v>
      </c>
      <c r="P2" s="8" t="s">
        <v>4102</v>
      </c>
      <c r="Q2" s="8" t="s">
        <v>4103</v>
      </c>
      <c r="R2" s="8" t="s">
        <v>4104</v>
      </c>
      <c r="S2" s="8" t="s">
        <v>4105</v>
      </c>
      <c r="T2" s="8" t="s">
        <v>4106</v>
      </c>
      <c r="U2" s="8" t="s">
        <v>4107</v>
      </c>
      <c r="V2" s="8" t="s">
        <v>4108</v>
      </c>
      <c r="W2" s="8" t="s">
        <v>4109</v>
      </c>
      <c r="X2" s="8" t="s">
        <v>4110</v>
      </c>
      <c r="Y2" s="8" t="s">
        <v>4111</v>
      </c>
      <c r="Z2" s="8" t="s">
        <v>4093</v>
      </c>
      <c r="AA2" s="8" t="s">
        <v>4112</v>
      </c>
      <c r="AB2" s="16" t="s">
        <v>3932</v>
      </c>
      <c r="AC2" s="8" t="s">
        <v>4113</v>
      </c>
      <c r="AD2" s="16" t="s">
        <v>3861</v>
      </c>
      <c r="AE2" s="16" t="s">
        <v>4114</v>
      </c>
      <c r="AF2" s="16" t="s">
        <v>4115</v>
      </c>
      <c r="AG2" s="16" t="s">
        <v>4116</v>
      </c>
      <c r="AH2" s="16" t="s">
        <v>4117</v>
      </c>
      <c r="AI2" s="8" t="s">
        <v>4093</v>
      </c>
    </row>
    <row r="3" spans="1:35" x14ac:dyDescent="0.15">
      <c r="A3" s="87"/>
      <c r="B3" s="89" t="s">
        <v>223</v>
      </c>
      <c r="C3" s="89" t="s">
        <v>96</v>
      </c>
      <c r="D3" s="89" t="s">
        <v>96</v>
      </c>
      <c r="E3" s="89" t="s">
        <v>4118</v>
      </c>
      <c r="F3" s="89" t="s">
        <v>3934</v>
      </c>
      <c r="G3" s="89" t="s">
        <v>96</v>
      </c>
      <c r="H3" s="89" t="s">
        <v>4118</v>
      </c>
      <c r="I3" s="89" t="s">
        <v>72</v>
      </c>
      <c r="J3" s="89" t="s">
        <v>223</v>
      </c>
      <c r="K3" s="89" t="s">
        <v>3351</v>
      </c>
      <c r="L3" s="89" t="s">
        <v>3351</v>
      </c>
      <c r="M3" s="89" t="s">
        <v>4119</v>
      </c>
      <c r="N3" s="89" t="s">
        <v>3351</v>
      </c>
      <c r="O3" s="89" t="s">
        <v>223</v>
      </c>
      <c r="P3" s="89" t="s">
        <v>3351</v>
      </c>
      <c r="Q3" s="89" t="s">
        <v>223</v>
      </c>
      <c r="R3" s="89" t="s">
        <v>72</v>
      </c>
      <c r="S3" s="89" t="s">
        <v>3934</v>
      </c>
      <c r="T3" s="89" t="s">
        <v>3934</v>
      </c>
      <c r="U3" s="89" t="s">
        <v>3934</v>
      </c>
      <c r="V3" s="89" t="s">
        <v>72</v>
      </c>
      <c r="W3" s="89" t="s">
        <v>3934</v>
      </c>
      <c r="X3" s="89" t="s">
        <v>223</v>
      </c>
      <c r="Y3" s="89" t="s">
        <v>223</v>
      </c>
      <c r="Z3" s="89" t="s">
        <v>3934</v>
      </c>
      <c r="AA3" s="89" t="s">
        <v>74</v>
      </c>
      <c r="AB3" s="36" t="s">
        <v>3934</v>
      </c>
      <c r="AC3" s="89" t="s">
        <v>223</v>
      </c>
      <c r="AD3" s="15" t="s">
        <v>72</v>
      </c>
      <c r="AE3" s="15" t="s">
        <v>72</v>
      </c>
      <c r="AF3" s="15" t="s">
        <v>72</v>
      </c>
      <c r="AG3" s="15" t="s">
        <v>72</v>
      </c>
      <c r="AH3" s="15" t="s">
        <v>72</v>
      </c>
      <c r="AI3" s="89" t="s">
        <v>3934</v>
      </c>
    </row>
    <row r="4" spans="1:35" x14ac:dyDescent="0.15">
      <c r="A4" s="87"/>
      <c r="B4" s="90" t="s">
        <v>222</v>
      </c>
      <c r="C4" s="90" t="s">
        <v>679</v>
      </c>
      <c r="D4" s="90" t="s">
        <v>679</v>
      </c>
      <c r="E4" s="90" t="s">
        <v>4118</v>
      </c>
      <c r="F4" s="90" t="s">
        <v>222</v>
      </c>
      <c r="G4" s="90" t="s">
        <v>94</v>
      </c>
      <c r="H4" s="90" t="s">
        <v>4118</v>
      </c>
      <c r="I4" s="90" t="s">
        <v>75</v>
      </c>
      <c r="J4" s="90" t="s">
        <v>4120</v>
      </c>
      <c r="K4" s="90" t="s">
        <v>679</v>
      </c>
      <c r="L4" s="90" t="s">
        <v>4121</v>
      </c>
      <c r="M4" s="90" t="s">
        <v>679</v>
      </c>
      <c r="N4" s="90" t="s">
        <v>4121</v>
      </c>
      <c r="O4" s="90" t="s">
        <v>646</v>
      </c>
      <c r="P4" s="90" t="s">
        <v>679</v>
      </c>
      <c r="Q4" s="90" t="s">
        <v>222</v>
      </c>
      <c r="R4" s="90" t="s">
        <v>80</v>
      </c>
      <c r="S4" s="90" t="s">
        <v>646</v>
      </c>
      <c r="T4" s="90" t="s">
        <v>646</v>
      </c>
      <c r="U4" s="90" t="s">
        <v>3935</v>
      </c>
      <c r="V4" s="90" t="s">
        <v>222</v>
      </c>
      <c r="W4" s="90" t="s">
        <v>3960</v>
      </c>
      <c r="X4" s="90" t="s">
        <v>3960</v>
      </c>
      <c r="Y4" s="90" t="s">
        <v>565</v>
      </c>
      <c r="Z4" s="90" t="s">
        <v>646</v>
      </c>
      <c r="AA4" s="90" t="s">
        <v>119</v>
      </c>
      <c r="AB4" s="37" t="s">
        <v>222</v>
      </c>
      <c r="AC4" s="90" t="s">
        <v>222</v>
      </c>
      <c r="AD4" s="14" t="s">
        <v>237</v>
      </c>
      <c r="AE4" s="90" t="s">
        <v>646</v>
      </c>
      <c r="AF4" s="90" t="s">
        <v>80</v>
      </c>
      <c r="AG4" s="90" t="s">
        <v>646</v>
      </c>
      <c r="AH4" s="90" t="s">
        <v>3960</v>
      </c>
      <c r="AI4" s="90" t="s">
        <v>646</v>
      </c>
    </row>
    <row r="5" spans="1:35" x14ac:dyDescent="0.15">
      <c r="A5" s="87"/>
      <c r="B5" s="89" t="s">
        <v>220</v>
      </c>
      <c r="C5" s="89" t="s">
        <v>4122</v>
      </c>
      <c r="D5" s="89" t="s">
        <v>4123</v>
      </c>
      <c r="E5" s="89" t="s">
        <v>4124</v>
      </c>
      <c r="F5" s="89" t="s">
        <v>4125</v>
      </c>
      <c r="G5" s="89" t="s">
        <v>4126</v>
      </c>
      <c r="H5" s="89" t="s">
        <v>4127</v>
      </c>
      <c r="I5" s="89" t="s">
        <v>4128</v>
      </c>
      <c r="J5" s="89" t="s">
        <v>4129</v>
      </c>
      <c r="K5" s="89" t="s">
        <v>4130</v>
      </c>
      <c r="L5" s="89" t="s">
        <v>4131</v>
      </c>
      <c r="M5" s="89" t="s">
        <v>4132</v>
      </c>
      <c r="N5" s="89" t="s">
        <v>90</v>
      </c>
      <c r="O5" s="89" t="s">
        <v>4133</v>
      </c>
      <c r="P5" s="89" t="s">
        <v>4134</v>
      </c>
      <c r="Q5" s="89" t="s">
        <v>4135</v>
      </c>
      <c r="R5" s="89" t="s">
        <v>4136</v>
      </c>
      <c r="S5" s="89" t="s">
        <v>4137</v>
      </c>
      <c r="T5" s="89" t="s">
        <v>4138</v>
      </c>
      <c r="U5" s="89" t="s">
        <v>4139</v>
      </c>
      <c r="V5" s="89" t="s">
        <v>4059</v>
      </c>
      <c r="W5" s="89" t="s">
        <v>4140</v>
      </c>
      <c r="X5" s="89" t="s">
        <v>4141</v>
      </c>
      <c r="Y5" s="89" t="s">
        <v>4142</v>
      </c>
      <c r="Z5" s="89" t="s">
        <v>4143</v>
      </c>
      <c r="AA5" s="89" t="s">
        <v>4144</v>
      </c>
      <c r="AB5" s="36" t="s">
        <v>3939</v>
      </c>
      <c r="AC5" s="89" t="s">
        <v>4145</v>
      </c>
      <c r="AD5" s="15" t="s">
        <v>4146</v>
      </c>
      <c r="AE5" s="15" t="s">
        <v>3376</v>
      </c>
      <c r="AF5" s="15" t="s">
        <v>4147</v>
      </c>
      <c r="AG5" s="15" t="s">
        <v>4148</v>
      </c>
      <c r="AH5" s="15" t="s">
        <v>4149</v>
      </c>
      <c r="AI5" s="89" t="s">
        <v>4150</v>
      </c>
    </row>
    <row r="6" spans="1:35" x14ac:dyDescent="0.15">
      <c r="A6" s="87"/>
      <c r="B6" s="90" t="s">
        <v>4151</v>
      </c>
      <c r="C6" s="37" t="s">
        <v>3378</v>
      </c>
      <c r="D6" s="37" t="s">
        <v>3378</v>
      </c>
      <c r="E6" s="90"/>
      <c r="F6" s="37" t="s">
        <v>3378</v>
      </c>
      <c r="G6" s="37"/>
      <c r="H6" s="90"/>
      <c r="I6" s="90" t="s">
        <v>4152</v>
      </c>
      <c r="J6" s="90"/>
      <c r="K6" s="14" t="s">
        <v>4153</v>
      </c>
      <c r="L6" s="90"/>
      <c r="M6" s="14" t="s">
        <v>4154</v>
      </c>
      <c r="N6" s="90"/>
      <c r="O6" s="14" t="s">
        <v>87</v>
      </c>
      <c r="P6" s="14" t="s">
        <v>87</v>
      </c>
      <c r="Q6" s="14" t="s">
        <v>87</v>
      </c>
      <c r="R6" s="14"/>
      <c r="S6" s="14" t="s">
        <v>4155</v>
      </c>
      <c r="T6" s="14" t="s">
        <v>4155</v>
      </c>
      <c r="U6" s="14"/>
      <c r="V6" s="14" t="s">
        <v>4156</v>
      </c>
      <c r="W6" s="14"/>
      <c r="X6" s="90"/>
      <c r="Y6" s="90"/>
      <c r="Z6" s="37"/>
      <c r="AA6" s="14"/>
      <c r="AB6" s="37"/>
      <c r="AC6" s="14" t="s">
        <v>87</v>
      </c>
      <c r="AD6" s="14"/>
      <c r="AE6" s="14"/>
      <c r="AF6" s="14"/>
      <c r="AG6" s="14" t="s">
        <v>4157</v>
      </c>
      <c r="AH6" s="14" t="s">
        <v>4158</v>
      </c>
      <c r="AI6" s="37"/>
    </row>
    <row r="7" spans="1:35" s="11" customFormat="1" x14ac:dyDescent="0.15">
      <c r="A7" s="13"/>
      <c r="B7" s="13" t="s">
        <v>4159</v>
      </c>
      <c r="C7" s="13" t="s">
        <v>4160</v>
      </c>
      <c r="D7" s="13"/>
      <c r="E7" s="13" t="s">
        <v>4161</v>
      </c>
      <c r="F7" s="13"/>
      <c r="G7" s="13"/>
      <c r="H7" s="13"/>
      <c r="I7" s="13" t="s">
        <v>4162</v>
      </c>
      <c r="J7" s="13" t="s">
        <v>4163</v>
      </c>
      <c r="K7" s="13" t="s">
        <v>4164</v>
      </c>
      <c r="L7" s="13" t="s">
        <v>4163</v>
      </c>
      <c r="M7" s="13" t="s">
        <v>4165</v>
      </c>
      <c r="N7" s="13" t="s">
        <v>235</v>
      </c>
      <c r="O7" s="13" t="s">
        <v>4166</v>
      </c>
      <c r="P7" s="13"/>
      <c r="Q7" s="13" t="s">
        <v>4167</v>
      </c>
      <c r="R7" s="13" t="s">
        <v>4168</v>
      </c>
      <c r="S7" s="13" t="s">
        <v>4169</v>
      </c>
      <c r="T7" s="13" t="s">
        <v>4170</v>
      </c>
      <c r="U7" s="150" t="s">
        <v>4171</v>
      </c>
      <c r="V7" s="13"/>
      <c r="W7" s="13">
        <v>90</v>
      </c>
      <c r="X7" s="13">
        <v>-1</v>
      </c>
      <c r="Y7" s="13" t="s">
        <v>235</v>
      </c>
      <c r="Z7" s="13" t="s">
        <v>4172</v>
      </c>
      <c r="AA7" s="13" t="s">
        <v>4173</v>
      </c>
      <c r="AB7" s="13" t="s">
        <v>4174</v>
      </c>
      <c r="AC7" s="13"/>
      <c r="AD7" s="13"/>
      <c r="AE7" s="13"/>
      <c r="AF7" s="13"/>
      <c r="AG7" s="13"/>
      <c r="AH7" s="13"/>
      <c r="AI7" s="13" t="s">
        <v>4175</v>
      </c>
    </row>
    <row r="8" spans="1:35" s="11" customFormat="1" x14ac:dyDescent="0.15">
      <c r="A8" s="13"/>
      <c r="B8" s="13" t="s">
        <v>4176</v>
      </c>
      <c r="C8" s="13" t="s">
        <v>4177</v>
      </c>
      <c r="D8" s="13"/>
      <c r="E8" s="13" t="s">
        <v>4178</v>
      </c>
      <c r="F8" s="13"/>
      <c r="G8" s="13"/>
      <c r="H8" s="13"/>
      <c r="I8" s="13" t="s">
        <v>4162</v>
      </c>
      <c r="J8" s="13" t="s">
        <v>4163</v>
      </c>
      <c r="K8" s="13" t="s">
        <v>4164</v>
      </c>
      <c r="L8" s="13" t="s">
        <v>4163</v>
      </c>
      <c r="M8" s="13" t="s">
        <v>4165</v>
      </c>
      <c r="N8" s="13" t="s">
        <v>235</v>
      </c>
      <c r="O8" s="13" t="s">
        <v>4179</v>
      </c>
      <c r="P8" s="13"/>
      <c r="Q8" s="13" t="s">
        <v>4167</v>
      </c>
      <c r="R8" s="13" t="s">
        <v>4168</v>
      </c>
      <c r="S8" s="13" t="s">
        <v>4169</v>
      </c>
      <c r="T8" s="13" t="s">
        <v>4170</v>
      </c>
      <c r="U8" s="13" t="s">
        <v>4180</v>
      </c>
      <c r="V8" s="13"/>
      <c r="W8" s="13">
        <v>90</v>
      </c>
      <c r="X8" s="13">
        <v>-1</v>
      </c>
      <c r="Y8" s="13" t="s">
        <v>235</v>
      </c>
      <c r="Z8" s="13" t="s">
        <v>4181</v>
      </c>
      <c r="AA8" s="13" t="s">
        <v>4182</v>
      </c>
      <c r="AB8" s="13" t="s">
        <v>4174</v>
      </c>
      <c r="AC8" s="13"/>
      <c r="AD8" s="13"/>
      <c r="AE8" s="13"/>
      <c r="AF8" s="13"/>
      <c r="AG8" s="13"/>
      <c r="AH8" s="13"/>
      <c r="AI8" s="13" t="s">
        <v>4183</v>
      </c>
    </row>
  </sheetData>
  <phoneticPr fontId="11" type="noConversion"/>
  <pageMargins left="0.7" right="0.7" top="0.75" bottom="0.75" header="0.3" footer="0.3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BD1BAF-6709-4311-A190-204133D81048}">
  <sheetPr>
    <tabColor theme="2"/>
  </sheetPr>
  <dimension ref="A1:M8"/>
  <sheetViews>
    <sheetView workbookViewId="0"/>
  </sheetViews>
  <sheetFormatPr defaultRowHeight="13.5" x14ac:dyDescent="0.15"/>
  <sheetData>
    <row r="1" spans="1:13" x14ac:dyDescent="0.15">
      <c r="A1" s="18" t="s">
        <v>3926</v>
      </c>
      <c r="B1" s="17" t="s">
        <v>3927</v>
      </c>
      <c r="C1" s="17"/>
      <c r="F1" s="22"/>
    </row>
    <row r="2" spans="1:13" x14ac:dyDescent="0.15">
      <c r="A2" t="s">
        <v>70</v>
      </c>
      <c r="B2" s="16" t="s">
        <v>123</v>
      </c>
      <c r="C2" s="16" t="s">
        <v>3928</v>
      </c>
      <c r="D2" s="16" t="s">
        <v>3929</v>
      </c>
      <c r="E2" s="16" t="s">
        <v>3930</v>
      </c>
      <c r="F2" s="16" t="s">
        <v>3931</v>
      </c>
      <c r="G2" s="16" t="s">
        <v>3932</v>
      </c>
      <c r="H2" s="16" t="s">
        <v>4184</v>
      </c>
      <c r="I2" s="16" t="s">
        <v>4185</v>
      </c>
      <c r="J2" s="16" t="s">
        <v>4186</v>
      </c>
      <c r="K2" s="16" t="s">
        <v>4187</v>
      </c>
      <c r="L2" s="16" t="s">
        <v>4188</v>
      </c>
      <c r="M2" s="16" t="s">
        <v>4189</v>
      </c>
    </row>
    <row r="3" spans="1:13" x14ac:dyDescent="0.15">
      <c r="B3" s="15" t="s">
        <v>72</v>
      </c>
      <c r="C3" s="15" t="s">
        <v>96</v>
      </c>
      <c r="D3" s="15" t="s">
        <v>96</v>
      </c>
      <c r="E3" s="15" t="s">
        <v>96</v>
      </c>
      <c r="F3" s="15" t="s">
        <v>96</v>
      </c>
      <c r="G3" s="36" t="s">
        <v>3934</v>
      </c>
      <c r="H3" s="15" t="s">
        <v>4190</v>
      </c>
      <c r="I3" s="36" t="s">
        <v>3934</v>
      </c>
      <c r="J3" s="36" t="s">
        <v>95</v>
      </c>
      <c r="K3" s="36" t="s">
        <v>3934</v>
      </c>
      <c r="L3" s="36" t="s">
        <v>3934</v>
      </c>
      <c r="M3" s="15" t="s">
        <v>95</v>
      </c>
    </row>
    <row r="4" spans="1:13" x14ac:dyDescent="0.15">
      <c r="B4" s="14" t="s">
        <v>75</v>
      </c>
      <c r="C4" s="14" t="s">
        <v>93</v>
      </c>
      <c r="D4" s="14" t="s">
        <v>75</v>
      </c>
      <c r="E4" s="14" t="s">
        <v>75</v>
      </c>
      <c r="F4" s="14" t="s">
        <v>75</v>
      </c>
      <c r="G4" s="37" t="s">
        <v>222</v>
      </c>
      <c r="H4" s="14" t="s">
        <v>4190</v>
      </c>
      <c r="I4" s="37" t="s">
        <v>3960</v>
      </c>
      <c r="J4" s="37" t="s">
        <v>740</v>
      </c>
      <c r="K4" s="37" t="s">
        <v>646</v>
      </c>
      <c r="L4" s="37" t="s">
        <v>222</v>
      </c>
      <c r="M4" s="14" t="s">
        <v>237</v>
      </c>
    </row>
    <row r="5" spans="1:13" x14ac:dyDescent="0.15">
      <c r="B5" s="15" t="s">
        <v>81</v>
      </c>
      <c r="C5" s="15" t="s">
        <v>3936</v>
      </c>
      <c r="D5" s="15" t="s">
        <v>3355</v>
      </c>
      <c r="E5" s="15" t="s">
        <v>3937</v>
      </c>
      <c r="F5" s="15" t="s">
        <v>3938</v>
      </c>
      <c r="G5" s="36" t="s">
        <v>3939</v>
      </c>
      <c r="H5" s="15" t="s">
        <v>4190</v>
      </c>
      <c r="I5" s="36" t="s">
        <v>4191</v>
      </c>
      <c r="J5" s="36" t="s">
        <v>4192</v>
      </c>
      <c r="K5" s="36" t="s">
        <v>4193</v>
      </c>
      <c r="L5" s="36" t="s">
        <v>4194</v>
      </c>
      <c r="M5" s="14" t="s">
        <v>4195</v>
      </c>
    </row>
    <row r="6" spans="1:13" x14ac:dyDescent="0.15">
      <c r="B6" s="14" t="s">
        <v>77</v>
      </c>
      <c r="C6" s="14"/>
      <c r="D6" s="14"/>
      <c r="E6" s="14"/>
      <c r="F6" s="14"/>
      <c r="G6" s="37"/>
      <c r="H6" s="14"/>
      <c r="I6" s="37"/>
      <c r="J6" s="37"/>
      <c r="K6" s="37"/>
      <c r="L6" s="37"/>
      <c r="M6" s="14"/>
    </row>
    <row r="7" spans="1:13" s="11" customFormat="1" x14ac:dyDescent="0.15">
      <c r="A7" s="13"/>
      <c r="B7" s="13" t="s">
        <v>4196</v>
      </c>
      <c r="C7" s="13">
        <v>3014</v>
      </c>
      <c r="D7" s="13" t="s">
        <v>4197</v>
      </c>
      <c r="E7" s="13" t="s">
        <v>4080</v>
      </c>
      <c r="F7" s="13" t="s">
        <v>4198</v>
      </c>
      <c r="G7" s="13" t="s">
        <v>4199</v>
      </c>
      <c r="H7" s="13"/>
      <c r="I7" s="13">
        <v>0</v>
      </c>
      <c r="J7" s="13"/>
      <c r="K7" s="13"/>
      <c r="L7" s="13"/>
      <c r="M7" s="13"/>
    </row>
    <row r="8" spans="1:13" s="11" customFormat="1" x14ac:dyDescent="0.15">
      <c r="A8" s="13"/>
      <c r="B8" s="13" t="s">
        <v>4200</v>
      </c>
      <c r="C8" s="13">
        <v>3011</v>
      </c>
      <c r="D8" s="13" t="s">
        <v>4197</v>
      </c>
      <c r="E8" s="13" t="s">
        <v>4084</v>
      </c>
      <c r="F8" s="13" t="s">
        <v>4201</v>
      </c>
      <c r="G8" s="13" t="s">
        <v>4202</v>
      </c>
      <c r="H8" s="13"/>
      <c r="I8" s="13">
        <v>0</v>
      </c>
      <c r="J8" s="13"/>
      <c r="K8" s="13"/>
      <c r="L8" s="13"/>
      <c r="M8" s="13"/>
    </row>
  </sheetData>
  <phoneticPr fontId="11" type="noConversion"/>
  <pageMargins left="0.7" right="0.7" top="0.75" bottom="0.75" header="0.3" footer="0.3"/>
  <legacy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08706D-3DF3-443B-AD8F-FA267DEF926C}">
  <sheetPr>
    <tabColor theme="2"/>
  </sheetPr>
  <dimension ref="A1:F29"/>
  <sheetViews>
    <sheetView workbookViewId="0"/>
  </sheetViews>
  <sheetFormatPr defaultRowHeight="13.5" x14ac:dyDescent="0.15"/>
  <cols>
    <col min="2" max="2" width="33.875" bestFit="1" customWidth="1"/>
  </cols>
  <sheetData>
    <row r="1" spans="1:6" x14ac:dyDescent="0.15">
      <c r="A1" s="17" t="s">
        <v>3433</v>
      </c>
      <c r="B1" s="17" t="s">
        <v>4203</v>
      </c>
      <c r="C1" s="17"/>
      <c r="D1" s="17"/>
    </row>
    <row r="2" spans="1:6" x14ac:dyDescent="0.15">
      <c r="A2" s="17" t="s">
        <v>70</v>
      </c>
      <c r="B2" s="16" t="s">
        <v>123</v>
      </c>
      <c r="C2" s="16" t="s">
        <v>3130</v>
      </c>
      <c r="D2" s="16" t="s">
        <v>71</v>
      </c>
      <c r="E2" s="16" t="s">
        <v>3131</v>
      </c>
      <c r="F2" s="16" t="s">
        <v>3132</v>
      </c>
    </row>
    <row r="3" spans="1:6" x14ac:dyDescent="0.15">
      <c r="A3" s="17"/>
      <c r="B3" s="15" t="s">
        <v>74</v>
      </c>
      <c r="C3" s="15" t="s">
        <v>74</v>
      </c>
      <c r="D3" s="15" t="s">
        <v>73</v>
      </c>
      <c r="E3" s="15" t="s">
        <v>73</v>
      </c>
      <c r="F3" s="15" t="s">
        <v>73</v>
      </c>
    </row>
    <row r="4" spans="1:6" x14ac:dyDescent="0.15">
      <c r="A4" s="17"/>
      <c r="B4" s="14" t="s">
        <v>75</v>
      </c>
      <c r="C4" s="14" t="s">
        <v>75</v>
      </c>
      <c r="D4" s="14" t="s">
        <v>73</v>
      </c>
      <c r="E4" s="14" t="s">
        <v>73</v>
      </c>
      <c r="F4" s="14" t="s">
        <v>73</v>
      </c>
    </row>
    <row r="5" spans="1:6" x14ac:dyDescent="0.15">
      <c r="A5" s="17"/>
      <c r="B5" s="15" t="s">
        <v>81</v>
      </c>
      <c r="C5" s="15" t="s">
        <v>3133</v>
      </c>
      <c r="D5" s="15" t="s">
        <v>3134</v>
      </c>
      <c r="E5" s="15" t="s">
        <v>3135</v>
      </c>
      <c r="F5" s="15" t="s">
        <v>3136</v>
      </c>
    </row>
    <row r="6" spans="1:6" x14ac:dyDescent="0.15">
      <c r="A6" s="17"/>
      <c r="B6" s="14" t="s">
        <v>77</v>
      </c>
      <c r="C6" s="14"/>
      <c r="D6" s="14"/>
      <c r="E6" s="14"/>
      <c r="F6" s="14"/>
    </row>
    <row r="7" spans="1:6" s="11" customFormat="1" x14ac:dyDescent="0.15">
      <c r="B7" s="11" t="s">
        <v>4204</v>
      </c>
      <c r="C7" s="11" t="s">
        <v>4205</v>
      </c>
    </row>
    <row r="8" spans="1:6" s="11" customFormat="1" x14ac:dyDescent="0.15">
      <c r="B8" s="11" t="s">
        <v>4206</v>
      </c>
      <c r="C8" s="11" t="s">
        <v>4207</v>
      </c>
    </row>
    <row r="9" spans="1:6" s="11" customFormat="1" x14ac:dyDescent="0.15">
      <c r="B9" s="11" t="s">
        <v>4208</v>
      </c>
      <c r="C9" s="11" t="s">
        <v>4209</v>
      </c>
    </row>
    <row r="10" spans="1:6" s="11" customFormat="1" x14ac:dyDescent="0.15">
      <c r="B10" s="13" t="s">
        <v>4160</v>
      </c>
      <c r="C10" s="11" t="s">
        <v>4210</v>
      </c>
    </row>
    <row r="11" spans="1:6" s="11" customFormat="1" x14ac:dyDescent="0.15">
      <c r="B11" s="11" t="s">
        <v>4211</v>
      </c>
      <c r="C11" s="11" t="s">
        <v>4212</v>
      </c>
    </row>
    <row r="12" spans="1:6" s="11" customFormat="1" x14ac:dyDescent="0.15">
      <c r="B12" s="11" t="s">
        <v>4213</v>
      </c>
      <c r="C12" s="11" t="s">
        <v>4214</v>
      </c>
    </row>
    <row r="13" spans="1:6" s="73" customFormat="1" x14ac:dyDescent="0.15">
      <c r="B13" s="73" t="s">
        <v>4215</v>
      </c>
      <c r="C13" s="116" t="s">
        <v>4216</v>
      </c>
    </row>
    <row r="14" spans="1:6" s="73" customFormat="1" x14ac:dyDescent="0.15">
      <c r="B14" s="73" t="s">
        <v>4217</v>
      </c>
      <c r="C14" s="116" t="s">
        <v>4218</v>
      </c>
    </row>
    <row r="15" spans="1:6" s="73" customFormat="1" x14ac:dyDescent="0.15">
      <c r="B15" s="73" t="s">
        <v>4219</v>
      </c>
      <c r="C15" s="116" t="s">
        <v>4220</v>
      </c>
    </row>
    <row r="16" spans="1:6" s="73" customFormat="1" x14ac:dyDescent="0.15">
      <c r="B16" s="73" t="s">
        <v>4221</v>
      </c>
      <c r="C16" s="116" t="s">
        <v>4222</v>
      </c>
    </row>
    <row r="17" spans="2:3" s="73" customFormat="1" x14ac:dyDescent="0.15">
      <c r="B17" s="73" t="s">
        <v>4223</v>
      </c>
      <c r="C17" s="116" t="s">
        <v>4224</v>
      </c>
    </row>
    <row r="18" spans="2:3" s="73" customFormat="1" x14ac:dyDescent="0.15">
      <c r="B18" s="73" t="s">
        <v>4225</v>
      </c>
      <c r="C18" s="116" t="s">
        <v>4226</v>
      </c>
    </row>
    <row r="19" spans="2:3" s="11" customFormat="1" x14ac:dyDescent="0.15"/>
    <row r="20" spans="2:3" s="11" customFormat="1" x14ac:dyDescent="0.15">
      <c r="B20" s="11" t="s">
        <v>4227</v>
      </c>
      <c r="C20" s="11" t="s">
        <v>4228</v>
      </c>
    </row>
    <row r="21" spans="2:3" s="11" customFormat="1" x14ac:dyDescent="0.15">
      <c r="B21" s="11" t="s">
        <v>4229</v>
      </c>
      <c r="C21" s="11" t="s">
        <v>4230</v>
      </c>
    </row>
    <row r="22" spans="2:3" s="11" customFormat="1" x14ac:dyDescent="0.15">
      <c r="B22" s="11" t="s">
        <v>4231</v>
      </c>
      <c r="C22" s="11" t="s">
        <v>4232</v>
      </c>
    </row>
    <row r="23" spans="2:3" s="11" customFormat="1" x14ac:dyDescent="0.15">
      <c r="B23" s="11" t="s">
        <v>4233</v>
      </c>
      <c r="C23" s="11" t="s">
        <v>4234</v>
      </c>
    </row>
    <row r="24" spans="2:3" s="11" customFormat="1" x14ac:dyDescent="0.15">
      <c r="B24" s="11" t="s">
        <v>4235</v>
      </c>
      <c r="C24" s="11" t="s">
        <v>4236</v>
      </c>
    </row>
    <row r="25" spans="2:3" s="11" customFormat="1" x14ac:dyDescent="0.15">
      <c r="B25" s="11" t="s">
        <v>4237</v>
      </c>
      <c r="C25" s="11" t="s">
        <v>4218</v>
      </c>
    </row>
    <row r="26" spans="2:3" s="11" customFormat="1" x14ac:dyDescent="0.15">
      <c r="B26" s="11" t="s">
        <v>4238</v>
      </c>
      <c r="C26" s="11" t="s">
        <v>4220</v>
      </c>
    </row>
    <row r="27" spans="2:3" s="11" customFormat="1" x14ac:dyDescent="0.15">
      <c r="B27" s="11" t="s">
        <v>4239</v>
      </c>
      <c r="C27" s="11" t="s">
        <v>4240</v>
      </c>
    </row>
    <row r="28" spans="2:3" s="11" customFormat="1" x14ac:dyDescent="0.15">
      <c r="B28" s="11" t="s">
        <v>4241</v>
      </c>
      <c r="C28" s="116" t="s">
        <v>4242</v>
      </c>
    </row>
    <row r="29" spans="2:3" s="11" customFormat="1" x14ac:dyDescent="0.15">
      <c r="B29" s="11" t="s">
        <v>4243</v>
      </c>
      <c r="C29" s="11" t="s">
        <v>4226</v>
      </c>
    </row>
  </sheetData>
  <phoneticPr fontId="11" type="noConversion"/>
  <conditionalFormatting sqref="B15:B18 B13">
    <cfRule type="duplicateValues" dxfId="11" priority="1"/>
    <cfRule type="duplicateValues" dxfId="10" priority="2"/>
  </conditionalFormatting>
  <conditionalFormatting sqref="B15:B18 B13">
    <cfRule type="duplicateValues" dxfId="9" priority="3"/>
  </conditionalFormatting>
  <pageMargins left="0.7" right="0.7" top="0.75" bottom="0.75" header="0.3" footer="0.3"/>
  <legacy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D48CB8-096C-4B8E-BEAC-956848F67B3E}">
  <sheetPr>
    <tabColor theme="2"/>
  </sheetPr>
  <dimension ref="A1:T16"/>
  <sheetViews>
    <sheetView workbookViewId="0"/>
  </sheetViews>
  <sheetFormatPr defaultRowHeight="13.5" x14ac:dyDescent="0.15"/>
  <cols>
    <col min="1" max="1" width="13.375" customWidth="1"/>
    <col min="2" max="2" width="27.5" customWidth="1"/>
    <col min="5" max="5" width="55.875" customWidth="1"/>
    <col min="6" max="6" width="29.5" customWidth="1"/>
    <col min="7" max="7" width="27.625" customWidth="1"/>
  </cols>
  <sheetData>
    <row r="1" spans="1:20" x14ac:dyDescent="0.15">
      <c r="A1" s="105" t="s">
        <v>4297</v>
      </c>
      <c r="B1" s="65" t="s">
        <v>4244</v>
      </c>
      <c r="C1" s="67"/>
      <c r="D1" s="67"/>
      <c r="E1" s="67"/>
      <c r="F1" s="67"/>
      <c r="G1" s="67"/>
      <c r="H1" s="67"/>
      <c r="I1" s="67"/>
      <c r="J1" s="65"/>
      <c r="K1" s="67"/>
      <c r="L1" s="67"/>
      <c r="M1" s="67"/>
      <c r="N1" s="65"/>
      <c r="O1" s="65"/>
      <c r="P1" s="65"/>
      <c r="Q1" s="65"/>
      <c r="R1" s="65"/>
      <c r="S1" s="65"/>
      <c r="T1" s="65"/>
    </row>
    <row r="2" spans="1:20" x14ac:dyDescent="0.15">
      <c r="A2" s="67" t="s">
        <v>70</v>
      </c>
      <c r="B2" s="69" t="s">
        <v>123</v>
      </c>
      <c r="C2" s="69" t="s">
        <v>4245</v>
      </c>
      <c r="D2" s="69" t="s">
        <v>4246</v>
      </c>
      <c r="E2" s="69" t="s">
        <v>4247</v>
      </c>
      <c r="F2" s="69" t="s">
        <v>4248</v>
      </c>
      <c r="G2" s="69" t="s">
        <v>4249</v>
      </c>
      <c r="H2" s="69" t="s">
        <v>71</v>
      </c>
      <c r="I2" s="69" t="s">
        <v>4250</v>
      </c>
      <c r="J2" s="69" t="s">
        <v>4251</v>
      </c>
      <c r="K2" s="69" t="s">
        <v>71</v>
      </c>
      <c r="L2" s="69" t="s">
        <v>4252</v>
      </c>
      <c r="M2" s="69" t="s">
        <v>71</v>
      </c>
      <c r="N2" s="69" t="s">
        <v>4253</v>
      </c>
      <c r="O2" s="69" t="s">
        <v>71</v>
      </c>
      <c r="P2" s="69" t="s">
        <v>4254</v>
      </c>
      <c r="Q2" s="69" t="s">
        <v>71</v>
      </c>
      <c r="R2" s="69" t="s">
        <v>4049</v>
      </c>
      <c r="S2" s="69" t="s">
        <v>4255</v>
      </c>
      <c r="T2" s="69" t="s">
        <v>4256</v>
      </c>
    </row>
    <row r="3" spans="1:20" x14ac:dyDescent="0.15">
      <c r="A3" s="67"/>
      <c r="B3" s="68" t="s">
        <v>74</v>
      </c>
      <c r="C3" s="68" t="s">
        <v>73</v>
      </c>
      <c r="D3" s="68" t="s">
        <v>74</v>
      </c>
      <c r="E3" s="68" t="s">
        <v>74</v>
      </c>
      <c r="F3" s="68" t="s">
        <v>74</v>
      </c>
      <c r="G3" s="68" t="s">
        <v>74</v>
      </c>
      <c r="H3" s="68" t="s">
        <v>73</v>
      </c>
      <c r="I3" s="68" t="s">
        <v>74</v>
      </c>
      <c r="J3" s="68" t="s">
        <v>74</v>
      </c>
      <c r="K3" s="68" t="s">
        <v>73</v>
      </c>
      <c r="L3" s="68" t="s">
        <v>74</v>
      </c>
      <c r="M3" s="68" t="s">
        <v>73</v>
      </c>
      <c r="N3" s="68" t="s">
        <v>74</v>
      </c>
      <c r="O3" s="68" t="s">
        <v>73</v>
      </c>
      <c r="P3" s="68" t="s">
        <v>74</v>
      </c>
      <c r="Q3" s="68" t="s">
        <v>73</v>
      </c>
      <c r="R3" s="68" t="s">
        <v>72</v>
      </c>
      <c r="S3" s="68" t="s">
        <v>74</v>
      </c>
      <c r="T3" s="68" t="s">
        <v>74</v>
      </c>
    </row>
    <row r="4" spans="1:20" x14ac:dyDescent="0.15">
      <c r="A4" s="67"/>
      <c r="B4" s="68" t="s">
        <v>75</v>
      </c>
      <c r="C4" s="66" t="s">
        <v>73</v>
      </c>
      <c r="D4" s="66" t="s">
        <v>238</v>
      </c>
      <c r="E4" s="66" t="s">
        <v>75</v>
      </c>
      <c r="F4" s="66" t="s">
        <v>75</v>
      </c>
      <c r="G4" s="66" t="s">
        <v>75</v>
      </c>
      <c r="H4" s="66" t="s">
        <v>73</v>
      </c>
      <c r="I4" s="66" t="s">
        <v>76</v>
      </c>
      <c r="J4" s="66" t="s">
        <v>75</v>
      </c>
      <c r="K4" s="66" t="s">
        <v>73</v>
      </c>
      <c r="L4" s="66" t="s">
        <v>75</v>
      </c>
      <c r="M4" s="66" t="s">
        <v>73</v>
      </c>
      <c r="N4" s="66" t="s">
        <v>75</v>
      </c>
      <c r="O4" s="66" t="s">
        <v>73</v>
      </c>
      <c r="P4" s="66" t="s">
        <v>75</v>
      </c>
      <c r="Q4" s="66" t="s">
        <v>73</v>
      </c>
      <c r="R4" s="66" t="s">
        <v>119</v>
      </c>
      <c r="S4" s="66" t="s">
        <v>75</v>
      </c>
      <c r="T4" s="66" t="s">
        <v>76</v>
      </c>
    </row>
    <row r="5" spans="1:20" x14ac:dyDescent="0.15">
      <c r="A5" s="67"/>
      <c r="B5" s="66" t="s">
        <v>81</v>
      </c>
      <c r="C5" s="106" t="s">
        <v>193</v>
      </c>
      <c r="D5" s="106" t="s">
        <v>4257</v>
      </c>
      <c r="E5" s="106" t="s">
        <v>4258</v>
      </c>
      <c r="F5" s="106" t="s">
        <v>4259</v>
      </c>
      <c r="G5" s="106" t="s">
        <v>4260</v>
      </c>
      <c r="H5" s="106" t="s">
        <v>4261</v>
      </c>
      <c r="I5" s="106" t="s">
        <v>4262</v>
      </c>
      <c r="J5" s="106" t="s">
        <v>4263</v>
      </c>
      <c r="K5" s="106" t="s">
        <v>4264</v>
      </c>
      <c r="L5" s="106" t="s">
        <v>4265</v>
      </c>
      <c r="M5" s="106" t="s">
        <v>4266</v>
      </c>
      <c r="N5" s="106" t="s">
        <v>4267</v>
      </c>
      <c r="O5" s="106" t="s">
        <v>4268</v>
      </c>
      <c r="P5" s="106" t="s">
        <v>3925</v>
      </c>
      <c r="Q5" s="106" t="s">
        <v>4269</v>
      </c>
      <c r="R5" s="106" t="s">
        <v>4270</v>
      </c>
      <c r="S5" s="106" t="s">
        <v>4271</v>
      </c>
      <c r="T5" s="106" t="s">
        <v>4272</v>
      </c>
    </row>
    <row r="6" spans="1:20" x14ac:dyDescent="0.15">
      <c r="A6" s="67"/>
      <c r="B6" s="106" t="s">
        <v>77</v>
      </c>
      <c r="C6" s="66"/>
      <c r="D6" s="66"/>
      <c r="E6" s="66"/>
      <c r="F6" s="66"/>
      <c r="G6" s="66"/>
      <c r="H6" s="66"/>
      <c r="I6" s="66"/>
      <c r="J6" s="66"/>
      <c r="K6" s="66"/>
      <c r="L6" s="66"/>
      <c r="M6" s="66"/>
      <c r="N6" s="66" t="s">
        <v>4273</v>
      </c>
      <c r="O6" s="66"/>
      <c r="P6" s="66" t="s">
        <v>4273</v>
      </c>
      <c r="Q6" s="66"/>
      <c r="R6" s="66"/>
      <c r="S6" s="66" t="s">
        <v>4273</v>
      </c>
      <c r="T6" s="66"/>
    </row>
    <row r="7" spans="1:20" s="11" customFormat="1" x14ac:dyDescent="0.15">
      <c r="B7" s="11" t="s">
        <v>4274</v>
      </c>
      <c r="E7" s="11" t="s">
        <v>4275</v>
      </c>
      <c r="F7" s="11" t="s">
        <v>4274</v>
      </c>
      <c r="H7" s="11" t="s">
        <v>4276</v>
      </c>
    </row>
    <row r="8" spans="1:20" s="11" customFormat="1" x14ac:dyDescent="0.15">
      <c r="B8" s="11" t="s">
        <v>4277</v>
      </c>
      <c r="E8" s="11" t="s">
        <v>4275</v>
      </c>
      <c r="F8" s="11" t="s">
        <v>4277</v>
      </c>
      <c r="H8" s="11" t="s">
        <v>4278</v>
      </c>
    </row>
    <row r="9" spans="1:20" s="11" customFormat="1" x14ac:dyDescent="0.15">
      <c r="B9" s="11" t="s">
        <v>4279</v>
      </c>
      <c r="E9" s="11" t="s">
        <v>4275</v>
      </c>
      <c r="F9" s="11" t="s">
        <v>4279</v>
      </c>
      <c r="H9" s="11" t="s">
        <v>4280</v>
      </c>
    </row>
    <row r="10" spans="1:20" s="11" customFormat="1" x14ac:dyDescent="0.15">
      <c r="B10" s="11" t="s">
        <v>4281</v>
      </c>
      <c r="E10" s="11" t="s">
        <v>4275</v>
      </c>
      <c r="F10" s="11" t="s">
        <v>4281</v>
      </c>
      <c r="H10" s="11" t="s">
        <v>4282</v>
      </c>
    </row>
    <row r="11" spans="1:20" s="11" customFormat="1" x14ac:dyDescent="0.15">
      <c r="B11" s="11" t="s">
        <v>4283</v>
      </c>
      <c r="E11" s="11" t="s">
        <v>4275</v>
      </c>
      <c r="F11" s="11" t="s">
        <v>4283</v>
      </c>
      <c r="H11" s="11" t="s">
        <v>4284</v>
      </c>
    </row>
    <row r="12" spans="1:20" s="11" customFormat="1" x14ac:dyDescent="0.15">
      <c r="B12" s="11" t="s">
        <v>4285</v>
      </c>
      <c r="E12" s="11" t="s">
        <v>4275</v>
      </c>
      <c r="F12" s="11" t="s">
        <v>4285</v>
      </c>
      <c r="H12" s="11" t="s">
        <v>4286</v>
      </c>
    </row>
    <row r="13" spans="1:20" s="11" customFormat="1" x14ac:dyDescent="0.15">
      <c r="B13" s="118"/>
      <c r="C13" s="118"/>
      <c r="D13" s="118"/>
      <c r="E13" s="118"/>
      <c r="F13" s="118"/>
      <c r="G13" s="118"/>
      <c r="H13" s="118"/>
    </row>
    <row r="14" spans="1:20" s="11" customFormat="1" x14ac:dyDescent="0.15">
      <c r="A14" s="11" t="s">
        <v>4287</v>
      </c>
      <c r="B14" s="11" t="s">
        <v>4288</v>
      </c>
      <c r="E14" s="11" t="s">
        <v>4289</v>
      </c>
      <c r="F14" s="11" t="s">
        <v>4288</v>
      </c>
      <c r="H14" s="11" t="s">
        <v>4290</v>
      </c>
    </row>
    <row r="15" spans="1:20" s="11" customFormat="1" x14ac:dyDescent="0.15">
      <c r="A15" s="11" t="s">
        <v>4287</v>
      </c>
      <c r="B15" s="12" t="s">
        <v>4291</v>
      </c>
      <c r="E15" s="11" t="s">
        <v>4292</v>
      </c>
      <c r="F15" s="11" t="s">
        <v>4072</v>
      </c>
      <c r="H15" s="11" t="s">
        <v>4293</v>
      </c>
    </row>
    <row r="16" spans="1:20" s="11" customFormat="1" x14ac:dyDescent="0.15">
      <c r="A16" s="11" t="s">
        <v>4287</v>
      </c>
      <c r="B16" s="11" t="s">
        <v>4294</v>
      </c>
      <c r="E16" s="11" t="s">
        <v>4295</v>
      </c>
      <c r="F16" s="11" t="s">
        <v>4294</v>
      </c>
      <c r="H16" s="11" t="s">
        <v>4296</v>
      </c>
    </row>
  </sheetData>
  <phoneticPr fontId="1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E413F8-B3CB-4207-A739-DDB8D270D724}">
  <sheetPr>
    <tabColor theme="2"/>
  </sheetPr>
  <dimension ref="A1:AX7"/>
  <sheetViews>
    <sheetView topLeftCell="U1" workbookViewId="0">
      <selection activeCell="AN44" sqref="AN44"/>
    </sheetView>
  </sheetViews>
  <sheetFormatPr defaultColWidth="9" defaultRowHeight="13.5" x14ac:dyDescent="0.15"/>
  <cols>
    <col min="1" max="1" width="11.75" style="65" customWidth="1"/>
    <col min="2" max="2" width="28.875" style="65" customWidth="1"/>
    <col min="3" max="3" width="13.75" style="65" customWidth="1"/>
    <col min="4" max="4" width="15.875" style="65" customWidth="1"/>
    <col min="5" max="5" width="11.25" style="65" customWidth="1"/>
    <col min="6" max="9" width="9" style="65"/>
    <col min="10" max="10" width="15.125" style="65" customWidth="1"/>
    <col min="11" max="11" width="9" style="65"/>
    <col min="12" max="12" width="17" style="65" customWidth="1"/>
    <col min="13" max="13" width="15" style="65" customWidth="1"/>
    <col min="14" max="19" width="9" style="65"/>
    <col min="20" max="20" width="46.25" style="65" customWidth="1"/>
    <col min="21" max="23" width="9" style="65"/>
    <col min="24" max="24" width="12.875" style="65" customWidth="1"/>
    <col min="25" max="16384" width="9" style="65"/>
  </cols>
  <sheetData>
    <row r="1" spans="1:50" x14ac:dyDescent="0.15">
      <c r="A1" s="107" t="s">
        <v>4394</v>
      </c>
      <c r="B1" s="67" t="s">
        <v>4298</v>
      </c>
      <c r="C1" s="67"/>
      <c r="D1" s="67"/>
      <c r="E1" s="67"/>
      <c r="F1" s="67"/>
      <c r="G1" s="67"/>
      <c r="H1" s="67"/>
      <c r="I1" s="67"/>
      <c r="L1" s="67"/>
      <c r="M1" s="67"/>
      <c r="N1" s="67"/>
      <c r="O1" s="67"/>
      <c r="P1" s="67"/>
      <c r="Q1" s="67"/>
      <c r="R1" s="67"/>
      <c r="S1" s="67"/>
      <c r="T1" s="67"/>
      <c r="U1" s="67"/>
      <c r="V1" s="67"/>
      <c r="W1" s="67"/>
      <c r="X1" s="67"/>
      <c r="Y1" s="67"/>
      <c r="Z1" s="67"/>
      <c r="AA1" s="67"/>
      <c r="AB1" s="67"/>
      <c r="AC1" s="67"/>
      <c r="AD1" s="67"/>
      <c r="AE1" s="67"/>
      <c r="AF1" s="67"/>
      <c r="AG1" s="67"/>
      <c r="AH1" s="67"/>
      <c r="AI1" s="67"/>
      <c r="AJ1" s="67"/>
      <c r="AK1" s="67"/>
      <c r="AL1" s="67"/>
      <c r="AM1" s="67"/>
      <c r="AN1" s="67"/>
      <c r="AO1" s="67"/>
      <c r="AP1" s="67"/>
      <c r="AQ1" s="67"/>
      <c r="AR1" s="67"/>
      <c r="AS1" s="67"/>
      <c r="AT1" s="67"/>
      <c r="AU1" s="67"/>
      <c r="AV1" s="67"/>
      <c r="AW1" s="67"/>
    </row>
    <row r="2" spans="1:50" x14ac:dyDescent="0.15">
      <c r="A2" s="107" t="s">
        <v>70</v>
      </c>
      <c r="B2" s="69" t="s">
        <v>4299</v>
      </c>
      <c r="C2" s="69" t="s">
        <v>4300</v>
      </c>
      <c r="D2" s="69" t="s">
        <v>4301</v>
      </c>
      <c r="E2" s="69" t="s">
        <v>3081</v>
      </c>
      <c r="F2" s="69" t="s">
        <v>241</v>
      </c>
      <c r="G2" s="69" t="s">
        <v>71</v>
      </c>
      <c r="H2" s="69" t="s">
        <v>4302</v>
      </c>
      <c r="I2" s="69" t="s">
        <v>4303</v>
      </c>
      <c r="J2" s="108" t="s">
        <v>4304</v>
      </c>
      <c r="K2" s="108" t="s">
        <v>4305</v>
      </c>
      <c r="L2" s="69" t="s">
        <v>4306</v>
      </c>
      <c r="M2" s="69" t="s">
        <v>4307</v>
      </c>
      <c r="N2" s="69" t="s">
        <v>4308</v>
      </c>
      <c r="O2" s="69" t="s">
        <v>4309</v>
      </c>
      <c r="P2" s="69" t="s">
        <v>4310</v>
      </c>
      <c r="Q2" s="69" t="s">
        <v>4311</v>
      </c>
      <c r="R2" s="69" t="s">
        <v>4312</v>
      </c>
      <c r="S2" s="69" t="s">
        <v>4313</v>
      </c>
      <c r="T2" s="69" t="s">
        <v>4314</v>
      </c>
      <c r="U2" s="69" t="s">
        <v>4315</v>
      </c>
      <c r="V2" s="69" t="s">
        <v>4316</v>
      </c>
      <c r="W2" s="69" t="s">
        <v>4317</v>
      </c>
      <c r="X2" s="69" t="s">
        <v>4318</v>
      </c>
      <c r="Y2" s="69" t="s">
        <v>4319</v>
      </c>
      <c r="Z2" s="69" t="s">
        <v>4320</v>
      </c>
      <c r="AA2" s="69" t="s">
        <v>4321</v>
      </c>
      <c r="AB2" s="69" t="s">
        <v>4322</v>
      </c>
      <c r="AC2" s="69" t="s">
        <v>4323</v>
      </c>
      <c r="AD2" s="69" t="s">
        <v>4324</v>
      </c>
      <c r="AE2" s="69" t="s">
        <v>4325</v>
      </c>
      <c r="AF2" s="69" t="s">
        <v>4326</v>
      </c>
      <c r="AG2" s="69" t="s">
        <v>4327</v>
      </c>
      <c r="AH2" s="69" t="s">
        <v>4328</v>
      </c>
      <c r="AI2" s="69" t="s">
        <v>4329</v>
      </c>
      <c r="AJ2" s="69" t="s">
        <v>4330</v>
      </c>
      <c r="AK2" s="69" t="s">
        <v>4331</v>
      </c>
      <c r="AL2" s="69" t="s">
        <v>240</v>
      </c>
      <c r="AM2" s="69" t="s">
        <v>4332</v>
      </c>
      <c r="AN2" s="69" t="s">
        <v>4333</v>
      </c>
      <c r="AO2" s="69" t="s">
        <v>4334</v>
      </c>
      <c r="AP2" s="69" t="s">
        <v>4335</v>
      </c>
      <c r="AQ2" s="69" t="s">
        <v>4336</v>
      </c>
      <c r="AR2" s="69" t="s">
        <v>4337</v>
      </c>
      <c r="AS2" s="69" t="s">
        <v>4338</v>
      </c>
      <c r="AT2" s="69" t="s">
        <v>4339</v>
      </c>
      <c r="AU2" s="69" t="s">
        <v>4340</v>
      </c>
      <c r="AV2" s="69" t="s">
        <v>4341</v>
      </c>
      <c r="AW2" s="69" t="s">
        <v>4342</v>
      </c>
      <c r="AX2" s="69" t="s">
        <v>4343</v>
      </c>
    </row>
    <row r="3" spans="1:50" x14ac:dyDescent="0.15">
      <c r="A3" s="107"/>
      <c r="B3" s="68" t="s">
        <v>72</v>
      </c>
      <c r="C3" s="68" t="s">
        <v>72</v>
      </c>
      <c r="D3" s="68" t="s">
        <v>72</v>
      </c>
      <c r="E3" s="68" t="s">
        <v>72</v>
      </c>
      <c r="F3" s="68" t="s">
        <v>72</v>
      </c>
      <c r="G3" s="68" t="s">
        <v>73</v>
      </c>
      <c r="H3" s="68" t="s">
        <v>72</v>
      </c>
      <c r="I3" s="68" t="s">
        <v>72</v>
      </c>
      <c r="J3" s="109" t="s">
        <v>72</v>
      </c>
      <c r="K3" s="109" t="s">
        <v>73</v>
      </c>
      <c r="L3" s="68" t="s">
        <v>72</v>
      </c>
      <c r="M3" s="68" t="s">
        <v>72</v>
      </c>
      <c r="N3" s="68" t="s">
        <v>72</v>
      </c>
      <c r="O3" s="68" t="s">
        <v>72</v>
      </c>
      <c r="P3" s="68" t="s">
        <v>73</v>
      </c>
      <c r="Q3" s="68" t="s">
        <v>72</v>
      </c>
      <c r="R3" s="68" t="s">
        <v>72</v>
      </c>
      <c r="S3" s="68" t="s">
        <v>72</v>
      </c>
      <c r="T3" s="68" t="s">
        <v>72</v>
      </c>
      <c r="U3" s="68" t="s">
        <v>72</v>
      </c>
      <c r="V3" s="68" t="s">
        <v>72</v>
      </c>
      <c r="W3" s="68" t="s">
        <v>72</v>
      </c>
      <c r="X3" s="68" t="s">
        <v>72</v>
      </c>
      <c r="Y3" s="68" t="s">
        <v>72</v>
      </c>
      <c r="Z3" s="68" t="s">
        <v>72</v>
      </c>
      <c r="AA3" s="68" t="s">
        <v>72</v>
      </c>
      <c r="AB3" s="68" t="s">
        <v>72</v>
      </c>
      <c r="AC3" s="68" t="s">
        <v>72</v>
      </c>
      <c r="AD3" s="68" t="s">
        <v>72</v>
      </c>
      <c r="AE3" s="68" t="s">
        <v>72</v>
      </c>
      <c r="AF3" s="68" t="s">
        <v>72</v>
      </c>
      <c r="AG3" s="68" t="s">
        <v>72</v>
      </c>
      <c r="AH3" s="68" t="s">
        <v>72</v>
      </c>
      <c r="AI3" s="68" t="s">
        <v>72</v>
      </c>
      <c r="AJ3" s="68" t="s">
        <v>72</v>
      </c>
      <c r="AK3" s="68" t="s">
        <v>72</v>
      </c>
      <c r="AL3" s="68" t="s">
        <v>72</v>
      </c>
      <c r="AM3" s="68" t="s">
        <v>72</v>
      </c>
      <c r="AN3" s="68" t="s">
        <v>72</v>
      </c>
      <c r="AO3" s="68" t="s">
        <v>72</v>
      </c>
      <c r="AP3" s="68" t="s">
        <v>72</v>
      </c>
      <c r="AQ3" s="68" t="s">
        <v>72</v>
      </c>
      <c r="AR3" s="68" t="s">
        <v>72</v>
      </c>
      <c r="AS3" s="68" t="s">
        <v>72</v>
      </c>
      <c r="AT3" s="68" t="s">
        <v>72</v>
      </c>
      <c r="AU3" s="68" t="s">
        <v>72</v>
      </c>
      <c r="AV3" s="68" t="s">
        <v>72</v>
      </c>
      <c r="AW3" s="68" t="s">
        <v>72</v>
      </c>
      <c r="AX3" s="68" t="s">
        <v>72</v>
      </c>
    </row>
    <row r="4" spans="1:50" x14ac:dyDescent="0.15">
      <c r="A4" s="107"/>
      <c r="B4" s="66" t="s">
        <v>75</v>
      </c>
      <c r="C4" s="66" t="s">
        <v>75</v>
      </c>
      <c r="D4" s="66" t="s">
        <v>75</v>
      </c>
      <c r="E4" s="66" t="s">
        <v>75</v>
      </c>
      <c r="F4" s="66" t="s">
        <v>75</v>
      </c>
      <c r="G4" s="66" t="s">
        <v>73</v>
      </c>
      <c r="H4" s="66" t="s">
        <v>75</v>
      </c>
      <c r="I4" s="66" t="s">
        <v>75</v>
      </c>
      <c r="J4" s="110" t="s">
        <v>75</v>
      </c>
      <c r="K4" s="110" t="s">
        <v>73</v>
      </c>
      <c r="L4" s="66" t="s">
        <v>75</v>
      </c>
      <c r="M4" s="66" t="s">
        <v>238</v>
      </c>
      <c r="N4" s="66" t="s">
        <v>76</v>
      </c>
      <c r="O4" s="66" t="s">
        <v>76</v>
      </c>
      <c r="P4" s="66" t="s">
        <v>73</v>
      </c>
      <c r="Q4" s="66" t="s">
        <v>238</v>
      </c>
      <c r="R4" s="66" t="s">
        <v>238</v>
      </c>
      <c r="S4" s="66" t="s">
        <v>249</v>
      </c>
      <c r="T4" s="66" t="s">
        <v>75</v>
      </c>
      <c r="U4" s="66" t="s">
        <v>330</v>
      </c>
      <c r="V4" s="110" t="s">
        <v>75</v>
      </c>
      <c r="W4" s="110" t="s">
        <v>75</v>
      </c>
      <c r="X4" s="66" t="s">
        <v>75</v>
      </c>
      <c r="Y4" s="66" t="s">
        <v>75</v>
      </c>
      <c r="Z4" s="66" t="s">
        <v>75</v>
      </c>
      <c r="AA4" s="66" t="s">
        <v>75</v>
      </c>
      <c r="AB4" s="66" t="s">
        <v>75</v>
      </c>
      <c r="AC4" s="66" t="s">
        <v>75</v>
      </c>
      <c r="AD4" s="66" t="s">
        <v>75</v>
      </c>
      <c r="AE4" s="66" t="s">
        <v>75</v>
      </c>
      <c r="AF4" s="66" t="s">
        <v>75</v>
      </c>
      <c r="AG4" s="66" t="s">
        <v>75</v>
      </c>
      <c r="AH4" s="66" t="s">
        <v>75</v>
      </c>
      <c r="AI4" s="66" t="s">
        <v>76</v>
      </c>
      <c r="AJ4" s="66" t="s">
        <v>75</v>
      </c>
      <c r="AK4" s="66" t="s">
        <v>238</v>
      </c>
      <c r="AL4" s="66" t="s">
        <v>75</v>
      </c>
      <c r="AM4" s="66" t="s">
        <v>75</v>
      </c>
      <c r="AN4" s="66" t="s">
        <v>75</v>
      </c>
      <c r="AO4" s="66" t="s">
        <v>75</v>
      </c>
      <c r="AP4" s="66" t="s">
        <v>75</v>
      </c>
      <c r="AQ4" s="66" t="s">
        <v>75</v>
      </c>
      <c r="AR4" s="66" t="s">
        <v>119</v>
      </c>
      <c r="AS4" s="66" t="s">
        <v>75</v>
      </c>
      <c r="AT4" s="66" t="s">
        <v>75</v>
      </c>
      <c r="AU4" s="66" t="s">
        <v>75</v>
      </c>
      <c r="AV4" s="66" t="s">
        <v>75</v>
      </c>
      <c r="AW4" s="66" t="s">
        <v>238</v>
      </c>
      <c r="AX4" s="66" t="s">
        <v>75</v>
      </c>
    </row>
    <row r="5" spans="1:50" x14ac:dyDescent="0.15">
      <c r="A5" s="107"/>
      <c r="B5" s="68" t="s">
        <v>81</v>
      </c>
      <c r="C5" s="68" t="s">
        <v>4344</v>
      </c>
      <c r="D5" s="68" t="s">
        <v>4345</v>
      </c>
      <c r="E5" s="68" t="s">
        <v>3100</v>
      </c>
      <c r="F5" s="68" t="s">
        <v>194</v>
      </c>
      <c r="G5" s="68" t="s">
        <v>193</v>
      </c>
      <c r="H5" s="68" t="s">
        <v>4346</v>
      </c>
      <c r="I5" s="68" t="s">
        <v>4347</v>
      </c>
      <c r="J5" s="109" t="s">
        <v>4348</v>
      </c>
      <c r="K5" s="109" t="s">
        <v>4349</v>
      </c>
      <c r="L5" s="68" t="s">
        <v>4350</v>
      </c>
      <c r="M5" s="68" t="s">
        <v>4351</v>
      </c>
      <c r="N5" s="68" t="s">
        <v>4352</v>
      </c>
      <c r="O5" s="68" t="s">
        <v>4353</v>
      </c>
      <c r="P5" s="68" t="s">
        <v>4354</v>
      </c>
      <c r="Q5" s="68" t="s">
        <v>4355</v>
      </c>
      <c r="R5" s="68" t="s">
        <v>4356</v>
      </c>
      <c r="S5" s="111" t="s">
        <v>4357</v>
      </c>
      <c r="T5" s="68" t="s">
        <v>4358</v>
      </c>
      <c r="U5" s="68" t="s">
        <v>4359</v>
      </c>
      <c r="V5" s="68" t="s">
        <v>4360</v>
      </c>
      <c r="W5" s="68" t="s">
        <v>4361</v>
      </c>
      <c r="X5" s="68" t="s">
        <v>4362</v>
      </c>
      <c r="Y5" s="68" t="s">
        <v>4363</v>
      </c>
      <c r="Z5" s="68" t="s">
        <v>4364</v>
      </c>
      <c r="AA5" s="68" t="s">
        <v>4365</v>
      </c>
      <c r="AB5" s="68" t="s">
        <v>4366</v>
      </c>
      <c r="AC5" s="68" t="s">
        <v>4367</v>
      </c>
      <c r="AD5" s="68" t="s">
        <v>4368</v>
      </c>
      <c r="AE5" s="68" t="s">
        <v>4369</v>
      </c>
      <c r="AF5" s="68" t="s">
        <v>4370</v>
      </c>
      <c r="AG5" s="68" t="s">
        <v>4371</v>
      </c>
      <c r="AH5" s="68" t="s">
        <v>4372</v>
      </c>
      <c r="AI5" s="68" t="s">
        <v>4373</v>
      </c>
      <c r="AJ5" s="68" t="s">
        <v>4374</v>
      </c>
      <c r="AK5" s="68" t="s">
        <v>4375</v>
      </c>
      <c r="AL5" s="68" t="s">
        <v>82</v>
      </c>
      <c r="AM5" s="68" t="s">
        <v>4376</v>
      </c>
      <c r="AN5" s="68" t="s">
        <v>4377</v>
      </c>
      <c r="AO5" s="68" t="s">
        <v>4378</v>
      </c>
      <c r="AP5" s="68" t="s">
        <v>4379</v>
      </c>
      <c r="AQ5" s="68" t="s">
        <v>4380</v>
      </c>
      <c r="AR5" s="68" t="s">
        <v>4381</v>
      </c>
      <c r="AS5" s="68" t="s">
        <v>4382</v>
      </c>
      <c r="AT5" s="68" t="s">
        <v>4383</v>
      </c>
      <c r="AU5" s="68" t="s">
        <v>4384</v>
      </c>
      <c r="AV5" s="68" t="s">
        <v>4385</v>
      </c>
      <c r="AW5" s="68" t="s">
        <v>4386</v>
      </c>
      <c r="AX5" s="68" t="s">
        <v>4387</v>
      </c>
    </row>
    <row r="6" spans="1:50" x14ac:dyDescent="0.15">
      <c r="A6" s="107"/>
      <c r="B6" s="66" t="s">
        <v>77</v>
      </c>
      <c r="C6" s="66"/>
      <c r="D6" s="66"/>
      <c r="E6" s="66"/>
      <c r="F6" s="66" t="s">
        <v>78</v>
      </c>
      <c r="G6" s="66"/>
      <c r="H6" s="66"/>
      <c r="I6" s="66"/>
      <c r="J6" s="66" t="s">
        <v>78</v>
      </c>
      <c r="K6" s="110"/>
      <c r="L6" s="66" t="s">
        <v>4388</v>
      </c>
      <c r="M6" s="66" t="s">
        <v>4388</v>
      </c>
      <c r="N6" s="66"/>
      <c r="O6" s="66"/>
      <c r="P6" s="66" t="s">
        <v>73</v>
      </c>
      <c r="Q6" s="66" t="s">
        <v>4388</v>
      </c>
      <c r="R6" s="66" t="s">
        <v>78</v>
      </c>
      <c r="S6" s="66"/>
      <c r="T6" s="66"/>
      <c r="U6" s="66"/>
      <c r="V6" s="66" t="s">
        <v>4388</v>
      </c>
      <c r="W6" s="66" t="s">
        <v>4388</v>
      </c>
      <c r="X6" s="66" t="s">
        <v>4389</v>
      </c>
      <c r="Y6" s="66" t="s">
        <v>4389</v>
      </c>
      <c r="Z6" s="66" t="s">
        <v>4389</v>
      </c>
      <c r="AA6" s="66" t="s">
        <v>4389</v>
      </c>
      <c r="AB6" s="66" t="s">
        <v>4389</v>
      </c>
      <c r="AC6" s="66" t="s">
        <v>4389</v>
      </c>
      <c r="AD6" s="66" t="s">
        <v>4389</v>
      </c>
      <c r="AE6" s="66" t="s">
        <v>4389</v>
      </c>
      <c r="AF6" s="66" t="s">
        <v>4389</v>
      </c>
      <c r="AG6" s="66" t="s">
        <v>4389</v>
      </c>
      <c r="AH6" s="66"/>
      <c r="AI6" s="66"/>
      <c r="AJ6" s="66" t="s">
        <v>4389</v>
      </c>
      <c r="AK6" s="66" t="s">
        <v>78</v>
      </c>
      <c r="AL6" s="66" t="s">
        <v>4390</v>
      </c>
      <c r="AM6" s="66" t="s">
        <v>4389</v>
      </c>
      <c r="AN6" s="66" t="s">
        <v>4389</v>
      </c>
      <c r="AO6" s="66" t="s">
        <v>4389</v>
      </c>
      <c r="AP6" s="66" t="s">
        <v>4389</v>
      </c>
      <c r="AQ6" s="66" t="s">
        <v>4389</v>
      </c>
      <c r="AR6" s="66"/>
      <c r="AS6" s="66" t="s">
        <v>78</v>
      </c>
      <c r="AT6" s="66" t="s">
        <v>78</v>
      </c>
      <c r="AU6" s="66"/>
      <c r="AV6" s="66" t="s">
        <v>4389</v>
      </c>
      <c r="AW6" s="66"/>
      <c r="AX6" s="66" t="s">
        <v>4389</v>
      </c>
    </row>
    <row r="7" spans="1:50" s="151" customFormat="1" x14ac:dyDescent="0.15">
      <c r="B7" s="152" t="s">
        <v>4391</v>
      </c>
      <c r="C7" s="151" t="s">
        <v>4392</v>
      </c>
      <c r="T7" s="151" t="s">
        <v>4393</v>
      </c>
      <c r="U7" s="151">
        <v>1</v>
      </c>
      <c r="AI7" s="151">
        <v>1</v>
      </c>
      <c r="AK7" s="151" t="s">
        <v>235</v>
      </c>
      <c r="AL7" s="151" t="s">
        <v>4358</v>
      </c>
    </row>
  </sheetData>
  <phoneticPr fontId="11" type="noConversion"/>
  <pageMargins left="0.7" right="0.7" top="0.75" bottom="0.75" header="0.3" footer="0.3"/>
  <legacy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881B97-7836-4426-9864-2CA368551D5E}">
  <sheetPr>
    <tabColor theme="2"/>
  </sheetPr>
  <dimension ref="A1:G7"/>
  <sheetViews>
    <sheetView workbookViewId="0"/>
  </sheetViews>
  <sheetFormatPr defaultRowHeight="13.5" x14ac:dyDescent="0.15"/>
  <cols>
    <col min="2" max="2" width="20.5" bestFit="1" customWidth="1"/>
    <col min="4" max="4" width="20.5" bestFit="1" customWidth="1"/>
  </cols>
  <sheetData>
    <row r="1" spans="1:7" x14ac:dyDescent="0.15">
      <c r="A1" s="107" t="s">
        <v>4406</v>
      </c>
      <c r="B1" s="107" t="s">
        <v>4395</v>
      </c>
      <c r="C1" s="107"/>
      <c r="D1" s="107"/>
      <c r="E1" s="107"/>
      <c r="F1" s="107"/>
      <c r="G1" s="107"/>
    </row>
    <row r="2" spans="1:7" x14ac:dyDescent="0.15">
      <c r="A2" s="107" t="s">
        <v>70</v>
      </c>
      <c r="B2" s="112" t="s">
        <v>4299</v>
      </c>
      <c r="C2" s="112" t="s">
        <v>4396</v>
      </c>
      <c r="D2" s="112" t="s">
        <v>3897</v>
      </c>
      <c r="E2" s="112" t="s">
        <v>570</v>
      </c>
      <c r="F2" s="112" t="s">
        <v>4397</v>
      </c>
      <c r="G2" s="112" t="s">
        <v>4398</v>
      </c>
    </row>
    <row r="3" spans="1:7" x14ac:dyDescent="0.15">
      <c r="A3" s="107"/>
      <c r="B3" s="113" t="s">
        <v>74</v>
      </c>
      <c r="C3" s="113" t="s">
        <v>74</v>
      </c>
      <c r="D3" s="113" t="s">
        <v>74</v>
      </c>
      <c r="E3" s="113" t="s">
        <v>74</v>
      </c>
      <c r="F3" s="113" t="s">
        <v>74</v>
      </c>
      <c r="G3" s="113" t="s">
        <v>74</v>
      </c>
    </row>
    <row r="4" spans="1:7" x14ac:dyDescent="0.15">
      <c r="A4" s="107"/>
      <c r="B4" s="114" t="s">
        <v>75</v>
      </c>
      <c r="C4" s="114" t="s">
        <v>76</v>
      </c>
      <c r="D4" s="114" t="s">
        <v>75</v>
      </c>
      <c r="E4" s="114" t="s">
        <v>4399</v>
      </c>
      <c r="F4" s="114" t="s">
        <v>4399</v>
      </c>
      <c r="G4" s="114" t="s">
        <v>330</v>
      </c>
    </row>
    <row r="5" spans="1:7" x14ac:dyDescent="0.15">
      <c r="A5" s="107"/>
      <c r="B5" s="113" t="s">
        <v>81</v>
      </c>
      <c r="C5" s="113" t="s">
        <v>4400</v>
      </c>
      <c r="D5" s="113" t="s">
        <v>4401</v>
      </c>
      <c r="E5" s="113" t="s">
        <v>4402</v>
      </c>
      <c r="F5" s="113" t="s">
        <v>4403</v>
      </c>
      <c r="G5" s="113" t="s">
        <v>4404</v>
      </c>
    </row>
    <row r="6" spans="1:7" x14ac:dyDescent="0.15">
      <c r="A6" s="107"/>
      <c r="B6" s="114" t="s">
        <v>77</v>
      </c>
      <c r="C6" s="114"/>
      <c r="D6" s="114"/>
      <c r="E6" s="114"/>
      <c r="F6" s="114"/>
      <c r="G6" s="114"/>
    </row>
    <row r="7" spans="1:7" s="11" customFormat="1" x14ac:dyDescent="0.15">
      <c r="A7" s="152"/>
      <c r="B7" s="151" t="s">
        <v>4393</v>
      </c>
      <c r="C7" s="152">
        <v>2</v>
      </c>
      <c r="D7" s="152" t="s">
        <v>5244</v>
      </c>
      <c r="E7" s="152" t="s">
        <v>4405</v>
      </c>
      <c r="F7" s="152" t="s">
        <v>4405</v>
      </c>
      <c r="G7" s="152">
        <v>1</v>
      </c>
    </row>
  </sheetData>
  <phoneticPr fontId="11" type="noConversion"/>
  <pageMargins left="0.7" right="0.7" top="0.75" bottom="0.75" header="0.3" footer="0.3"/>
  <legacy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AAA6F-69E4-41C9-9098-7112395C9EEA}">
  <sheetPr codeName="Sheet3">
    <tabColor theme="2"/>
  </sheetPr>
  <dimension ref="A1:I32"/>
  <sheetViews>
    <sheetView workbookViewId="0"/>
  </sheetViews>
  <sheetFormatPr defaultRowHeight="13.5" x14ac:dyDescent="0.15"/>
  <cols>
    <col min="1" max="1" width="17.625" customWidth="1"/>
    <col min="2" max="2" width="51.625" customWidth="1"/>
    <col min="3" max="3" width="92.375" customWidth="1"/>
    <col min="4" max="4" width="42.5" customWidth="1"/>
    <col min="6" max="6" width="14.125" bestFit="1" customWidth="1"/>
  </cols>
  <sheetData>
    <row r="1" spans="1:9" x14ac:dyDescent="0.15">
      <c r="A1" s="18" t="s">
        <v>103</v>
      </c>
      <c r="B1" s="17" t="s">
        <v>757</v>
      </c>
    </row>
    <row r="2" spans="1:9" x14ac:dyDescent="0.15">
      <c r="A2" t="s">
        <v>70</v>
      </c>
      <c r="B2" s="16" t="s">
        <v>102</v>
      </c>
      <c r="C2" s="16" t="s">
        <v>101</v>
      </c>
      <c r="D2" s="16" t="s">
        <v>100</v>
      </c>
      <c r="E2" s="16" t="s">
        <v>99</v>
      </c>
      <c r="F2" s="16" t="s">
        <v>98</v>
      </c>
      <c r="G2" s="16" t="s">
        <v>97</v>
      </c>
    </row>
    <row r="3" spans="1:9" x14ac:dyDescent="0.15">
      <c r="B3" s="15" t="s">
        <v>72</v>
      </c>
      <c r="C3" s="15" t="s">
        <v>72</v>
      </c>
      <c r="D3" s="15" t="s">
        <v>72</v>
      </c>
      <c r="E3" s="15" t="s">
        <v>72</v>
      </c>
      <c r="F3" s="15" t="s">
        <v>96</v>
      </c>
      <c r="G3" s="15" t="s">
        <v>95</v>
      </c>
    </row>
    <row r="4" spans="1:9" x14ac:dyDescent="0.15">
      <c r="B4" s="14" t="s">
        <v>75</v>
      </c>
      <c r="C4" s="14" t="s">
        <v>94</v>
      </c>
      <c r="D4" s="14" t="s">
        <v>75</v>
      </c>
      <c r="E4" s="14" t="s">
        <v>76</v>
      </c>
      <c r="F4" s="14" t="s">
        <v>93</v>
      </c>
      <c r="G4" s="14" t="s">
        <v>76</v>
      </c>
    </row>
    <row r="5" spans="1:9" x14ac:dyDescent="0.15">
      <c r="B5" s="15" t="s">
        <v>81</v>
      </c>
      <c r="C5" s="15" t="s">
        <v>92</v>
      </c>
      <c r="D5" s="15" t="s">
        <v>91</v>
      </c>
      <c r="E5" s="15" t="s">
        <v>90</v>
      </c>
      <c r="F5" s="15" t="s">
        <v>89</v>
      </c>
      <c r="G5" s="15" t="s">
        <v>88</v>
      </c>
      <c r="I5" s="11"/>
    </row>
    <row r="6" spans="1:9" x14ac:dyDescent="0.15">
      <c r="B6" s="14" t="s">
        <v>77</v>
      </c>
      <c r="C6" s="14"/>
      <c r="D6" s="14" t="s">
        <v>87</v>
      </c>
      <c r="E6" s="14"/>
      <c r="F6" s="14"/>
      <c r="G6" s="14"/>
      <c r="I6" s="11"/>
    </row>
    <row r="7" spans="1:9" s="13" customFormat="1" x14ac:dyDescent="0.15">
      <c r="B7" s="13" t="s">
        <v>1316</v>
      </c>
      <c r="C7" s="13" t="s">
        <v>1317</v>
      </c>
      <c r="D7" s="13" t="s">
        <v>1318</v>
      </c>
      <c r="E7" s="13">
        <v>1</v>
      </c>
      <c r="F7" s="13">
        <v>1</v>
      </c>
      <c r="G7" s="13">
        <v>0</v>
      </c>
      <c r="I7" s="11"/>
    </row>
    <row r="8" spans="1:9" s="13" customFormat="1" x14ac:dyDescent="0.15">
      <c r="B8" s="13" t="s">
        <v>1319</v>
      </c>
      <c r="C8" s="13" t="s">
        <v>1317</v>
      </c>
      <c r="D8" s="13" t="s">
        <v>1320</v>
      </c>
      <c r="E8" s="13">
        <v>1</v>
      </c>
      <c r="F8" s="13">
        <v>1</v>
      </c>
      <c r="G8" s="13">
        <v>1</v>
      </c>
      <c r="I8" s="11"/>
    </row>
    <row r="9" spans="1:9" s="13" customFormat="1" x14ac:dyDescent="0.15">
      <c r="B9" s="13" t="s">
        <v>1321</v>
      </c>
      <c r="C9" s="13" t="s">
        <v>1322</v>
      </c>
      <c r="D9" s="13" t="s">
        <v>1323</v>
      </c>
      <c r="E9" s="13">
        <v>2</v>
      </c>
      <c r="F9" s="13">
        <v>1</v>
      </c>
      <c r="G9" s="13">
        <v>2</v>
      </c>
      <c r="I9" s="11"/>
    </row>
    <row r="10" spans="1:9" s="13" customFormat="1" x14ac:dyDescent="0.15">
      <c r="B10" s="13" t="s">
        <v>1324</v>
      </c>
      <c r="C10" s="13" t="s">
        <v>3198</v>
      </c>
      <c r="D10" s="13" t="s">
        <v>1325</v>
      </c>
      <c r="E10" s="13">
        <v>1</v>
      </c>
      <c r="F10" s="13">
        <v>1</v>
      </c>
      <c r="G10" s="13">
        <v>3</v>
      </c>
      <c r="I10" s="11"/>
    </row>
    <row r="11" spans="1:9" s="13" customFormat="1" x14ac:dyDescent="0.15">
      <c r="B11" s="13" t="s">
        <v>1326</v>
      </c>
      <c r="C11" s="13" t="s">
        <v>1327</v>
      </c>
      <c r="D11" s="13" t="s">
        <v>1328</v>
      </c>
      <c r="E11" s="13">
        <v>1</v>
      </c>
      <c r="F11" s="13">
        <v>0</v>
      </c>
      <c r="G11" s="13">
        <v>4</v>
      </c>
      <c r="I11" s="11"/>
    </row>
    <row r="12" spans="1:9" s="13" customFormat="1" x14ac:dyDescent="0.15">
      <c r="B12" s="13" t="s">
        <v>1329</v>
      </c>
      <c r="C12" s="13" t="s">
        <v>1327</v>
      </c>
      <c r="D12" s="13" t="s">
        <v>1330</v>
      </c>
      <c r="E12" s="13">
        <v>1</v>
      </c>
      <c r="F12" s="13">
        <v>0</v>
      </c>
      <c r="G12" s="13">
        <v>5</v>
      </c>
      <c r="I12" s="11"/>
    </row>
    <row r="13" spans="1:9" s="13" customFormat="1" x14ac:dyDescent="0.15">
      <c r="B13" s="13" t="s">
        <v>1331</v>
      </c>
      <c r="C13" s="13" t="s">
        <v>1332</v>
      </c>
      <c r="D13" s="13" t="s">
        <v>1333</v>
      </c>
      <c r="E13" s="13">
        <v>1</v>
      </c>
      <c r="F13" s="13">
        <v>0</v>
      </c>
      <c r="G13" s="13">
        <v>6</v>
      </c>
      <c r="I13" s="11"/>
    </row>
    <row r="14" spans="1:9" s="13" customFormat="1" x14ac:dyDescent="0.15">
      <c r="A14" s="11"/>
      <c r="B14" s="13" t="s">
        <v>1334</v>
      </c>
      <c r="C14" s="13" t="s">
        <v>1335</v>
      </c>
      <c r="D14" s="13" t="s">
        <v>1336</v>
      </c>
      <c r="E14" s="13">
        <v>10</v>
      </c>
      <c r="F14" s="13">
        <v>0</v>
      </c>
      <c r="G14" s="13">
        <v>7</v>
      </c>
      <c r="I14" s="11"/>
    </row>
    <row r="15" spans="1:9" s="13" customFormat="1" x14ac:dyDescent="0.15">
      <c r="B15" s="13" t="s">
        <v>1337</v>
      </c>
      <c r="C15" s="13" t="s">
        <v>1338</v>
      </c>
      <c r="D15" s="13" t="s">
        <v>1339</v>
      </c>
      <c r="E15" s="13">
        <v>10</v>
      </c>
      <c r="F15" s="13">
        <v>0</v>
      </c>
      <c r="G15" s="13">
        <v>8</v>
      </c>
      <c r="I15" s="11"/>
    </row>
    <row r="16" spans="1:9" s="13" customFormat="1" x14ac:dyDescent="0.15">
      <c r="B16" s="13" t="s">
        <v>1340</v>
      </c>
      <c r="C16" s="13" t="s">
        <v>1341</v>
      </c>
      <c r="D16" s="13" t="s">
        <v>1342</v>
      </c>
      <c r="E16" s="13">
        <v>30</v>
      </c>
      <c r="F16" s="13">
        <v>0</v>
      </c>
      <c r="G16" s="13">
        <v>9</v>
      </c>
      <c r="I16" s="11"/>
    </row>
    <row r="17" spans="1:9" s="13" customFormat="1" x14ac:dyDescent="0.15">
      <c r="A17" s="11"/>
      <c r="B17" s="13" t="s">
        <v>1343</v>
      </c>
      <c r="C17" s="13" t="s">
        <v>1344</v>
      </c>
      <c r="D17" s="13" t="s">
        <v>1345</v>
      </c>
      <c r="E17" s="13">
        <v>10</v>
      </c>
      <c r="F17" s="13">
        <v>0</v>
      </c>
      <c r="G17" s="13">
        <v>10</v>
      </c>
      <c r="I17" s="11"/>
    </row>
    <row r="18" spans="1:9" s="13" customFormat="1" x14ac:dyDescent="0.15">
      <c r="A18" s="11"/>
      <c r="B18" s="13" t="s">
        <v>1346</v>
      </c>
      <c r="C18" s="13" t="s">
        <v>3199</v>
      </c>
      <c r="D18" s="13" t="s">
        <v>1347</v>
      </c>
      <c r="E18" s="13">
        <v>20</v>
      </c>
      <c r="F18" s="13">
        <v>0</v>
      </c>
      <c r="G18" s="13">
        <v>11</v>
      </c>
      <c r="I18" s="11"/>
    </row>
    <row r="19" spans="1:9" s="11" customFormat="1" x14ac:dyDescent="0.15">
      <c r="B19" s="13" t="s">
        <v>1348</v>
      </c>
      <c r="C19" s="13" t="s">
        <v>3200</v>
      </c>
      <c r="D19" s="13" t="s">
        <v>1349</v>
      </c>
      <c r="E19" s="11">
        <v>800</v>
      </c>
      <c r="F19" s="13">
        <v>0</v>
      </c>
      <c r="G19" s="13">
        <v>12</v>
      </c>
    </row>
    <row r="20" spans="1:9" s="13" customFormat="1" x14ac:dyDescent="0.15">
      <c r="A20" s="11"/>
      <c r="B20" s="13" t="s">
        <v>1350</v>
      </c>
      <c r="C20" s="13" t="s">
        <v>1351</v>
      </c>
      <c r="D20" s="13" t="s">
        <v>1352</v>
      </c>
      <c r="E20" s="13">
        <v>800</v>
      </c>
      <c r="F20" s="13">
        <v>0</v>
      </c>
      <c r="G20" s="13">
        <v>13</v>
      </c>
      <c r="I20" s="11"/>
    </row>
    <row r="21" spans="1:9" s="13" customFormat="1" x14ac:dyDescent="0.15">
      <c r="A21" s="11"/>
      <c r="B21" s="13" t="s">
        <v>1353</v>
      </c>
      <c r="C21" s="13" t="s">
        <v>1351</v>
      </c>
      <c r="D21" s="13" t="s">
        <v>1354</v>
      </c>
      <c r="E21" s="13">
        <v>800</v>
      </c>
      <c r="F21" s="13">
        <v>0</v>
      </c>
      <c r="G21" s="13">
        <v>14</v>
      </c>
      <c r="I21" s="11"/>
    </row>
    <row r="22" spans="1:9" s="11" customFormat="1" x14ac:dyDescent="0.15"/>
    <row r="23" spans="1:9" s="11" customFormat="1" x14ac:dyDescent="0.15"/>
    <row r="24" spans="1:9" s="11" customFormat="1" x14ac:dyDescent="0.15"/>
    <row r="25" spans="1:9" s="11" customFormat="1" x14ac:dyDescent="0.15"/>
    <row r="26" spans="1:9" s="11" customFormat="1" x14ac:dyDescent="0.15"/>
    <row r="27" spans="1:9" s="11" customFormat="1" x14ac:dyDescent="0.15"/>
    <row r="28" spans="1:9" s="11" customFormat="1" x14ac:dyDescent="0.15"/>
    <row r="29" spans="1:9" s="11" customFormat="1" x14ac:dyDescent="0.15"/>
    <row r="30" spans="1:9" s="11" customFormat="1" x14ac:dyDescent="0.15"/>
    <row r="31" spans="1:9" s="11" customFormat="1" x14ac:dyDescent="0.15"/>
    <row r="32" spans="1:9" s="11" customFormat="1" x14ac:dyDescent="0.15"/>
  </sheetData>
  <sortState xmlns:xlrd2="http://schemas.microsoft.com/office/spreadsheetml/2017/richdata2" ref="A7:G19">
    <sortCondition ref="G7:G19"/>
  </sortState>
  <phoneticPr fontId="11" type="noConversion"/>
  <pageMargins left="0.7" right="0.7" top="0.75" bottom="0.75" header="0.3" footer="0.3"/>
  <legacy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5ABC1C-04EE-456C-BCBD-686561C30511}">
  <sheetPr codeName="Sheet5">
    <tabColor theme="2"/>
  </sheetPr>
  <dimension ref="A1:G72"/>
  <sheetViews>
    <sheetView topLeftCell="A46" workbookViewId="0"/>
  </sheetViews>
  <sheetFormatPr defaultRowHeight="13.5" x14ac:dyDescent="0.15"/>
  <cols>
    <col min="2" max="2" width="44.625" customWidth="1"/>
    <col min="3" max="3" width="11.125" customWidth="1"/>
    <col min="5" max="5" width="108.875" customWidth="1"/>
    <col min="9" max="9" width="36.75" customWidth="1"/>
  </cols>
  <sheetData>
    <row r="1" spans="1:7" x14ac:dyDescent="0.15">
      <c r="A1" s="7" t="s">
        <v>124</v>
      </c>
      <c r="B1" s="20" t="s">
        <v>799</v>
      </c>
      <c r="C1" s="7"/>
      <c r="D1" s="7"/>
      <c r="E1" s="7"/>
      <c r="F1" s="7"/>
    </row>
    <row r="2" spans="1:7" x14ac:dyDescent="0.15">
      <c r="A2" s="7" t="s">
        <v>70</v>
      </c>
      <c r="B2" s="8" t="s">
        <v>123</v>
      </c>
      <c r="C2" s="8" t="s">
        <v>122</v>
      </c>
      <c r="D2" s="8" t="s">
        <v>121</v>
      </c>
      <c r="E2" s="8" t="s">
        <v>120</v>
      </c>
      <c r="F2" s="8" t="s">
        <v>71</v>
      </c>
    </row>
    <row r="3" spans="1:7" x14ac:dyDescent="0.15">
      <c r="A3" s="7"/>
      <c r="B3" s="9" t="s">
        <v>72</v>
      </c>
      <c r="C3" s="9" t="s">
        <v>72</v>
      </c>
      <c r="D3" s="9" t="s">
        <v>72</v>
      </c>
      <c r="E3" s="9" t="s">
        <v>72</v>
      </c>
      <c r="F3" s="9" t="s">
        <v>73</v>
      </c>
    </row>
    <row r="4" spans="1:7" x14ac:dyDescent="0.15">
      <c r="A4" s="7"/>
      <c r="B4" s="10" t="s">
        <v>75</v>
      </c>
      <c r="C4" s="10" t="s">
        <v>75</v>
      </c>
      <c r="D4" s="10" t="s">
        <v>80</v>
      </c>
      <c r="E4" s="10" t="s">
        <v>119</v>
      </c>
      <c r="F4" s="10" t="s">
        <v>73</v>
      </c>
    </row>
    <row r="5" spans="1:7" x14ac:dyDescent="0.15">
      <c r="A5" s="7"/>
      <c r="B5" s="9" t="s">
        <v>81</v>
      </c>
      <c r="C5" s="9" t="s">
        <v>118</v>
      </c>
      <c r="D5" s="9" t="s">
        <v>117</v>
      </c>
      <c r="E5" s="9" t="s">
        <v>116</v>
      </c>
      <c r="F5" s="9" t="s">
        <v>115</v>
      </c>
    </row>
    <row r="6" spans="1:7" x14ac:dyDescent="0.15">
      <c r="A6" s="7"/>
      <c r="B6" s="10" t="s">
        <v>77</v>
      </c>
      <c r="C6" s="10" t="s">
        <v>114</v>
      </c>
      <c r="D6" s="10"/>
      <c r="E6" s="10" t="s">
        <v>113</v>
      </c>
      <c r="F6" s="10"/>
    </row>
    <row r="7" spans="1:7" s="11" customFormat="1" x14ac:dyDescent="0.15">
      <c r="B7" s="12" t="s">
        <v>1318</v>
      </c>
      <c r="C7" s="12" t="s">
        <v>105</v>
      </c>
      <c r="D7" s="12"/>
      <c r="E7" s="13" t="s">
        <v>3320</v>
      </c>
      <c r="F7" s="153" t="s">
        <v>3201</v>
      </c>
      <c r="G7" s="12"/>
    </row>
    <row r="8" spans="1:7" s="11" customFormat="1" x14ac:dyDescent="0.15">
      <c r="B8" s="12" t="s">
        <v>1320</v>
      </c>
      <c r="C8" s="12" t="s">
        <v>105</v>
      </c>
      <c r="D8" s="12"/>
      <c r="E8" s="12" t="s">
        <v>3186</v>
      </c>
      <c r="F8" s="153" t="s">
        <v>2251</v>
      </c>
      <c r="G8" s="12"/>
    </row>
    <row r="9" spans="1:7" s="11" customFormat="1" x14ac:dyDescent="0.15">
      <c r="B9" s="12" t="s">
        <v>1323</v>
      </c>
      <c r="C9" s="12" t="s">
        <v>105</v>
      </c>
      <c r="D9" s="12"/>
      <c r="E9" s="12" t="s">
        <v>3321</v>
      </c>
      <c r="F9" s="153" t="s">
        <v>3202</v>
      </c>
      <c r="G9" s="12"/>
    </row>
    <row r="10" spans="1:7" s="11" customFormat="1" x14ac:dyDescent="0.15">
      <c r="B10" s="12" t="s">
        <v>1325</v>
      </c>
      <c r="C10" s="12" t="s">
        <v>105</v>
      </c>
      <c r="D10" s="12"/>
      <c r="E10" s="11" t="s">
        <v>3204</v>
      </c>
      <c r="F10" s="154" t="s">
        <v>3203</v>
      </c>
      <c r="G10" s="12"/>
    </row>
    <row r="11" spans="1:7" s="11" customFormat="1" x14ac:dyDescent="0.15">
      <c r="B11" s="12" t="s">
        <v>1328</v>
      </c>
      <c r="C11" s="12" t="s">
        <v>105</v>
      </c>
      <c r="D11" s="12"/>
      <c r="E11" s="12" t="s">
        <v>3015</v>
      </c>
      <c r="F11" s="153" t="s">
        <v>3187</v>
      </c>
      <c r="G11" s="12"/>
    </row>
    <row r="12" spans="1:7" s="11" customFormat="1" x14ac:dyDescent="0.15">
      <c r="B12" s="12" t="s">
        <v>1330</v>
      </c>
      <c r="C12" s="12" t="s">
        <v>105</v>
      </c>
      <c r="D12" s="12"/>
      <c r="E12" s="12" t="s">
        <v>3016</v>
      </c>
      <c r="F12" s="153" t="s">
        <v>3188</v>
      </c>
      <c r="G12" s="12"/>
    </row>
    <row r="13" spans="1:7" s="11" customFormat="1" x14ac:dyDescent="0.15">
      <c r="B13" s="12" t="s">
        <v>1333</v>
      </c>
      <c r="C13" s="12" t="s">
        <v>105</v>
      </c>
      <c r="D13" s="12"/>
      <c r="E13" s="12" t="s">
        <v>997</v>
      </c>
      <c r="F13" s="153" t="s">
        <v>3189</v>
      </c>
    </row>
    <row r="14" spans="1:7" s="11" customFormat="1" x14ac:dyDescent="0.15">
      <c r="B14" s="12" t="s">
        <v>1336</v>
      </c>
      <c r="C14" s="12" t="s">
        <v>105</v>
      </c>
      <c r="D14" s="12"/>
      <c r="E14" s="12" t="s">
        <v>106</v>
      </c>
      <c r="F14" s="153" t="s">
        <v>3190</v>
      </c>
    </row>
    <row r="15" spans="1:7" s="11" customFormat="1" x14ac:dyDescent="0.15">
      <c r="B15" s="12" t="s">
        <v>1339</v>
      </c>
      <c r="C15" s="12" t="s">
        <v>105</v>
      </c>
      <c r="D15" s="12"/>
      <c r="E15" s="12" t="s">
        <v>998</v>
      </c>
      <c r="F15" s="153" t="s">
        <v>3191</v>
      </c>
    </row>
    <row r="16" spans="1:7" s="11" customFormat="1" x14ac:dyDescent="0.15">
      <c r="B16" s="12" t="s">
        <v>1342</v>
      </c>
      <c r="C16" s="12" t="s">
        <v>105</v>
      </c>
      <c r="D16" s="12"/>
      <c r="E16" s="12" t="s">
        <v>112</v>
      </c>
      <c r="F16" s="153" t="s">
        <v>3192</v>
      </c>
    </row>
    <row r="17" spans="1:6" s="11" customFormat="1" x14ac:dyDescent="0.15">
      <c r="B17" s="12" t="s">
        <v>1345</v>
      </c>
      <c r="C17" s="12" t="s">
        <v>105</v>
      </c>
      <c r="D17" s="12"/>
      <c r="E17" s="12" t="s">
        <v>999</v>
      </c>
      <c r="F17" s="153" t="s">
        <v>3193</v>
      </c>
    </row>
    <row r="18" spans="1:6" s="11" customFormat="1" x14ac:dyDescent="0.15">
      <c r="B18" s="12" t="s">
        <v>1347</v>
      </c>
      <c r="C18" s="12" t="s">
        <v>105</v>
      </c>
      <c r="D18" s="12"/>
      <c r="E18" s="12" t="s">
        <v>111</v>
      </c>
      <c r="F18" s="153" t="s">
        <v>3194</v>
      </c>
    </row>
    <row r="19" spans="1:6" s="11" customFormat="1" x14ac:dyDescent="0.15">
      <c r="B19" s="12" t="s">
        <v>1349</v>
      </c>
      <c r="C19" s="12" t="s">
        <v>105</v>
      </c>
      <c r="D19" s="12"/>
      <c r="E19" s="12" t="s">
        <v>110</v>
      </c>
      <c r="F19" s="153" t="s">
        <v>3195</v>
      </c>
    </row>
    <row r="20" spans="1:6" s="11" customFormat="1" x14ac:dyDescent="0.15">
      <c r="B20" s="12" t="s">
        <v>1352</v>
      </c>
      <c r="C20" s="12" t="s">
        <v>105</v>
      </c>
      <c r="D20" s="12"/>
      <c r="E20" s="12" t="s">
        <v>109</v>
      </c>
      <c r="F20" s="153" t="s">
        <v>3196</v>
      </c>
    </row>
    <row r="21" spans="1:6" s="11" customFormat="1" x14ac:dyDescent="0.15">
      <c r="B21" s="12" t="s">
        <v>1354</v>
      </c>
      <c r="C21" s="12" t="s">
        <v>105</v>
      </c>
      <c r="D21" s="12"/>
      <c r="E21" s="12" t="s">
        <v>108</v>
      </c>
      <c r="F21" s="153" t="s">
        <v>3197</v>
      </c>
    </row>
    <row r="22" spans="1:6" s="11" customFormat="1" x14ac:dyDescent="0.15"/>
    <row r="23" spans="1:6" s="11" customFormat="1" x14ac:dyDescent="0.15"/>
    <row r="24" spans="1:6" s="11" customFormat="1" x14ac:dyDescent="0.15">
      <c r="B24" s="12" t="s">
        <v>1355</v>
      </c>
      <c r="C24" s="11" t="s">
        <v>105</v>
      </c>
      <c r="E24" s="11" t="s">
        <v>1356</v>
      </c>
    </row>
    <row r="25" spans="1:6" s="11" customFormat="1" x14ac:dyDescent="0.15">
      <c r="B25" s="12"/>
    </row>
    <row r="26" spans="1:6" s="11" customFormat="1" x14ac:dyDescent="0.15">
      <c r="A26" s="12"/>
      <c r="B26" s="12" t="s">
        <v>1357</v>
      </c>
      <c r="C26" s="11" t="s">
        <v>107</v>
      </c>
      <c r="E26" s="11" t="s">
        <v>1358</v>
      </c>
    </row>
    <row r="27" spans="1:6" s="11" customFormat="1" x14ac:dyDescent="0.15">
      <c r="A27" s="12"/>
      <c r="B27" s="12" t="s">
        <v>1359</v>
      </c>
      <c r="C27" s="11" t="s">
        <v>105</v>
      </c>
      <c r="E27" s="11" t="s">
        <v>1360</v>
      </c>
    </row>
    <row r="28" spans="1:6" s="11" customFormat="1" x14ac:dyDescent="0.15">
      <c r="A28" s="12"/>
      <c r="B28" s="12" t="s">
        <v>1361</v>
      </c>
      <c r="C28" s="11" t="s">
        <v>105</v>
      </c>
      <c r="E28" s="11" t="s">
        <v>1362</v>
      </c>
    </row>
    <row r="29" spans="1:6" s="11" customFormat="1" x14ac:dyDescent="0.15">
      <c r="B29" s="11" t="s">
        <v>1363</v>
      </c>
      <c r="C29" s="11" t="s">
        <v>247</v>
      </c>
      <c r="D29" s="11" t="s">
        <v>246</v>
      </c>
      <c r="E29" s="11" t="s">
        <v>1364</v>
      </c>
    </row>
    <row r="30" spans="1:6" s="11" customFormat="1" x14ac:dyDescent="0.15"/>
    <row r="31" spans="1:6" s="11" customFormat="1" x14ac:dyDescent="0.15">
      <c r="B31" s="13" t="s">
        <v>1365</v>
      </c>
      <c r="C31" s="11" t="s">
        <v>105</v>
      </c>
      <c r="E31" s="11" t="s">
        <v>1366</v>
      </c>
    </row>
    <row r="32" spans="1:6" s="11" customFormat="1" x14ac:dyDescent="0.15">
      <c r="B32" s="13" t="s">
        <v>1367</v>
      </c>
      <c r="C32" s="11" t="s">
        <v>105</v>
      </c>
      <c r="E32" s="11" t="s">
        <v>1368</v>
      </c>
    </row>
    <row r="33" spans="2:5" s="11" customFormat="1" x14ac:dyDescent="0.15">
      <c r="B33" s="13" t="s">
        <v>1369</v>
      </c>
      <c r="C33" s="11" t="s">
        <v>105</v>
      </c>
      <c r="E33" s="11" t="s">
        <v>1368</v>
      </c>
    </row>
    <row r="34" spans="2:5" s="11" customFormat="1" x14ac:dyDescent="0.15">
      <c r="B34" s="13" t="s">
        <v>1370</v>
      </c>
      <c r="C34" s="11" t="s">
        <v>105</v>
      </c>
      <c r="E34" s="11" t="s">
        <v>1371</v>
      </c>
    </row>
    <row r="35" spans="2:5" s="11" customFormat="1" x14ac:dyDescent="0.15">
      <c r="B35" s="13" t="s">
        <v>1372</v>
      </c>
      <c r="C35" s="11" t="s">
        <v>105</v>
      </c>
      <c r="E35" s="11" t="s">
        <v>1373</v>
      </c>
    </row>
    <row r="36" spans="2:5" s="11" customFormat="1" x14ac:dyDescent="0.15">
      <c r="B36" s="13" t="s">
        <v>1374</v>
      </c>
      <c r="C36" s="11" t="s">
        <v>105</v>
      </c>
      <c r="E36" s="11" t="s">
        <v>1375</v>
      </c>
    </row>
    <row r="37" spans="2:5" s="11" customFormat="1" x14ac:dyDescent="0.15"/>
    <row r="38" spans="2:5" s="11" customFormat="1" x14ac:dyDescent="0.15">
      <c r="B38" s="11" t="s">
        <v>1376</v>
      </c>
      <c r="C38" s="11" t="s">
        <v>105</v>
      </c>
      <c r="E38" s="11" t="s">
        <v>1377</v>
      </c>
    </row>
    <row r="39" spans="2:5" s="11" customFormat="1" x14ac:dyDescent="0.15">
      <c r="B39" s="11" t="s">
        <v>1378</v>
      </c>
      <c r="C39" s="11" t="s">
        <v>105</v>
      </c>
      <c r="E39" s="11" t="s">
        <v>1377</v>
      </c>
    </row>
    <row r="40" spans="2:5" s="11" customFormat="1" x14ac:dyDescent="0.15">
      <c r="B40" s="11" t="s">
        <v>1379</v>
      </c>
      <c r="C40" s="11" t="s">
        <v>105</v>
      </c>
      <c r="E40" s="11" t="s">
        <v>1377</v>
      </c>
    </row>
    <row r="41" spans="2:5" s="11" customFormat="1" x14ac:dyDescent="0.15">
      <c r="B41" s="11" t="s">
        <v>1380</v>
      </c>
      <c r="C41" s="11" t="s">
        <v>105</v>
      </c>
      <c r="E41" s="11" t="s">
        <v>1377</v>
      </c>
    </row>
    <row r="42" spans="2:5" s="11" customFormat="1" x14ac:dyDescent="0.15">
      <c r="B42" s="11" t="s">
        <v>1381</v>
      </c>
      <c r="C42" s="11" t="s">
        <v>105</v>
      </c>
      <c r="E42" s="11" t="s">
        <v>3019</v>
      </c>
    </row>
    <row r="43" spans="2:5" s="11" customFormat="1" x14ac:dyDescent="0.15">
      <c r="B43" s="11" t="s">
        <v>1382</v>
      </c>
      <c r="C43" s="11" t="s">
        <v>105</v>
      </c>
      <c r="E43" s="11" t="s">
        <v>1377</v>
      </c>
    </row>
    <row r="44" spans="2:5" s="11" customFormat="1" x14ac:dyDescent="0.15">
      <c r="B44" s="11" t="s">
        <v>1383</v>
      </c>
      <c r="C44" s="11" t="s">
        <v>105</v>
      </c>
      <c r="E44" s="11" t="s">
        <v>1377</v>
      </c>
    </row>
    <row r="45" spans="2:5" s="11" customFormat="1" x14ac:dyDescent="0.15">
      <c r="B45" s="11" t="s">
        <v>1384</v>
      </c>
      <c r="C45" s="11" t="s">
        <v>105</v>
      </c>
      <c r="E45" s="11" t="s">
        <v>1377</v>
      </c>
    </row>
    <row r="46" spans="2:5" s="11" customFormat="1" x14ac:dyDescent="0.15">
      <c r="B46" s="11" t="s">
        <v>1385</v>
      </c>
      <c r="C46" s="11" t="s">
        <v>105</v>
      </c>
      <c r="E46" s="11" t="s">
        <v>1377</v>
      </c>
    </row>
    <row r="47" spans="2:5" s="11" customFormat="1" x14ac:dyDescent="0.15">
      <c r="B47" s="11" t="s">
        <v>1386</v>
      </c>
      <c r="C47" s="11" t="s">
        <v>105</v>
      </c>
      <c r="E47" s="11" t="s">
        <v>3017</v>
      </c>
    </row>
    <row r="48" spans="2:5" s="11" customFormat="1" x14ac:dyDescent="0.15">
      <c r="B48" s="11" t="s">
        <v>1387</v>
      </c>
      <c r="C48" s="11" t="s">
        <v>105</v>
      </c>
      <c r="E48" s="11" t="s">
        <v>1377</v>
      </c>
    </row>
    <row r="49" spans="2:5" s="11" customFormat="1" x14ac:dyDescent="0.15">
      <c r="B49" s="11" t="s">
        <v>1388</v>
      </c>
      <c r="C49" s="11" t="s">
        <v>105</v>
      </c>
      <c r="E49" s="11" t="s">
        <v>1377</v>
      </c>
    </row>
    <row r="50" spans="2:5" s="12" customFormat="1" x14ac:dyDescent="0.15">
      <c r="B50" s="11" t="s">
        <v>1389</v>
      </c>
      <c r="C50" s="12" t="s">
        <v>105</v>
      </c>
      <c r="E50" s="11" t="s">
        <v>1377</v>
      </c>
    </row>
    <row r="51" spans="2:5" s="11" customFormat="1" x14ac:dyDescent="0.15">
      <c r="B51" s="11" t="s">
        <v>1390</v>
      </c>
      <c r="C51" s="11" t="s">
        <v>105</v>
      </c>
      <c r="E51" s="11" t="s">
        <v>1377</v>
      </c>
    </row>
    <row r="52" spans="2:5" s="11" customFormat="1" x14ac:dyDescent="0.15">
      <c r="B52" s="11" t="s">
        <v>1391</v>
      </c>
      <c r="C52" s="11" t="s">
        <v>105</v>
      </c>
      <c r="E52" s="11" t="s">
        <v>1377</v>
      </c>
    </row>
    <row r="53" spans="2:5" s="11" customFormat="1" x14ac:dyDescent="0.15">
      <c r="B53" s="11" t="s">
        <v>1392</v>
      </c>
      <c r="C53" s="11" t="s">
        <v>105</v>
      </c>
      <c r="E53" s="11" t="s">
        <v>3018</v>
      </c>
    </row>
    <row r="54" spans="2:5" s="11" customFormat="1" x14ac:dyDescent="0.15">
      <c r="B54" s="11" t="s">
        <v>1393</v>
      </c>
      <c r="C54" s="11" t="s">
        <v>105</v>
      </c>
      <c r="E54" s="11" t="s">
        <v>1377</v>
      </c>
    </row>
    <row r="55" spans="2:5" s="11" customFormat="1" x14ac:dyDescent="0.15">
      <c r="B55" s="11" t="s">
        <v>1394</v>
      </c>
      <c r="C55" s="11" t="s">
        <v>105</v>
      </c>
      <c r="E55" s="11" t="s">
        <v>1377</v>
      </c>
    </row>
    <row r="56" spans="2:5" s="11" customFormat="1" x14ac:dyDescent="0.15">
      <c r="B56" s="11" t="s">
        <v>1395</v>
      </c>
      <c r="C56" s="11" t="s">
        <v>105</v>
      </c>
      <c r="E56" s="11" t="s">
        <v>1377</v>
      </c>
    </row>
    <row r="57" spans="2:5" s="11" customFormat="1" x14ac:dyDescent="0.15">
      <c r="B57" s="11" t="s">
        <v>1396</v>
      </c>
      <c r="C57" s="11" t="s">
        <v>105</v>
      </c>
      <c r="E57" s="11" t="s">
        <v>1377</v>
      </c>
    </row>
    <row r="58" spans="2:5" s="11" customFormat="1" x14ac:dyDescent="0.15">
      <c r="B58" s="11" t="s">
        <v>1397</v>
      </c>
      <c r="C58" s="11" t="s">
        <v>105</v>
      </c>
      <c r="E58" s="11" t="s">
        <v>1377</v>
      </c>
    </row>
    <row r="59" spans="2:5" s="11" customFormat="1" x14ac:dyDescent="0.15">
      <c r="B59" s="11" t="s">
        <v>1398</v>
      </c>
      <c r="C59" s="11" t="s">
        <v>105</v>
      </c>
      <c r="E59" s="11" t="s">
        <v>1377</v>
      </c>
    </row>
    <row r="60" spans="2:5" s="11" customFormat="1" x14ac:dyDescent="0.15">
      <c r="B60" s="11" t="s">
        <v>1399</v>
      </c>
      <c r="C60" s="11" t="s">
        <v>105</v>
      </c>
      <c r="E60" s="11" t="s">
        <v>1400</v>
      </c>
    </row>
    <row r="61" spans="2:5" s="11" customFormat="1" x14ac:dyDescent="0.15"/>
    <row r="62" spans="2:5" s="11" customFormat="1" x14ac:dyDescent="0.15">
      <c r="B62" s="11" t="s">
        <v>1401</v>
      </c>
      <c r="C62" s="11" t="s">
        <v>105</v>
      </c>
      <c r="E62" s="19" t="s">
        <v>999</v>
      </c>
    </row>
    <row r="63" spans="2:5" s="11" customFormat="1" x14ac:dyDescent="0.15">
      <c r="B63" s="11" t="s">
        <v>1402</v>
      </c>
      <c r="C63" s="11" t="s">
        <v>105</v>
      </c>
      <c r="E63" s="19" t="s">
        <v>1000</v>
      </c>
    </row>
    <row r="64" spans="2:5" s="11" customFormat="1" x14ac:dyDescent="0.15">
      <c r="B64" s="11" t="s">
        <v>1403</v>
      </c>
      <c r="C64" s="11" t="s">
        <v>105</v>
      </c>
      <c r="E64" s="19" t="s">
        <v>1338</v>
      </c>
    </row>
    <row r="65" spans="2:5" s="11" customFormat="1" x14ac:dyDescent="0.15">
      <c r="B65" s="11" t="s">
        <v>1404</v>
      </c>
      <c r="C65" s="11" t="s">
        <v>105</v>
      </c>
      <c r="E65" s="19" t="s">
        <v>1001</v>
      </c>
    </row>
    <row r="66" spans="2:5" s="11" customFormat="1" x14ac:dyDescent="0.15">
      <c r="B66" s="11" t="s">
        <v>1405</v>
      </c>
      <c r="C66" s="11" t="s">
        <v>105</v>
      </c>
      <c r="E66" s="19" t="s">
        <v>106</v>
      </c>
    </row>
    <row r="67" spans="2:5" s="11" customFormat="1" x14ac:dyDescent="0.15">
      <c r="B67" s="11" t="s">
        <v>1406</v>
      </c>
      <c r="C67" s="11" t="s">
        <v>105</v>
      </c>
      <c r="E67" s="19" t="s">
        <v>1338</v>
      </c>
    </row>
    <row r="68" spans="2:5" s="11" customFormat="1" x14ac:dyDescent="0.15">
      <c r="B68" s="11" t="s">
        <v>1407</v>
      </c>
      <c r="C68" s="11" t="s">
        <v>105</v>
      </c>
      <c r="E68" s="11" t="s">
        <v>997</v>
      </c>
    </row>
    <row r="69" spans="2:5" s="11" customFormat="1" x14ac:dyDescent="0.15">
      <c r="B69" s="11" t="s">
        <v>1408</v>
      </c>
      <c r="C69" s="11" t="s">
        <v>105</v>
      </c>
      <c r="E69" s="19" t="s">
        <v>1002</v>
      </c>
    </row>
    <row r="70" spans="2:5" s="11" customFormat="1" x14ac:dyDescent="0.15">
      <c r="B70" s="11" t="s">
        <v>1409</v>
      </c>
      <c r="C70" s="11" t="s">
        <v>105</v>
      </c>
      <c r="E70" s="19" t="s">
        <v>1338</v>
      </c>
    </row>
    <row r="71" spans="2:5" s="11" customFormat="1" x14ac:dyDescent="0.15">
      <c r="B71" s="11" t="s">
        <v>1410</v>
      </c>
      <c r="C71" s="11" t="s">
        <v>105</v>
      </c>
      <c r="E71" s="19" t="s">
        <v>104</v>
      </c>
    </row>
    <row r="72" spans="2:5" s="11" customFormat="1" x14ac:dyDescent="0.15"/>
  </sheetData>
  <phoneticPr fontId="11" type="noConversion"/>
  <pageMargins left="0.7" right="0.7" top="0.75" bottom="0.75" header="0.3" footer="0.3"/>
  <legacy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8AEB83-25B3-4EC1-BBA5-2BAF5531166D}">
  <sheetPr codeName="Sheet10">
    <tabColor theme="2"/>
  </sheetPr>
  <dimension ref="A1:M90"/>
  <sheetViews>
    <sheetView zoomScale="85" zoomScaleNormal="85" workbookViewId="0"/>
  </sheetViews>
  <sheetFormatPr defaultColWidth="9" defaultRowHeight="13.5" x14ac:dyDescent="0.15"/>
  <cols>
    <col min="1" max="1" width="22.375" style="17" customWidth="1"/>
    <col min="2" max="2" width="40" style="17" customWidth="1"/>
    <col min="3" max="3" width="145.875" style="17" customWidth="1"/>
    <col min="4" max="4" width="23.875" style="17" bestFit="1" customWidth="1"/>
    <col min="5" max="5" width="44.5" style="21" customWidth="1"/>
    <col min="6" max="6" width="58" style="17" customWidth="1"/>
    <col min="7" max="7" width="12.125" style="17" bestFit="1" customWidth="1"/>
    <col min="8" max="8" width="51.875" style="17" customWidth="1"/>
    <col min="9" max="9" width="19.5" style="17" customWidth="1"/>
    <col min="10" max="10" width="3.5" style="17" bestFit="1" customWidth="1"/>
    <col min="11" max="16384" width="9" style="17"/>
  </cols>
  <sheetData>
    <row r="1" spans="1:13" customFormat="1" x14ac:dyDescent="0.15">
      <c r="A1" s="18" t="s">
        <v>207</v>
      </c>
      <c r="B1" s="17" t="s">
        <v>758</v>
      </c>
      <c r="E1" s="23"/>
      <c r="F1" s="17"/>
      <c r="G1" s="17"/>
      <c r="M1" s="22"/>
    </row>
    <row r="2" spans="1:13" customFormat="1" x14ac:dyDescent="0.15">
      <c r="A2" t="s">
        <v>70</v>
      </c>
      <c r="B2" s="16" t="s">
        <v>123</v>
      </c>
      <c r="C2" s="16" t="s">
        <v>206</v>
      </c>
      <c r="D2" s="16" t="s">
        <v>205</v>
      </c>
      <c r="E2" s="16" t="s">
        <v>204</v>
      </c>
      <c r="F2" s="16" t="s">
        <v>203</v>
      </c>
      <c r="G2" s="16" t="s">
        <v>71</v>
      </c>
      <c r="H2" s="16" t="s">
        <v>202</v>
      </c>
      <c r="I2" s="16" t="s">
        <v>71</v>
      </c>
      <c r="J2" s="16" t="s">
        <v>201</v>
      </c>
      <c r="K2" s="16" t="s">
        <v>200</v>
      </c>
      <c r="L2" s="16" t="s">
        <v>199</v>
      </c>
      <c r="M2" s="16" t="s">
        <v>198</v>
      </c>
    </row>
    <row r="3" spans="1:13" customFormat="1" x14ac:dyDescent="0.15">
      <c r="B3" s="15" t="s">
        <v>72</v>
      </c>
      <c r="C3" s="15" t="s">
        <v>72</v>
      </c>
      <c r="D3" s="15" t="s">
        <v>73</v>
      </c>
      <c r="E3" s="15" t="s">
        <v>72</v>
      </c>
      <c r="F3" s="15" t="s">
        <v>74</v>
      </c>
      <c r="G3" s="15" t="s">
        <v>73</v>
      </c>
      <c r="H3" s="15" t="s">
        <v>74</v>
      </c>
      <c r="I3" s="15" t="s">
        <v>73</v>
      </c>
      <c r="J3" s="15" t="s">
        <v>74</v>
      </c>
      <c r="K3" s="15" t="s">
        <v>74</v>
      </c>
      <c r="L3" s="15" t="s">
        <v>74</v>
      </c>
      <c r="M3" s="15" t="s">
        <v>72</v>
      </c>
    </row>
    <row r="4" spans="1:13" customFormat="1" x14ac:dyDescent="0.15">
      <c r="B4" s="14" t="s">
        <v>75</v>
      </c>
      <c r="C4" s="14" t="s">
        <v>119</v>
      </c>
      <c r="D4" s="14" t="s">
        <v>73</v>
      </c>
      <c r="E4" s="14" t="s">
        <v>75</v>
      </c>
      <c r="F4" s="14" t="s">
        <v>75</v>
      </c>
      <c r="G4" s="14" t="s">
        <v>73</v>
      </c>
      <c r="H4" s="14" t="s">
        <v>75</v>
      </c>
      <c r="I4" s="14" t="s">
        <v>73</v>
      </c>
      <c r="J4" s="14" t="s">
        <v>76</v>
      </c>
      <c r="K4" s="14" t="s">
        <v>75</v>
      </c>
      <c r="L4" s="14" t="s">
        <v>75</v>
      </c>
      <c r="M4" s="14" t="s">
        <v>75</v>
      </c>
    </row>
    <row r="5" spans="1:13" customFormat="1" x14ac:dyDescent="0.15">
      <c r="B5" s="15" t="s">
        <v>81</v>
      </c>
      <c r="C5" s="15" t="s">
        <v>197</v>
      </c>
      <c r="D5" s="15" t="s">
        <v>196</v>
      </c>
      <c r="E5" s="15" t="s">
        <v>195</v>
      </c>
      <c r="F5" s="15" t="s">
        <v>194</v>
      </c>
      <c r="G5" s="15" t="s">
        <v>193</v>
      </c>
      <c r="H5" s="15" t="s">
        <v>83</v>
      </c>
      <c r="I5" s="15" t="s">
        <v>84</v>
      </c>
      <c r="J5" s="15" t="s">
        <v>192</v>
      </c>
      <c r="K5" s="15" t="s">
        <v>191</v>
      </c>
      <c r="L5" s="15" t="s">
        <v>190</v>
      </c>
      <c r="M5" s="15" t="s">
        <v>79</v>
      </c>
    </row>
    <row r="6" spans="1:13" customFormat="1" x14ac:dyDescent="0.15">
      <c r="A6" s="17"/>
      <c r="B6" s="14" t="s">
        <v>77</v>
      </c>
      <c r="C6" s="14"/>
      <c r="D6" s="14"/>
      <c r="E6" s="14" t="s">
        <v>87</v>
      </c>
      <c r="F6" s="14" t="s">
        <v>78</v>
      </c>
      <c r="G6" s="14"/>
      <c r="H6" s="14" t="s">
        <v>78</v>
      </c>
      <c r="I6" s="14"/>
      <c r="J6" s="14"/>
      <c r="K6" s="14"/>
      <c r="L6" s="14"/>
      <c r="M6" s="14" t="s">
        <v>87</v>
      </c>
    </row>
    <row r="7" spans="1:13" s="13" customFormat="1" x14ac:dyDescent="0.15">
      <c r="B7" s="13" t="s">
        <v>1411</v>
      </c>
      <c r="C7" s="13" t="s">
        <v>189</v>
      </c>
      <c r="D7" s="13" t="s">
        <v>188</v>
      </c>
      <c r="E7" s="13" t="s">
        <v>1365</v>
      </c>
      <c r="F7" s="73" t="s">
        <v>1173</v>
      </c>
      <c r="G7" s="73" t="s">
        <v>187</v>
      </c>
      <c r="H7" s="73" t="s">
        <v>1179</v>
      </c>
      <c r="I7" s="73" t="s">
        <v>186</v>
      </c>
      <c r="J7" s="13">
        <v>1</v>
      </c>
    </row>
    <row r="8" spans="1:13" s="13" customFormat="1" ht="14.25" customHeight="1" x14ac:dyDescent="0.15">
      <c r="B8" s="13" t="s">
        <v>1412</v>
      </c>
      <c r="C8" s="13" t="s">
        <v>1413</v>
      </c>
      <c r="D8" s="13" t="s">
        <v>184</v>
      </c>
      <c r="E8" s="13" t="s">
        <v>1367</v>
      </c>
      <c r="F8" s="73" t="s">
        <v>1174</v>
      </c>
      <c r="G8" s="73" t="s">
        <v>185</v>
      </c>
      <c r="H8" s="73" t="s">
        <v>1180</v>
      </c>
      <c r="I8" s="73" t="s">
        <v>184</v>
      </c>
      <c r="J8" s="13">
        <v>2</v>
      </c>
    </row>
    <row r="9" spans="1:13" s="13" customFormat="1" x14ac:dyDescent="0.15">
      <c r="B9" s="13" t="s">
        <v>1414</v>
      </c>
      <c r="C9" s="13" t="s">
        <v>183</v>
      </c>
      <c r="D9" s="13" t="s">
        <v>182</v>
      </c>
      <c r="E9" s="13" t="s">
        <v>1369</v>
      </c>
      <c r="F9" s="73" t="s">
        <v>1175</v>
      </c>
      <c r="G9" s="73" t="s">
        <v>181</v>
      </c>
      <c r="H9" s="73" t="s">
        <v>1181</v>
      </c>
      <c r="I9" s="73" t="s">
        <v>180</v>
      </c>
      <c r="J9" s="13">
        <v>3</v>
      </c>
    </row>
    <row r="10" spans="1:13" s="13" customFormat="1" x14ac:dyDescent="0.15">
      <c r="B10" s="13" t="s">
        <v>1415</v>
      </c>
      <c r="C10" s="13" t="s">
        <v>179</v>
      </c>
      <c r="D10" s="13" t="s">
        <v>178</v>
      </c>
      <c r="E10" s="13" t="s">
        <v>1370</v>
      </c>
      <c r="F10" s="73" t="s">
        <v>1176</v>
      </c>
      <c r="G10" s="73" t="s">
        <v>177</v>
      </c>
      <c r="H10" s="73" t="s">
        <v>1182</v>
      </c>
      <c r="I10" s="73" t="s">
        <v>176</v>
      </c>
      <c r="J10" s="13">
        <v>4</v>
      </c>
    </row>
    <row r="11" spans="1:13" s="13" customFormat="1" x14ac:dyDescent="0.15">
      <c r="B11" s="13" t="s">
        <v>1416</v>
      </c>
      <c r="C11" s="13" t="s">
        <v>248</v>
      </c>
      <c r="D11" s="13" t="s">
        <v>175</v>
      </c>
      <c r="E11" s="13" t="s">
        <v>1372</v>
      </c>
      <c r="F11" s="73" t="s">
        <v>1177</v>
      </c>
      <c r="G11" s="73" t="s">
        <v>174</v>
      </c>
      <c r="H11" s="73" t="s">
        <v>1183</v>
      </c>
      <c r="I11" s="73" t="s">
        <v>173</v>
      </c>
      <c r="J11" s="13">
        <v>5</v>
      </c>
    </row>
    <row r="12" spans="1:13" s="13" customFormat="1" x14ac:dyDescent="0.15">
      <c r="B12" s="13" t="s">
        <v>1417</v>
      </c>
      <c r="C12" s="13" t="s">
        <v>1418</v>
      </c>
      <c r="D12" s="13" t="s">
        <v>172</v>
      </c>
      <c r="E12" s="13" t="s">
        <v>1374</v>
      </c>
      <c r="F12" s="73" t="s">
        <v>1178</v>
      </c>
      <c r="G12" s="73" t="s">
        <v>171</v>
      </c>
      <c r="H12" s="73" t="s">
        <v>1184</v>
      </c>
      <c r="I12" s="73" t="s">
        <v>170</v>
      </c>
      <c r="J12" s="13">
        <v>6</v>
      </c>
    </row>
    <row r="13" spans="1:13" s="13" customFormat="1" x14ac:dyDescent="0.15">
      <c r="B13" s="13" t="s">
        <v>1419</v>
      </c>
      <c r="C13" s="13" t="s">
        <v>1420</v>
      </c>
      <c r="D13" s="13" t="s">
        <v>168</v>
      </c>
      <c r="E13" s="13" t="s">
        <v>1376</v>
      </c>
      <c r="F13" s="73" t="s">
        <v>1195</v>
      </c>
      <c r="G13" s="73" t="s">
        <v>169</v>
      </c>
      <c r="H13" s="73" t="s">
        <v>1218</v>
      </c>
      <c r="I13" s="13" t="s">
        <v>168</v>
      </c>
      <c r="J13" s="13">
        <v>1</v>
      </c>
    </row>
    <row r="14" spans="1:13" s="13" customFormat="1" x14ac:dyDescent="0.15">
      <c r="B14" s="13" t="s">
        <v>1421</v>
      </c>
      <c r="C14" s="13" t="s">
        <v>1422</v>
      </c>
      <c r="D14" s="13" t="s">
        <v>166</v>
      </c>
      <c r="E14" s="13" t="s">
        <v>1378</v>
      </c>
      <c r="F14" s="73" t="s">
        <v>1196</v>
      </c>
      <c r="G14" s="73" t="s">
        <v>167</v>
      </c>
      <c r="H14" s="73" t="s">
        <v>1219</v>
      </c>
      <c r="I14" s="13" t="s">
        <v>166</v>
      </c>
      <c r="J14" s="13">
        <v>2</v>
      </c>
    </row>
    <row r="15" spans="1:13" s="13" customFormat="1" x14ac:dyDescent="0.15">
      <c r="B15" s="13" t="s">
        <v>1423</v>
      </c>
      <c r="C15" s="13" t="s">
        <v>1424</v>
      </c>
      <c r="D15" s="13" t="s">
        <v>164</v>
      </c>
      <c r="E15" s="13" t="s">
        <v>1379</v>
      </c>
      <c r="F15" s="73" t="s">
        <v>1197</v>
      </c>
      <c r="G15" s="73" t="s">
        <v>165</v>
      </c>
      <c r="H15" s="73" t="s">
        <v>1220</v>
      </c>
      <c r="I15" s="13" t="s">
        <v>164</v>
      </c>
      <c r="J15" s="13">
        <v>3</v>
      </c>
    </row>
    <row r="16" spans="1:13" s="13" customFormat="1" x14ac:dyDescent="0.15">
      <c r="B16" s="13" t="s">
        <v>1425</v>
      </c>
      <c r="C16" s="13" t="s">
        <v>1426</v>
      </c>
      <c r="D16" s="13" t="s">
        <v>162</v>
      </c>
      <c r="E16" s="13" t="s">
        <v>1380</v>
      </c>
      <c r="F16" s="73" t="s">
        <v>1198</v>
      </c>
      <c r="G16" s="73" t="s">
        <v>163</v>
      </c>
      <c r="H16" s="73" t="s">
        <v>1221</v>
      </c>
      <c r="I16" s="13" t="s">
        <v>162</v>
      </c>
      <c r="J16" s="13">
        <v>4</v>
      </c>
    </row>
    <row r="17" spans="2:10" s="13" customFormat="1" x14ac:dyDescent="0.15">
      <c r="B17" s="13" t="s">
        <v>1427</v>
      </c>
      <c r="C17" s="13" t="s">
        <v>1428</v>
      </c>
      <c r="D17" s="13" t="s">
        <v>160</v>
      </c>
      <c r="E17" s="13" t="s">
        <v>1381</v>
      </c>
      <c r="F17" s="73" t="s">
        <v>1199</v>
      </c>
      <c r="G17" s="73" t="s">
        <v>161</v>
      </c>
      <c r="H17" s="73" t="s">
        <v>1222</v>
      </c>
      <c r="I17" s="13" t="s">
        <v>160</v>
      </c>
      <c r="J17" s="13">
        <v>5</v>
      </c>
    </row>
    <row r="18" spans="2:10" s="13" customFormat="1" x14ac:dyDescent="0.15">
      <c r="B18" s="13" t="s">
        <v>1429</v>
      </c>
      <c r="C18" s="13" t="s">
        <v>1430</v>
      </c>
      <c r="D18" s="13" t="s">
        <v>725</v>
      </c>
      <c r="E18" s="13" t="s">
        <v>1382</v>
      </c>
      <c r="F18" s="73" t="s">
        <v>1200</v>
      </c>
      <c r="G18" s="73" t="s">
        <v>159</v>
      </c>
      <c r="H18" s="73" t="s">
        <v>1223</v>
      </c>
      <c r="I18" s="13" t="s">
        <v>158</v>
      </c>
      <c r="J18" s="13">
        <v>6</v>
      </c>
    </row>
    <row r="19" spans="2:10" s="13" customFormat="1" x14ac:dyDescent="0.15">
      <c r="B19" s="13" t="s">
        <v>1431</v>
      </c>
      <c r="C19" s="13" t="s">
        <v>1432</v>
      </c>
      <c r="D19" s="13" t="s">
        <v>724</v>
      </c>
      <c r="E19" s="13" t="s">
        <v>1383</v>
      </c>
      <c r="F19" s="73" t="s">
        <v>1201</v>
      </c>
      <c r="G19" s="73" t="s">
        <v>157</v>
      </c>
      <c r="H19" s="73" t="s">
        <v>1224</v>
      </c>
      <c r="I19" s="13" t="s">
        <v>156</v>
      </c>
      <c r="J19" s="13">
        <v>7</v>
      </c>
    </row>
    <row r="20" spans="2:10" s="13" customFormat="1" x14ac:dyDescent="0.15">
      <c r="B20" s="13" t="s">
        <v>1433</v>
      </c>
      <c r="C20" s="13" t="s">
        <v>1434</v>
      </c>
      <c r="D20" s="13" t="s">
        <v>723</v>
      </c>
      <c r="E20" s="13" t="s">
        <v>1384</v>
      </c>
      <c r="F20" s="73" t="s">
        <v>1202</v>
      </c>
      <c r="G20" s="73" t="s">
        <v>155</v>
      </c>
      <c r="H20" s="73" t="s">
        <v>1225</v>
      </c>
      <c r="I20" s="13" t="s">
        <v>154</v>
      </c>
      <c r="J20" s="13">
        <v>8</v>
      </c>
    </row>
    <row r="21" spans="2:10" s="13" customFormat="1" x14ac:dyDescent="0.15">
      <c r="B21" s="13" t="s">
        <v>1435</v>
      </c>
      <c r="C21" s="13" t="s">
        <v>1436</v>
      </c>
      <c r="D21" s="13" t="s">
        <v>722</v>
      </c>
      <c r="E21" s="13" t="s">
        <v>1385</v>
      </c>
      <c r="F21" s="73" t="s">
        <v>1203</v>
      </c>
      <c r="G21" s="73" t="s">
        <v>153</v>
      </c>
      <c r="H21" s="73" t="s">
        <v>1226</v>
      </c>
      <c r="I21" s="13" t="s">
        <v>152</v>
      </c>
      <c r="J21" s="13">
        <v>9</v>
      </c>
    </row>
    <row r="22" spans="2:10" s="13" customFormat="1" x14ac:dyDescent="0.15">
      <c r="B22" s="13" t="s">
        <v>1437</v>
      </c>
      <c r="C22" s="13" t="s">
        <v>1438</v>
      </c>
      <c r="D22" s="13" t="s">
        <v>721</v>
      </c>
      <c r="E22" s="13" t="s">
        <v>1386</v>
      </c>
      <c r="F22" s="73" t="s">
        <v>1204</v>
      </c>
      <c r="G22" s="73" t="s">
        <v>151</v>
      </c>
      <c r="H22" s="73" t="s">
        <v>1227</v>
      </c>
      <c r="I22" s="13" t="s">
        <v>150</v>
      </c>
      <c r="J22" s="13">
        <v>10</v>
      </c>
    </row>
    <row r="23" spans="2:10" s="13" customFormat="1" x14ac:dyDescent="0.15">
      <c r="B23" s="13" t="s">
        <v>1439</v>
      </c>
      <c r="C23" s="13" t="s">
        <v>1440</v>
      </c>
      <c r="D23" s="155" t="s">
        <v>828</v>
      </c>
      <c r="E23" s="13" t="s">
        <v>1387</v>
      </c>
      <c r="F23" s="73" t="s">
        <v>1205</v>
      </c>
      <c r="G23" s="73" t="s">
        <v>850</v>
      </c>
      <c r="H23" s="73" t="s">
        <v>1228</v>
      </c>
      <c r="I23" s="155" t="s">
        <v>828</v>
      </c>
      <c r="J23" s="13">
        <v>11</v>
      </c>
    </row>
    <row r="24" spans="2:10" s="13" customFormat="1" x14ac:dyDescent="0.15">
      <c r="B24" s="13" t="s">
        <v>1441</v>
      </c>
      <c r="C24" s="13" t="s">
        <v>1442</v>
      </c>
      <c r="D24" s="155" t="s">
        <v>852</v>
      </c>
      <c r="E24" s="13" t="s">
        <v>1388</v>
      </c>
      <c r="F24" s="73" t="s">
        <v>1206</v>
      </c>
      <c r="G24" s="73" t="s">
        <v>149</v>
      </c>
      <c r="H24" s="73" t="s">
        <v>1229</v>
      </c>
      <c r="I24" s="155" t="s">
        <v>846</v>
      </c>
      <c r="J24" s="13">
        <v>12</v>
      </c>
    </row>
    <row r="25" spans="2:10" s="19" customFormat="1" x14ac:dyDescent="0.15">
      <c r="B25" s="13" t="s">
        <v>1443</v>
      </c>
      <c r="C25" s="13" t="s">
        <v>1444</v>
      </c>
      <c r="D25" s="155" t="s">
        <v>829</v>
      </c>
      <c r="E25" s="13" t="s">
        <v>1389</v>
      </c>
      <c r="F25" s="73" t="s">
        <v>1207</v>
      </c>
      <c r="G25" s="73" t="s">
        <v>148</v>
      </c>
      <c r="H25" s="73" t="s">
        <v>1230</v>
      </c>
      <c r="I25" s="155" t="s">
        <v>829</v>
      </c>
      <c r="J25" s="13">
        <v>13</v>
      </c>
    </row>
    <row r="26" spans="2:10" s="13" customFormat="1" x14ac:dyDescent="0.15">
      <c r="B26" s="13" t="s">
        <v>1445</v>
      </c>
      <c r="C26" s="13" t="s">
        <v>1446</v>
      </c>
      <c r="D26" s="155" t="s">
        <v>830</v>
      </c>
      <c r="E26" s="13" t="s">
        <v>1390</v>
      </c>
      <c r="F26" s="73" t="s">
        <v>1208</v>
      </c>
      <c r="G26" s="73" t="s">
        <v>147</v>
      </c>
      <c r="H26" s="73" t="s">
        <v>1231</v>
      </c>
      <c r="I26" s="155" t="s">
        <v>830</v>
      </c>
      <c r="J26" s="13">
        <v>14</v>
      </c>
    </row>
    <row r="27" spans="2:10" s="13" customFormat="1" x14ac:dyDescent="0.15">
      <c r="B27" s="13" t="s">
        <v>1447</v>
      </c>
      <c r="C27" s="13" t="s">
        <v>1448</v>
      </c>
      <c r="D27" s="155" t="s">
        <v>853</v>
      </c>
      <c r="E27" s="13" t="s">
        <v>1391</v>
      </c>
      <c r="F27" s="73" t="s">
        <v>1209</v>
      </c>
      <c r="G27" s="73" t="s">
        <v>145</v>
      </c>
      <c r="H27" s="73" t="s">
        <v>1232</v>
      </c>
      <c r="I27" s="155" t="s">
        <v>847</v>
      </c>
      <c r="J27" s="13">
        <v>15</v>
      </c>
    </row>
    <row r="28" spans="2:10" s="13" customFormat="1" x14ac:dyDescent="0.15">
      <c r="B28" s="13" t="s">
        <v>1449</v>
      </c>
      <c r="C28" s="11" t="s">
        <v>1450</v>
      </c>
      <c r="D28" s="155" t="s">
        <v>831</v>
      </c>
      <c r="E28" s="13" t="s">
        <v>1392</v>
      </c>
      <c r="F28" s="73" t="s">
        <v>1210</v>
      </c>
      <c r="G28" s="73" t="s">
        <v>838</v>
      </c>
      <c r="H28" s="73" t="s">
        <v>1233</v>
      </c>
      <c r="I28" s="155" t="s">
        <v>831</v>
      </c>
      <c r="J28" s="13">
        <v>16</v>
      </c>
    </row>
    <row r="29" spans="2:10" s="13" customFormat="1" x14ac:dyDescent="0.15">
      <c r="B29" s="13" t="s">
        <v>1451</v>
      </c>
      <c r="C29" s="11" t="s">
        <v>1452</v>
      </c>
      <c r="D29" s="155" t="s">
        <v>848</v>
      </c>
      <c r="E29" s="13" t="s">
        <v>1393</v>
      </c>
      <c r="F29" s="73" t="s">
        <v>1211</v>
      </c>
      <c r="G29" s="73" t="s">
        <v>839</v>
      </c>
      <c r="H29" s="73" t="s">
        <v>1234</v>
      </c>
      <c r="I29" s="155" t="s">
        <v>848</v>
      </c>
      <c r="J29" s="13">
        <v>17</v>
      </c>
    </row>
    <row r="30" spans="2:10" s="13" customFormat="1" x14ac:dyDescent="0.15">
      <c r="B30" s="13" t="s">
        <v>1453</v>
      </c>
      <c r="C30" s="11" t="s">
        <v>1454</v>
      </c>
      <c r="D30" s="155" t="s">
        <v>849</v>
      </c>
      <c r="E30" s="13" t="s">
        <v>1394</v>
      </c>
      <c r="F30" s="73" t="s">
        <v>1212</v>
      </c>
      <c r="G30" s="73" t="s">
        <v>840</v>
      </c>
      <c r="H30" s="73" t="s">
        <v>1235</v>
      </c>
      <c r="I30" s="155" t="s">
        <v>849</v>
      </c>
      <c r="J30" s="13">
        <v>18</v>
      </c>
    </row>
    <row r="31" spans="2:10" s="13" customFormat="1" x14ac:dyDescent="0.15">
      <c r="B31" s="13" t="s">
        <v>1455</v>
      </c>
      <c r="C31" s="11" t="s">
        <v>1456</v>
      </c>
      <c r="D31" s="155" t="s">
        <v>832</v>
      </c>
      <c r="E31" s="13" t="s">
        <v>1395</v>
      </c>
      <c r="F31" s="73" t="s">
        <v>1213</v>
      </c>
      <c r="G31" s="73" t="s">
        <v>841</v>
      </c>
      <c r="H31" s="73" t="s">
        <v>1236</v>
      </c>
      <c r="I31" s="155" t="s">
        <v>832</v>
      </c>
      <c r="J31" s="13">
        <v>19</v>
      </c>
    </row>
    <row r="32" spans="2:10" s="13" customFormat="1" x14ac:dyDescent="0.15">
      <c r="B32" s="13" t="s">
        <v>1457</v>
      </c>
      <c r="C32" s="11" t="s">
        <v>1458</v>
      </c>
      <c r="D32" s="155" t="s">
        <v>833</v>
      </c>
      <c r="E32" s="13" t="s">
        <v>1396</v>
      </c>
      <c r="F32" s="73" t="s">
        <v>1214</v>
      </c>
      <c r="G32" s="73" t="s">
        <v>842</v>
      </c>
      <c r="H32" s="73" t="s">
        <v>1237</v>
      </c>
      <c r="I32" s="155" t="s">
        <v>833</v>
      </c>
      <c r="J32" s="13">
        <v>20</v>
      </c>
    </row>
    <row r="33" spans="2:10" s="13" customFormat="1" x14ac:dyDescent="0.15">
      <c r="B33" s="13" t="s">
        <v>1459</v>
      </c>
      <c r="C33" s="11" t="s">
        <v>1460</v>
      </c>
      <c r="D33" s="155" t="s">
        <v>834</v>
      </c>
      <c r="E33" s="13" t="s">
        <v>1397</v>
      </c>
      <c r="F33" s="73" t="s">
        <v>1215</v>
      </c>
      <c r="G33" s="73" t="s">
        <v>843</v>
      </c>
      <c r="H33" s="73" t="s">
        <v>1238</v>
      </c>
      <c r="I33" s="155" t="s">
        <v>834</v>
      </c>
      <c r="J33" s="13">
        <v>21</v>
      </c>
    </row>
    <row r="34" spans="2:10" s="13" customFormat="1" x14ac:dyDescent="0.15">
      <c r="B34" s="13" t="s">
        <v>1461</v>
      </c>
      <c r="C34" s="11" t="s">
        <v>1462</v>
      </c>
      <c r="D34" s="155" t="s">
        <v>835</v>
      </c>
      <c r="E34" s="13" t="s">
        <v>1398</v>
      </c>
      <c r="F34" s="73" t="s">
        <v>1216</v>
      </c>
      <c r="G34" s="73" t="s">
        <v>844</v>
      </c>
      <c r="H34" s="73" t="s">
        <v>1239</v>
      </c>
      <c r="I34" s="155" t="s">
        <v>835</v>
      </c>
      <c r="J34" s="13">
        <v>22</v>
      </c>
    </row>
    <row r="35" spans="2:10" s="13" customFormat="1" x14ac:dyDescent="0.15">
      <c r="B35" s="13" t="s">
        <v>1463</v>
      </c>
      <c r="C35" s="13" t="s">
        <v>1464</v>
      </c>
      <c r="D35" s="155" t="s">
        <v>836</v>
      </c>
      <c r="E35" s="13" t="s">
        <v>1399</v>
      </c>
      <c r="F35" s="73" t="s">
        <v>1217</v>
      </c>
      <c r="G35" s="73" t="s">
        <v>845</v>
      </c>
      <c r="H35" s="73" t="s">
        <v>1240</v>
      </c>
      <c r="I35" s="155" t="s">
        <v>836</v>
      </c>
      <c r="J35" s="13">
        <v>23</v>
      </c>
    </row>
    <row r="36" spans="2:10" s="13" customFormat="1" x14ac:dyDescent="0.15">
      <c r="B36" s="13" t="s">
        <v>1465</v>
      </c>
      <c r="C36" s="13" t="s">
        <v>245</v>
      </c>
      <c r="D36" s="13" t="s">
        <v>144</v>
      </c>
      <c r="E36" s="13" t="s">
        <v>1401</v>
      </c>
      <c r="F36" s="119" t="s">
        <v>1185</v>
      </c>
      <c r="G36" s="119" t="s">
        <v>143</v>
      </c>
      <c r="J36" s="13">
        <v>1</v>
      </c>
    </row>
    <row r="37" spans="2:10" s="13" customFormat="1" x14ac:dyDescent="0.15">
      <c r="B37" s="13" t="s">
        <v>1466</v>
      </c>
      <c r="C37" s="13" t="s">
        <v>142</v>
      </c>
      <c r="D37" s="13" t="s">
        <v>141</v>
      </c>
      <c r="E37" s="13" t="s">
        <v>1402</v>
      </c>
      <c r="F37" s="119" t="s">
        <v>1186</v>
      </c>
      <c r="G37" s="119" t="s">
        <v>140</v>
      </c>
      <c r="J37" s="13">
        <v>2</v>
      </c>
    </row>
    <row r="38" spans="2:10" s="13" customFormat="1" x14ac:dyDescent="0.15">
      <c r="B38" s="13" t="s">
        <v>1467</v>
      </c>
      <c r="C38" s="13" t="s">
        <v>139</v>
      </c>
      <c r="D38" s="13" t="s">
        <v>138</v>
      </c>
      <c r="E38" s="13" t="s">
        <v>1403</v>
      </c>
      <c r="F38" s="119" t="s">
        <v>1187</v>
      </c>
      <c r="G38" s="119" t="s">
        <v>137</v>
      </c>
      <c r="J38" s="13">
        <v>3</v>
      </c>
    </row>
    <row r="39" spans="2:10" s="13" customFormat="1" x14ac:dyDescent="0.15">
      <c r="B39" s="13" t="s">
        <v>1468</v>
      </c>
      <c r="C39" s="13" t="s">
        <v>136</v>
      </c>
      <c r="D39" s="13" t="s">
        <v>135</v>
      </c>
      <c r="E39" s="13" t="s">
        <v>1404</v>
      </c>
      <c r="F39" s="119" t="s">
        <v>1188</v>
      </c>
      <c r="G39" s="119" t="s">
        <v>134</v>
      </c>
      <c r="J39" s="13">
        <v>4</v>
      </c>
    </row>
    <row r="40" spans="2:10" s="13" customFormat="1" x14ac:dyDescent="0.15">
      <c r="B40" s="13" t="s">
        <v>1469</v>
      </c>
      <c r="C40" s="13" t="s">
        <v>133</v>
      </c>
      <c r="D40" s="13" t="s">
        <v>132</v>
      </c>
      <c r="E40" s="13" t="s">
        <v>1405</v>
      </c>
      <c r="F40" s="119" t="s">
        <v>1189</v>
      </c>
      <c r="G40" s="119" t="s">
        <v>131</v>
      </c>
      <c r="J40" s="13">
        <v>5</v>
      </c>
    </row>
    <row r="41" spans="2:10" s="13" customFormat="1" x14ac:dyDescent="0.15">
      <c r="B41" s="13" t="s">
        <v>1470</v>
      </c>
      <c r="C41" s="13" t="s">
        <v>130</v>
      </c>
      <c r="D41" s="13" t="s">
        <v>129</v>
      </c>
      <c r="E41" s="13" t="s">
        <v>1406</v>
      </c>
      <c r="F41" s="119" t="s">
        <v>1190</v>
      </c>
      <c r="G41" s="119" t="s">
        <v>128</v>
      </c>
      <c r="J41" s="13">
        <v>6</v>
      </c>
    </row>
    <row r="42" spans="2:10" s="13" customFormat="1" x14ac:dyDescent="0.15">
      <c r="B42" s="13" t="s">
        <v>1471</v>
      </c>
      <c r="C42" s="13" t="s">
        <v>127</v>
      </c>
      <c r="D42" s="13" t="s">
        <v>126</v>
      </c>
      <c r="E42" s="13" t="s">
        <v>1407</v>
      </c>
      <c r="F42" s="119" t="s">
        <v>1191</v>
      </c>
      <c r="G42" s="119" t="s">
        <v>125</v>
      </c>
      <c r="J42" s="13">
        <v>7</v>
      </c>
    </row>
    <row r="43" spans="2:10" s="13" customFormat="1" x14ac:dyDescent="0.15">
      <c r="B43" s="13" t="s">
        <v>1472</v>
      </c>
      <c r="C43" s="13" t="s">
        <v>749</v>
      </c>
      <c r="D43" s="13" t="s">
        <v>146</v>
      </c>
      <c r="E43" s="13" t="s">
        <v>1408</v>
      </c>
      <c r="F43" s="119" t="s">
        <v>1192</v>
      </c>
      <c r="G43" s="119" t="s">
        <v>754</v>
      </c>
      <c r="J43" s="13">
        <v>8</v>
      </c>
    </row>
    <row r="44" spans="2:10" s="13" customFormat="1" x14ac:dyDescent="0.15">
      <c r="B44" s="13" t="s">
        <v>1473</v>
      </c>
      <c r="C44" s="13" t="s">
        <v>750</v>
      </c>
      <c r="D44" s="13" t="s">
        <v>752</v>
      </c>
      <c r="E44" s="13" t="s">
        <v>1409</v>
      </c>
      <c r="F44" s="119" t="s">
        <v>1193</v>
      </c>
      <c r="G44" s="119" t="s">
        <v>755</v>
      </c>
      <c r="J44" s="13">
        <v>9</v>
      </c>
    </row>
    <row r="45" spans="2:10" s="13" customFormat="1" x14ac:dyDescent="0.15">
      <c r="B45" s="13" t="s">
        <v>1474</v>
      </c>
      <c r="C45" s="13" t="s">
        <v>751</v>
      </c>
      <c r="D45" s="13" t="s">
        <v>753</v>
      </c>
      <c r="E45" s="13" t="s">
        <v>1410</v>
      </c>
      <c r="F45" s="119" t="s">
        <v>1194</v>
      </c>
      <c r="G45" s="119" t="s">
        <v>756</v>
      </c>
      <c r="J45" s="13">
        <v>10</v>
      </c>
    </row>
    <row r="46" spans="2:10" s="13" customFormat="1" x14ac:dyDescent="0.15"/>
    <row r="47" spans="2:10" s="13" customFormat="1" x14ac:dyDescent="0.15"/>
    <row r="48" spans="2:10" s="13" customFormat="1" x14ac:dyDescent="0.15"/>
    <row r="49" s="13" customFormat="1" x14ac:dyDescent="0.15"/>
    <row r="50" s="13" customFormat="1" x14ac:dyDescent="0.15"/>
    <row r="51" s="13" customFormat="1" x14ac:dyDescent="0.15"/>
    <row r="52" s="13" customFormat="1" x14ac:dyDescent="0.15"/>
    <row r="53" s="13" customFormat="1" x14ac:dyDescent="0.15"/>
    <row r="54" s="13" customFormat="1" x14ac:dyDescent="0.15"/>
    <row r="55" s="13" customFormat="1" x14ac:dyDescent="0.15"/>
    <row r="56" s="13" customFormat="1" x14ac:dyDescent="0.15"/>
    <row r="57" s="13" customFormat="1" x14ac:dyDescent="0.15"/>
    <row r="58" s="13" customFormat="1" x14ac:dyDescent="0.15"/>
    <row r="59" s="13" customFormat="1" x14ac:dyDescent="0.15"/>
    <row r="60" s="13" customFormat="1" x14ac:dyDescent="0.15"/>
    <row r="61" s="13" customFormat="1" x14ac:dyDescent="0.15"/>
    <row r="62" s="13" customFormat="1" x14ac:dyDescent="0.15"/>
    <row r="63" s="13" customFormat="1" x14ac:dyDescent="0.15"/>
    <row r="64" s="13" customFormat="1" x14ac:dyDescent="0.15"/>
    <row r="65" s="13" customFormat="1" x14ac:dyDescent="0.15"/>
    <row r="66" s="13" customFormat="1" x14ac:dyDescent="0.15"/>
    <row r="67" s="13" customFormat="1" x14ac:dyDescent="0.15"/>
    <row r="68" s="13" customFormat="1" x14ac:dyDescent="0.15"/>
    <row r="69" s="13" customFormat="1" x14ac:dyDescent="0.15"/>
    <row r="70" s="13" customFormat="1" x14ac:dyDescent="0.15"/>
    <row r="71" s="13" customFormat="1" x14ac:dyDescent="0.15"/>
    <row r="72" s="13" customFormat="1" x14ac:dyDescent="0.15"/>
    <row r="73" s="13" customFormat="1" x14ac:dyDescent="0.15"/>
    <row r="74" s="13" customFormat="1" x14ac:dyDescent="0.15"/>
    <row r="75" s="13" customFormat="1" x14ac:dyDescent="0.15"/>
    <row r="76" s="13" customFormat="1" x14ac:dyDescent="0.15"/>
    <row r="77" s="13" customFormat="1" x14ac:dyDescent="0.15"/>
    <row r="78" s="13" customFormat="1" x14ac:dyDescent="0.15"/>
    <row r="79" s="13" customFormat="1" x14ac:dyDescent="0.15"/>
    <row r="80" s="13" customFormat="1" x14ac:dyDescent="0.15"/>
    <row r="81" s="13" customFormat="1" x14ac:dyDescent="0.15"/>
    <row r="82" s="13" customFormat="1" x14ac:dyDescent="0.15"/>
    <row r="83" s="13" customFormat="1" x14ac:dyDescent="0.15"/>
    <row r="84" s="13" customFormat="1" x14ac:dyDescent="0.15"/>
    <row r="85" s="13" customFormat="1" x14ac:dyDescent="0.15"/>
    <row r="86" s="13" customFormat="1" x14ac:dyDescent="0.15"/>
    <row r="87" s="13" customFormat="1" x14ac:dyDescent="0.15"/>
    <row r="88" s="13" customFormat="1" x14ac:dyDescent="0.15"/>
    <row r="89" s="13" customFormat="1" x14ac:dyDescent="0.15"/>
    <row r="90" s="13" customFormat="1" x14ac:dyDescent="0.15"/>
  </sheetData>
  <phoneticPr fontId="11" type="noConversion"/>
  <pageMargins left="0.7" right="0.7" top="0.75" bottom="0.75" header="0.3" footer="0.3"/>
  <legacy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507DDE-DAA2-412C-B716-520B450B4081}">
  <sheetPr codeName="Sheet16">
    <tabColor theme="2"/>
  </sheetPr>
  <dimension ref="A1:J41"/>
  <sheetViews>
    <sheetView zoomScale="115" zoomScaleNormal="115" workbookViewId="0"/>
  </sheetViews>
  <sheetFormatPr defaultColWidth="25.75" defaultRowHeight="13.5" x14ac:dyDescent="0.15"/>
  <cols>
    <col min="1" max="1" width="12.75" style="24" customWidth="1"/>
    <col min="2" max="2" width="43.5" style="24" customWidth="1"/>
    <col min="3" max="3" width="40.375" style="24" customWidth="1"/>
    <col min="4" max="4" width="36" style="24" customWidth="1"/>
    <col min="5" max="5" width="51" style="24" customWidth="1"/>
    <col min="6" max="16384" width="25.75" style="24"/>
  </cols>
  <sheetData>
    <row r="1" spans="1:10" x14ac:dyDescent="0.15">
      <c r="A1" s="18" t="s">
        <v>234</v>
      </c>
      <c r="B1" s="24" t="s">
        <v>233</v>
      </c>
    </row>
    <row r="2" spans="1:10" x14ac:dyDescent="0.15">
      <c r="A2" s="24" t="s">
        <v>232</v>
      </c>
      <c r="B2" s="16" t="s">
        <v>231</v>
      </c>
      <c r="C2" s="16" t="s">
        <v>230</v>
      </c>
      <c r="D2" s="16" t="s">
        <v>71</v>
      </c>
      <c r="E2" s="16" t="s">
        <v>229</v>
      </c>
      <c r="F2" s="16" t="s">
        <v>228</v>
      </c>
      <c r="G2" s="16" t="s">
        <v>227</v>
      </c>
      <c r="H2" s="16" t="s">
        <v>226</v>
      </c>
      <c r="I2" s="16" t="s">
        <v>225</v>
      </c>
      <c r="J2" s="16" t="s">
        <v>224</v>
      </c>
    </row>
    <row r="3" spans="1:10" x14ac:dyDescent="0.15">
      <c r="B3" s="15" t="s">
        <v>223</v>
      </c>
      <c r="C3" s="15" t="s">
        <v>74</v>
      </c>
      <c r="D3" s="15" t="s">
        <v>73</v>
      </c>
      <c r="E3" s="15" t="s">
        <v>72</v>
      </c>
      <c r="F3" s="15" t="s">
        <v>72</v>
      </c>
      <c r="G3" s="15" t="s">
        <v>73</v>
      </c>
      <c r="H3" s="15" t="s">
        <v>72</v>
      </c>
      <c r="I3" s="15" t="s">
        <v>72</v>
      </c>
      <c r="J3" s="15" t="s">
        <v>73</v>
      </c>
    </row>
    <row r="4" spans="1:10" x14ac:dyDescent="0.15">
      <c r="B4" s="14" t="s">
        <v>222</v>
      </c>
      <c r="C4" s="14" t="s">
        <v>221</v>
      </c>
      <c r="D4" s="14" t="s">
        <v>73</v>
      </c>
      <c r="E4" s="14" t="s">
        <v>75</v>
      </c>
      <c r="F4" s="14" t="s">
        <v>75</v>
      </c>
      <c r="G4" s="14" t="s">
        <v>73</v>
      </c>
      <c r="H4" s="14" t="s">
        <v>75</v>
      </c>
      <c r="I4" s="14" t="s">
        <v>75</v>
      </c>
      <c r="J4" s="14" t="s">
        <v>73</v>
      </c>
    </row>
    <row r="5" spans="1:10" x14ac:dyDescent="0.15">
      <c r="B5" s="15" t="s">
        <v>220</v>
      </c>
      <c r="C5" s="15" t="s">
        <v>219</v>
      </c>
      <c r="D5" s="15" t="s">
        <v>218</v>
      </c>
      <c r="E5" s="15" t="s">
        <v>217</v>
      </c>
      <c r="F5" s="15" t="s">
        <v>216</v>
      </c>
      <c r="G5" s="15" t="s">
        <v>215</v>
      </c>
      <c r="H5" s="15" t="s">
        <v>214</v>
      </c>
      <c r="I5" s="15" t="s">
        <v>213</v>
      </c>
      <c r="J5" s="15" t="s">
        <v>212</v>
      </c>
    </row>
    <row r="6" spans="1:10" x14ac:dyDescent="0.15">
      <c r="B6" s="14" t="s">
        <v>211</v>
      </c>
      <c r="C6" s="14" t="s">
        <v>210</v>
      </c>
      <c r="D6" s="14"/>
      <c r="E6" s="14"/>
      <c r="F6" s="14"/>
      <c r="G6" s="14"/>
      <c r="H6" s="14"/>
      <c r="I6" s="14"/>
      <c r="J6" s="14"/>
    </row>
    <row r="7" spans="1:10" s="19" customFormat="1" x14ac:dyDescent="0.15">
      <c r="B7" s="19" t="s">
        <v>1475</v>
      </c>
      <c r="C7" s="19" t="s">
        <v>1311</v>
      </c>
      <c r="D7" s="11"/>
      <c r="E7" s="19" t="s">
        <v>1476</v>
      </c>
      <c r="F7" s="19" t="s">
        <v>209</v>
      </c>
    </row>
    <row r="8" spans="1:10" s="26" customFormat="1" x14ac:dyDescent="0.15"/>
    <row r="9" spans="1:10" s="26" customFormat="1" x14ac:dyDescent="0.15"/>
    <row r="10" spans="1:10" s="26" customFormat="1" x14ac:dyDescent="0.15">
      <c r="C10" s="19"/>
    </row>
    <row r="11" spans="1:10" s="19" customFormat="1" x14ac:dyDescent="0.15"/>
    <row r="12" spans="1:10" s="19" customFormat="1" x14ac:dyDescent="0.15"/>
    <row r="13" spans="1:10" s="19" customFormat="1" x14ac:dyDescent="0.15"/>
    <row r="14" spans="1:10" s="19" customFormat="1" x14ac:dyDescent="0.15"/>
    <row r="15" spans="1:10" s="19" customFormat="1" x14ac:dyDescent="0.15"/>
    <row r="16" spans="1:10" s="19" customFormat="1" x14ac:dyDescent="0.15"/>
    <row r="17" s="19" customFormat="1" x14ac:dyDescent="0.15"/>
    <row r="18" s="19" customFormat="1" x14ac:dyDescent="0.15"/>
    <row r="19" s="19" customFormat="1" x14ac:dyDescent="0.15"/>
    <row r="20" s="19" customFormat="1" x14ac:dyDescent="0.15"/>
    <row r="21" s="19" customFormat="1" x14ac:dyDescent="0.15"/>
    <row r="22" s="19" customFormat="1" x14ac:dyDescent="0.15"/>
    <row r="23" s="19" customFormat="1" x14ac:dyDescent="0.15"/>
    <row r="24" s="19" customFormat="1" x14ac:dyDescent="0.15"/>
    <row r="25" s="19" customFormat="1" x14ac:dyDescent="0.15"/>
    <row r="26" s="19" customFormat="1" x14ac:dyDescent="0.15"/>
    <row r="27" s="19" customFormat="1" x14ac:dyDescent="0.15"/>
    <row r="28" s="19" customFormat="1" x14ac:dyDescent="0.15"/>
    <row r="29" s="19" customFormat="1" x14ac:dyDescent="0.15"/>
    <row r="30" s="19" customFormat="1" x14ac:dyDescent="0.15"/>
    <row r="31" s="19" customFormat="1" x14ac:dyDescent="0.15"/>
    <row r="32" s="19" customFormat="1" x14ac:dyDescent="0.15"/>
    <row r="33" spans="1:10" s="19" customFormat="1" x14ac:dyDescent="0.15"/>
    <row r="34" spans="1:10" s="19" customFormat="1" x14ac:dyDescent="0.15"/>
    <row r="35" spans="1:10" s="19" customFormat="1" x14ac:dyDescent="0.15"/>
    <row r="36" spans="1:10" s="19" customFormat="1" x14ac:dyDescent="0.15"/>
    <row r="37" spans="1:10" s="19" customFormat="1" x14ac:dyDescent="0.15"/>
    <row r="38" spans="1:10" s="19" customFormat="1" x14ac:dyDescent="0.15"/>
    <row r="39" spans="1:10" s="19" customFormat="1" x14ac:dyDescent="0.15">
      <c r="B39" s="25"/>
      <c r="C39" s="25"/>
      <c r="D39" s="25"/>
      <c r="E39" s="25"/>
      <c r="F39" s="25"/>
      <c r="G39" s="25"/>
      <c r="H39" s="25"/>
      <c r="I39" s="25"/>
      <c r="J39" s="25"/>
    </row>
    <row r="40" spans="1:10" s="19" customFormat="1" x14ac:dyDescent="0.15">
      <c r="B40" s="25"/>
      <c r="C40" s="25"/>
      <c r="D40" s="25"/>
      <c r="E40" s="25"/>
      <c r="F40" s="25"/>
      <c r="G40" s="25"/>
      <c r="H40" s="25"/>
      <c r="I40" s="25"/>
      <c r="J40" s="25"/>
    </row>
    <row r="41" spans="1:10" s="19" customFormat="1" x14ac:dyDescent="0.15">
      <c r="A41" s="19" t="s">
        <v>208</v>
      </c>
    </row>
  </sheetData>
  <phoneticPr fontId="11" type="noConversion"/>
  <pageMargins left="0.7" right="0.7" top="0.75" bottom="0.75" header="0.3" footer="0.3"/>
  <legacy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54454-EEF8-48F8-8FF4-746F2BB3BE73}">
  <sheetPr codeName="Sheet15">
    <tabColor theme="2"/>
  </sheetPr>
  <dimension ref="A1:D18"/>
  <sheetViews>
    <sheetView zoomScale="130" zoomScaleNormal="130" workbookViewId="0"/>
  </sheetViews>
  <sheetFormatPr defaultRowHeight="13.5" x14ac:dyDescent="0.15"/>
  <cols>
    <col min="2" max="2" width="40.5" customWidth="1"/>
    <col min="3" max="3" width="91.875" customWidth="1"/>
    <col min="4" max="4" width="26.375" customWidth="1"/>
  </cols>
  <sheetData>
    <row r="1" spans="1:4" x14ac:dyDescent="0.15">
      <c r="A1" t="s">
        <v>85</v>
      </c>
      <c r="B1" t="s">
        <v>243</v>
      </c>
    </row>
    <row r="2" spans="1:4" x14ac:dyDescent="0.15">
      <c r="A2" t="s">
        <v>70</v>
      </c>
      <c r="B2" s="31" t="s">
        <v>123</v>
      </c>
      <c r="C2" s="31" t="s">
        <v>122</v>
      </c>
      <c r="D2" s="31" t="s">
        <v>71</v>
      </c>
    </row>
    <row r="3" spans="1:4" x14ac:dyDescent="0.15">
      <c r="B3" s="30" t="s">
        <v>72</v>
      </c>
      <c r="C3" s="30" t="s">
        <v>72</v>
      </c>
      <c r="D3" s="29" t="s">
        <v>73</v>
      </c>
    </row>
    <row r="4" spans="1:4" x14ac:dyDescent="0.15">
      <c r="B4" s="28" t="s">
        <v>75</v>
      </c>
      <c r="C4" s="28" t="s">
        <v>80</v>
      </c>
      <c r="D4" s="27" t="s">
        <v>73</v>
      </c>
    </row>
    <row r="5" spans="1:4" x14ac:dyDescent="0.15">
      <c r="B5" s="30" t="s">
        <v>81</v>
      </c>
      <c r="C5" s="30" t="s">
        <v>117</v>
      </c>
      <c r="D5" s="29" t="s">
        <v>73</v>
      </c>
    </row>
    <row r="6" spans="1:4" x14ac:dyDescent="0.15">
      <c r="B6" s="28" t="s">
        <v>77</v>
      </c>
      <c r="C6" s="28"/>
      <c r="D6" s="27"/>
    </row>
    <row r="7" spans="1:4" s="11" customFormat="1" x14ac:dyDescent="0.15">
      <c r="B7" s="11" t="s">
        <v>1477</v>
      </c>
      <c r="C7" s="156" t="s">
        <v>242</v>
      </c>
      <c r="D7" s="11" t="s">
        <v>1049</v>
      </c>
    </row>
    <row r="8" spans="1:4" s="11" customFormat="1" x14ac:dyDescent="0.15"/>
    <row r="9" spans="1:4" s="11" customFormat="1" x14ac:dyDescent="0.15"/>
    <row r="10" spans="1:4" s="11" customFormat="1" x14ac:dyDescent="0.15"/>
    <row r="11" spans="1:4" s="11" customFormat="1" x14ac:dyDescent="0.15"/>
    <row r="12" spans="1:4" s="11" customFormat="1" x14ac:dyDescent="0.15"/>
    <row r="13" spans="1:4" s="11" customFormat="1" x14ac:dyDescent="0.15"/>
    <row r="14" spans="1:4" s="11" customFormat="1" x14ac:dyDescent="0.15"/>
    <row r="15" spans="1:4" s="11" customFormat="1" x14ac:dyDescent="0.15"/>
    <row r="16" spans="1:4" s="11" customFormat="1" x14ac:dyDescent="0.15"/>
    <row r="17" spans="3:3" s="11" customFormat="1" x14ac:dyDescent="0.15"/>
    <row r="18" spans="3:3" s="11" customFormat="1" x14ac:dyDescent="0.15">
      <c r="C18" s="13"/>
    </row>
  </sheetData>
  <phoneticPr fontId="11" type="noConversion"/>
  <conditionalFormatting sqref="C6">
    <cfRule type="cellIs" dxfId="8" priority="1" stopIfTrue="1" operator="notEqual">
      <formula>INDIRECT("Dummy_for_Comparison2!"&amp;ADDRESS(ROW(),COLUMN()))</formula>
    </cfRule>
  </conditionalFormatting>
  <conditionalFormatting sqref="C2:C5 B2:B6">
    <cfRule type="cellIs" dxfId="7" priority="2" stopIfTrue="1" operator="notEqual">
      <formula>INDIRECT("Dummy_for_Comparison20!"&amp;ADDRESS(ROW(),COLUMN()))</formula>
    </cfRule>
  </conditionalFormatting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DAD7EA-D372-4395-AD1C-5127A3765120}">
  <sheetPr codeName="Sheet23">
    <tabColor theme="2"/>
  </sheetPr>
  <dimension ref="A1:F61"/>
  <sheetViews>
    <sheetView zoomScaleNormal="100" workbookViewId="0"/>
  </sheetViews>
  <sheetFormatPr defaultRowHeight="13.5" x14ac:dyDescent="0.15"/>
  <cols>
    <col min="2" max="2" width="31.875" customWidth="1"/>
    <col min="5" max="5" width="255.625" bestFit="1" customWidth="1"/>
  </cols>
  <sheetData>
    <row r="1" spans="1:6" s="65" customFormat="1" x14ac:dyDescent="0.15">
      <c r="A1" s="67" t="s">
        <v>743</v>
      </c>
      <c r="B1" s="67" t="s">
        <v>3048</v>
      </c>
      <c r="C1" s="67"/>
      <c r="D1" s="67"/>
      <c r="E1" s="67"/>
      <c r="F1" s="67"/>
    </row>
    <row r="2" spans="1:6" s="65" customFormat="1" x14ac:dyDescent="0.15">
      <c r="A2" s="67" t="s">
        <v>70</v>
      </c>
      <c r="B2" s="69" t="s">
        <v>123</v>
      </c>
      <c r="C2" s="69" t="s">
        <v>122</v>
      </c>
      <c r="D2" s="69" t="s">
        <v>121</v>
      </c>
      <c r="E2" s="69" t="s">
        <v>120</v>
      </c>
      <c r="F2" s="69" t="s">
        <v>71</v>
      </c>
    </row>
    <row r="3" spans="1:6" s="65" customFormat="1" x14ac:dyDescent="0.15">
      <c r="A3" s="67"/>
      <c r="B3" s="68" t="s">
        <v>72</v>
      </c>
      <c r="C3" s="68" t="s">
        <v>72</v>
      </c>
      <c r="D3" s="68" t="s">
        <v>72</v>
      </c>
      <c r="E3" s="68" t="s">
        <v>72</v>
      </c>
      <c r="F3" s="68" t="s">
        <v>73</v>
      </c>
    </row>
    <row r="4" spans="1:6" s="65" customFormat="1" x14ac:dyDescent="0.15">
      <c r="A4" s="67"/>
      <c r="B4" s="66" t="s">
        <v>75</v>
      </c>
      <c r="C4" s="66" t="s">
        <v>679</v>
      </c>
      <c r="D4" s="66" t="s">
        <v>80</v>
      </c>
      <c r="E4" s="66" t="s">
        <v>119</v>
      </c>
      <c r="F4" s="66" t="s">
        <v>73</v>
      </c>
    </row>
    <row r="5" spans="1:6" s="65" customFormat="1" x14ac:dyDescent="0.15">
      <c r="A5" s="67"/>
      <c r="B5" s="68" t="s">
        <v>81</v>
      </c>
      <c r="C5" s="68" t="s">
        <v>118</v>
      </c>
      <c r="D5" s="68" t="s">
        <v>117</v>
      </c>
      <c r="E5" s="68" t="s">
        <v>116</v>
      </c>
      <c r="F5" s="68" t="s">
        <v>115</v>
      </c>
    </row>
    <row r="6" spans="1:6" s="65" customFormat="1" x14ac:dyDescent="0.15">
      <c r="A6" s="67"/>
      <c r="B6" s="66" t="s">
        <v>77</v>
      </c>
      <c r="C6" s="66" t="s">
        <v>678</v>
      </c>
      <c r="D6" s="66"/>
      <c r="E6" s="66" t="s">
        <v>113</v>
      </c>
      <c r="F6" s="66"/>
    </row>
    <row r="7" spans="1:6" s="13" customFormat="1" x14ac:dyDescent="0.15">
      <c r="B7" s="13" t="s">
        <v>3205</v>
      </c>
      <c r="C7" s="13" t="s">
        <v>107</v>
      </c>
      <c r="E7" s="13" t="s">
        <v>3206</v>
      </c>
      <c r="F7" s="13" t="s">
        <v>1050</v>
      </c>
    </row>
    <row r="8" spans="1:6" s="13" customFormat="1" x14ac:dyDescent="0.15">
      <c r="B8" s="13" t="s">
        <v>3207</v>
      </c>
      <c r="C8" s="13" t="s">
        <v>247</v>
      </c>
      <c r="E8" s="13" t="s">
        <v>3208</v>
      </c>
      <c r="F8" s="13" t="s">
        <v>1051</v>
      </c>
    </row>
    <row r="9" spans="1:6" s="13" customFormat="1" x14ac:dyDescent="0.15">
      <c r="B9" s="13" t="s">
        <v>3209</v>
      </c>
      <c r="C9" s="13" t="s">
        <v>105</v>
      </c>
      <c r="E9" s="13" t="s">
        <v>744</v>
      </c>
      <c r="F9" s="13" t="s">
        <v>1052</v>
      </c>
    </row>
    <row r="10" spans="1:6" s="13" customFormat="1" x14ac:dyDescent="0.15">
      <c r="B10" s="13" t="s">
        <v>3210</v>
      </c>
      <c r="C10" s="13" t="s">
        <v>676</v>
      </c>
      <c r="E10" s="13" t="s">
        <v>3211</v>
      </c>
      <c r="F10" s="13" t="s">
        <v>1053</v>
      </c>
    </row>
    <row r="11" spans="1:6" s="13" customFormat="1" x14ac:dyDescent="0.15">
      <c r="B11" s="13" t="s">
        <v>3212</v>
      </c>
      <c r="C11" s="13" t="s">
        <v>676</v>
      </c>
      <c r="E11" s="13" t="s">
        <v>3211</v>
      </c>
      <c r="F11" s="13" t="s">
        <v>1054</v>
      </c>
    </row>
    <row r="12" spans="1:6" s="13" customFormat="1" x14ac:dyDescent="0.15">
      <c r="B12" s="13" t="s">
        <v>3213</v>
      </c>
      <c r="C12" s="13" t="s">
        <v>676</v>
      </c>
      <c r="E12" s="13" t="s">
        <v>745</v>
      </c>
      <c r="F12" s="13" t="s">
        <v>1055</v>
      </c>
    </row>
    <row r="13" spans="1:6" s="13" customFormat="1" x14ac:dyDescent="0.15">
      <c r="B13" s="13" t="s">
        <v>3214</v>
      </c>
      <c r="C13" s="13" t="s">
        <v>676</v>
      </c>
      <c r="E13" s="13" t="s">
        <v>745</v>
      </c>
      <c r="F13" s="13" t="s">
        <v>1056</v>
      </c>
    </row>
    <row r="14" spans="1:6" s="13" customFormat="1" x14ac:dyDescent="0.15">
      <c r="B14" s="13" t="s">
        <v>3215</v>
      </c>
      <c r="C14" s="13" t="s">
        <v>676</v>
      </c>
      <c r="E14" s="13" t="s">
        <v>745</v>
      </c>
      <c r="F14" s="13" t="s">
        <v>1057</v>
      </c>
    </row>
    <row r="15" spans="1:6" s="13" customFormat="1" x14ac:dyDescent="0.15">
      <c r="B15" s="13" t="s">
        <v>3216</v>
      </c>
      <c r="C15" s="13" t="s">
        <v>105</v>
      </c>
      <c r="E15" s="13" t="s">
        <v>746</v>
      </c>
      <c r="F15" s="13" t="s">
        <v>1058</v>
      </c>
    </row>
    <row r="16" spans="1:6" s="13" customFormat="1" x14ac:dyDescent="0.15">
      <c r="B16" s="13" t="s">
        <v>3217</v>
      </c>
      <c r="C16" s="13" t="s">
        <v>105</v>
      </c>
      <c r="E16" s="13" t="s">
        <v>746</v>
      </c>
      <c r="F16" s="13" t="s">
        <v>1059</v>
      </c>
    </row>
    <row r="17" spans="2:6" s="13" customFormat="1" x14ac:dyDescent="0.15">
      <c r="B17" s="13" t="s">
        <v>3218</v>
      </c>
      <c r="C17" s="13" t="s">
        <v>105</v>
      </c>
      <c r="E17" s="13" t="s">
        <v>746</v>
      </c>
      <c r="F17" s="13" t="s">
        <v>1060</v>
      </c>
    </row>
    <row r="18" spans="2:6" s="13" customFormat="1" x14ac:dyDescent="0.15">
      <c r="B18" s="13" t="s">
        <v>3219</v>
      </c>
      <c r="C18" s="13" t="s">
        <v>107</v>
      </c>
      <c r="E18" s="13" t="s">
        <v>3220</v>
      </c>
      <c r="F18" s="13" t="s">
        <v>1061</v>
      </c>
    </row>
    <row r="19" spans="2:6" s="13" customFormat="1" x14ac:dyDescent="0.15">
      <c r="B19" s="13" t="s">
        <v>3221</v>
      </c>
      <c r="C19" s="13" t="s">
        <v>676</v>
      </c>
      <c r="E19" s="13" t="s">
        <v>3222</v>
      </c>
      <c r="F19" s="13" t="s">
        <v>1062</v>
      </c>
    </row>
    <row r="20" spans="2:6" s="13" customFormat="1" x14ac:dyDescent="0.15">
      <c r="B20" s="13" t="s">
        <v>3223</v>
      </c>
      <c r="C20" s="13" t="s">
        <v>676</v>
      </c>
      <c r="E20" s="13" t="s">
        <v>3224</v>
      </c>
      <c r="F20" s="13" t="s">
        <v>1063</v>
      </c>
    </row>
    <row r="21" spans="2:6" s="13" customFormat="1" x14ac:dyDescent="0.15">
      <c r="B21" s="13" t="s">
        <v>3225</v>
      </c>
      <c r="C21" s="13" t="s">
        <v>676</v>
      </c>
      <c r="E21" s="13" t="s">
        <v>3299</v>
      </c>
      <c r="F21" s="13" t="s">
        <v>1064</v>
      </c>
    </row>
    <row r="22" spans="2:6" s="13" customFormat="1" x14ac:dyDescent="0.15">
      <c r="B22" s="13" t="s">
        <v>3226</v>
      </c>
      <c r="C22" s="13" t="s">
        <v>676</v>
      </c>
      <c r="E22" s="13" t="s">
        <v>3227</v>
      </c>
      <c r="F22" s="13" t="s">
        <v>1065</v>
      </c>
    </row>
    <row r="23" spans="2:6" s="13" customFormat="1" x14ac:dyDescent="0.15">
      <c r="B23" s="13" t="s">
        <v>3228</v>
      </c>
      <c r="C23" s="13" t="s">
        <v>1066</v>
      </c>
      <c r="E23" s="13" t="s">
        <v>3229</v>
      </c>
      <c r="F23" s="13" t="s">
        <v>1067</v>
      </c>
    </row>
    <row r="24" spans="2:6" s="13" customFormat="1" x14ac:dyDescent="0.15">
      <c r="B24" s="13" t="s">
        <v>3230</v>
      </c>
      <c r="C24" s="13" t="s">
        <v>247</v>
      </c>
      <c r="E24" s="13" t="s">
        <v>3231</v>
      </c>
      <c r="F24" s="13" t="s">
        <v>1068</v>
      </c>
    </row>
    <row r="25" spans="2:6" s="13" customFormat="1" x14ac:dyDescent="0.15">
      <c r="B25" s="13" t="s">
        <v>3232</v>
      </c>
      <c r="C25" s="13" t="s">
        <v>247</v>
      </c>
      <c r="E25" s="13" t="s">
        <v>3233</v>
      </c>
      <c r="F25" s="13" t="s">
        <v>1069</v>
      </c>
    </row>
    <row r="26" spans="2:6" s="13" customFormat="1" x14ac:dyDescent="0.15">
      <c r="B26" s="13" t="s">
        <v>3234</v>
      </c>
      <c r="C26" s="13" t="s">
        <v>676</v>
      </c>
      <c r="E26" s="13" t="s">
        <v>3235</v>
      </c>
      <c r="F26" s="13" t="s">
        <v>1070</v>
      </c>
    </row>
    <row r="27" spans="2:6" s="13" customFormat="1" x14ac:dyDescent="0.15">
      <c r="B27" s="13" t="s">
        <v>3236</v>
      </c>
      <c r="C27" s="13" t="s">
        <v>247</v>
      </c>
      <c r="E27" s="13" t="s">
        <v>3237</v>
      </c>
      <c r="F27" s="13" t="s">
        <v>1071</v>
      </c>
    </row>
    <row r="28" spans="2:6" s="13" customFormat="1" x14ac:dyDescent="0.15">
      <c r="B28" s="13" t="s">
        <v>3238</v>
      </c>
      <c r="C28" s="13" t="s">
        <v>676</v>
      </c>
      <c r="E28" s="13" t="s">
        <v>3239</v>
      </c>
      <c r="F28" s="13" t="s">
        <v>1072</v>
      </c>
    </row>
    <row r="29" spans="2:6" s="13" customFormat="1" x14ac:dyDescent="0.15">
      <c r="B29" s="13" t="s">
        <v>3240</v>
      </c>
      <c r="C29" s="13" t="s">
        <v>247</v>
      </c>
      <c r="E29" s="13" t="s">
        <v>3237</v>
      </c>
      <c r="F29" s="13" t="s">
        <v>1073</v>
      </c>
    </row>
    <row r="30" spans="2:6" s="13" customFormat="1" x14ac:dyDescent="0.15">
      <c r="B30" s="13" t="s">
        <v>3241</v>
      </c>
      <c r="C30" s="13" t="s">
        <v>676</v>
      </c>
      <c r="E30" s="13" t="s">
        <v>3242</v>
      </c>
      <c r="F30" s="13" t="s">
        <v>1074</v>
      </c>
    </row>
    <row r="31" spans="2:6" s="13" customFormat="1" x14ac:dyDescent="0.15">
      <c r="B31" s="13" t="s">
        <v>3243</v>
      </c>
      <c r="C31" s="13" t="s">
        <v>676</v>
      </c>
      <c r="E31" s="13" t="s">
        <v>3244</v>
      </c>
      <c r="F31" s="13" t="s">
        <v>1075</v>
      </c>
    </row>
    <row r="32" spans="2:6" s="13" customFormat="1" x14ac:dyDescent="0.15">
      <c r="B32" s="13" t="s">
        <v>3245</v>
      </c>
      <c r="C32" s="13" t="s">
        <v>247</v>
      </c>
      <c r="E32" s="13" t="s">
        <v>3246</v>
      </c>
      <c r="F32" s="13" t="s">
        <v>1076</v>
      </c>
    </row>
    <row r="33" spans="2:6" s="13" customFormat="1" x14ac:dyDescent="0.15">
      <c r="B33" s="13" t="s">
        <v>3247</v>
      </c>
      <c r="C33" s="13" t="s">
        <v>247</v>
      </c>
      <c r="E33" s="13" t="s">
        <v>3248</v>
      </c>
      <c r="F33" s="13" t="s">
        <v>1077</v>
      </c>
    </row>
    <row r="34" spans="2:6" s="13" customFormat="1" x14ac:dyDescent="0.15">
      <c r="B34" s="13" t="s">
        <v>3249</v>
      </c>
      <c r="C34" s="13" t="s">
        <v>676</v>
      </c>
      <c r="E34" s="13" t="s">
        <v>3250</v>
      </c>
      <c r="F34" s="13" t="s">
        <v>1078</v>
      </c>
    </row>
    <row r="35" spans="2:6" s="13" customFormat="1" x14ac:dyDescent="0.15">
      <c r="B35" s="13" t="s">
        <v>3251</v>
      </c>
      <c r="C35" s="13" t="s">
        <v>676</v>
      </c>
      <c r="E35" s="13" t="s">
        <v>3252</v>
      </c>
      <c r="F35" s="13" t="s">
        <v>1079</v>
      </c>
    </row>
    <row r="36" spans="2:6" s="13" customFormat="1" x14ac:dyDescent="0.15">
      <c r="B36" s="13" t="s">
        <v>3253</v>
      </c>
      <c r="C36" s="13" t="s">
        <v>676</v>
      </c>
      <c r="E36" s="13" t="s">
        <v>3254</v>
      </c>
      <c r="F36" s="13" t="s">
        <v>1080</v>
      </c>
    </row>
    <row r="37" spans="2:6" s="13" customFormat="1" x14ac:dyDescent="0.15">
      <c r="B37" s="13" t="s">
        <v>3255</v>
      </c>
      <c r="C37" s="13" t="s">
        <v>676</v>
      </c>
      <c r="E37" s="13" t="s">
        <v>3256</v>
      </c>
      <c r="F37" s="13" t="s">
        <v>1081</v>
      </c>
    </row>
    <row r="38" spans="2:6" s="13" customFormat="1" x14ac:dyDescent="0.15">
      <c r="B38" s="13" t="s">
        <v>3257</v>
      </c>
      <c r="C38" s="13" t="s">
        <v>676</v>
      </c>
      <c r="E38" s="13" t="s">
        <v>3256</v>
      </c>
      <c r="F38" s="13" t="s">
        <v>1082</v>
      </c>
    </row>
    <row r="39" spans="2:6" s="13" customFormat="1" x14ac:dyDescent="0.15">
      <c r="B39" s="13" t="s">
        <v>3258</v>
      </c>
      <c r="C39" s="13" t="s">
        <v>676</v>
      </c>
      <c r="E39" s="13" t="s">
        <v>3254</v>
      </c>
      <c r="F39" s="13" t="s">
        <v>1080</v>
      </c>
    </row>
    <row r="40" spans="2:6" s="13" customFormat="1" x14ac:dyDescent="0.15">
      <c r="B40" s="13" t="s">
        <v>3259</v>
      </c>
      <c r="C40" s="13" t="s">
        <v>676</v>
      </c>
      <c r="E40" s="13" t="s">
        <v>3252</v>
      </c>
      <c r="F40" s="13" t="s">
        <v>1079</v>
      </c>
    </row>
    <row r="41" spans="2:6" s="13" customFormat="1" x14ac:dyDescent="0.15">
      <c r="B41" s="13" t="s">
        <v>3260</v>
      </c>
      <c r="C41" s="13" t="s">
        <v>676</v>
      </c>
      <c r="E41" s="13" t="s">
        <v>3250</v>
      </c>
      <c r="F41" s="13" t="s">
        <v>1083</v>
      </c>
    </row>
    <row r="42" spans="2:6" s="13" customFormat="1" x14ac:dyDescent="0.15">
      <c r="B42" s="13" t="s">
        <v>3261</v>
      </c>
      <c r="C42" s="13" t="s">
        <v>247</v>
      </c>
      <c r="E42" s="13" t="s">
        <v>3262</v>
      </c>
      <c r="F42" s="13" t="s">
        <v>1084</v>
      </c>
    </row>
    <row r="43" spans="2:6" s="13" customFormat="1" x14ac:dyDescent="0.15">
      <c r="B43" s="13" t="s">
        <v>3263</v>
      </c>
      <c r="C43" s="13" t="s">
        <v>247</v>
      </c>
      <c r="E43" s="13" t="s">
        <v>3264</v>
      </c>
      <c r="F43" s="13" t="s">
        <v>1085</v>
      </c>
    </row>
    <row r="44" spans="2:6" s="13" customFormat="1" x14ac:dyDescent="0.15">
      <c r="B44" s="13" t="s">
        <v>3265</v>
      </c>
      <c r="C44" s="13" t="s">
        <v>676</v>
      </c>
      <c r="E44" s="13" t="s">
        <v>3244</v>
      </c>
      <c r="F44" s="13" t="s">
        <v>1086</v>
      </c>
    </row>
    <row r="45" spans="2:6" s="13" customFormat="1" x14ac:dyDescent="0.15">
      <c r="B45" s="13" t="s">
        <v>3266</v>
      </c>
      <c r="C45" s="13" t="s">
        <v>676</v>
      </c>
      <c r="E45" s="13" t="s">
        <v>3242</v>
      </c>
      <c r="F45" s="13" t="s">
        <v>1087</v>
      </c>
    </row>
    <row r="46" spans="2:6" s="13" customFormat="1" x14ac:dyDescent="0.15">
      <c r="B46" s="13" t="s">
        <v>3267</v>
      </c>
      <c r="C46" s="13" t="s">
        <v>1066</v>
      </c>
      <c r="E46" s="13" t="s">
        <v>3268</v>
      </c>
      <c r="F46" s="13" t="s">
        <v>1088</v>
      </c>
    </row>
    <row r="47" spans="2:6" s="13" customFormat="1" x14ac:dyDescent="0.15">
      <c r="B47" s="13" t="s">
        <v>3269</v>
      </c>
      <c r="C47" s="13" t="s">
        <v>747</v>
      </c>
      <c r="E47" s="13" t="s">
        <v>3270</v>
      </c>
      <c r="F47" s="13" t="s">
        <v>1089</v>
      </c>
    </row>
    <row r="48" spans="2:6" s="13" customFormat="1" x14ac:dyDescent="0.15">
      <c r="B48" s="13" t="s">
        <v>3271</v>
      </c>
      <c r="C48" s="13" t="s">
        <v>747</v>
      </c>
      <c r="E48" s="13" t="s">
        <v>3272</v>
      </c>
      <c r="F48" s="13" t="s">
        <v>1090</v>
      </c>
    </row>
    <row r="49" spans="2:6" s="13" customFormat="1" x14ac:dyDescent="0.15">
      <c r="B49" s="13" t="s">
        <v>3273</v>
      </c>
      <c r="C49" s="13" t="s">
        <v>747</v>
      </c>
      <c r="E49" s="13" t="s">
        <v>3274</v>
      </c>
      <c r="F49" s="13" t="s">
        <v>1091</v>
      </c>
    </row>
    <row r="50" spans="2:6" s="13" customFormat="1" x14ac:dyDescent="0.15">
      <c r="B50" s="13" t="s">
        <v>3275</v>
      </c>
      <c r="C50" s="13" t="s">
        <v>747</v>
      </c>
      <c r="E50" s="13" t="s">
        <v>3276</v>
      </c>
      <c r="F50" s="13" t="s">
        <v>1092</v>
      </c>
    </row>
    <row r="51" spans="2:6" s="13" customFormat="1" x14ac:dyDescent="0.15">
      <c r="B51" s="13" t="s">
        <v>3277</v>
      </c>
      <c r="C51" s="13" t="s">
        <v>247</v>
      </c>
      <c r="E51" s="13" t="s">
        <v>3278</v>
      </c>
      <c r="F51" s="13" t="s">
        <v>1093</v>
      </c>
    </row>
    <row r="52" spans="2:6" s="13" customFormat="1" x14ac:dyDescent="0.15">
      <c r="B52" s="13" t="s">
        <v>3279</v>
      </c>
      <c r="C52" s="13" t="s">
        <v>748</v>
      </c>
      <c r="E52" s="13" t="s">
        <v>3280</v>
      </c>
      <c r="F52" s="13" t="s">
        <v>1094</v>
      </c>
    </row>
    <row r="53" spans="2:6" s="13" customFormat="1" x14ac:dyDescent="0.15">
      <c r="B53" s="13" t="s">
        <v>3281</v>
      </c>
      <c r="C53" s="13" t="s">
        <v>247</v>
      </c>
      <c r="E53" s="13" t="s">
        <v>3282</v>
      </c>
      <c r="F53" s="13" t="s">
        <v>1095</v>
      </c>
    </row>
    <row r="54" spans="2:6" s="13" customFormat="1" x14ac:dyDescent="0.15">
      <c r="B54" s="13" t="s">
        <v>3283</v>
      </c>
      <c r="C54" s="13" t="s">
        <v>676</v>
      </c>
      <c r="E54" s="13" t="s">
        <v>3284</v>
      </c>
      <c r="F54" s="13" t="s">
        <v>1096</v>
      </c>
    </row>
    <row r="55" spans="2:6" s="13" customFormat="1" x14ac:dyDescent="0.15">
      <c r="B55" s="13" t="s">
        <v>3285</v>
      </c>
      <c r="C55" s="13" t="s">
        <v>676</v>
      </c>
      <c r="E55" s="13" t="s">
        <v>3286</v>
      </c>
      <c r="F55" s="13" t="s">
        <v>1097</v>
      </c>
    </row>
    <row r="56" spans="2:6" s="13" customFormat="1" x14ac:dyDescent="0.15">
      <c r="B56" s="13" t="s">
        <v>3287</v>
      </c>
      <c r="C56" s="13" t="s">
        <v>676</v>
      </c>
      <c r="E56" s="13" t="s">
        <v>3288</v>
      </c>
      <c r="F56" s="13" t="s">
        <v>1098</v>
      </c>
    </row>
    <row r="57" spans="2:6" s="13" customFormat="1" x14ac:dyDescent="0.15">
      <c r="B57" s="13" t="s">
        <v>3289</v>
      </c>
      <c r="C57" s="13" t="s">
        <v>676</v>
      </c>
      <c r="E57" s="13" t="s">
        <v>3290</v>
      </c>
      <c r="F57" s="13" t="s">
        <v>1099</v>
      </c>
    </row>
    <row r="58" spans="2:6" s="13" customFormat="1" x14ac:dyDescent="0.15">
      <c r="B58" s="13" t="s">
        <v>3291</v>
      </c>
      <c r="C58" s="13" t="s">
        <v>1066</v>
      </c>
      <c r="E58" s="13" t="s">
        <v>3292</v>
      </c>
      <c r="F58" s="13" t="s">
        <v>1100</v>
      </c>
    </row>
    <row r="59" spans="2:6" s="13" customFormat="1" x14ac:dyDescent="0.15">
      <c r="B59" s="13" t="s">
        <v>3293</v>
      </c>
      <c r="C59" s="13" t="s">
        <v>747</v>
      </c>
      <c r="E59" s="13" t="s">
        <v>3294</v>
      </c>
      <c r="F59" s="13" t="s">
        <v>1101</v>
      </c>
    </row>
    <row r="60" spans="2:6" s="13" customFormat="1" x14ac:dyDescent="0.15">
      <c r="B60" s="13" t="s">
        <v>3295</v>
      </c>
      <c r="C60" s="13" t="s">
        <v>747</v>
      </c>
      <c r="E60" s="13" t="s">
        <v>3296</v>
      </c>
      <c r="F60" s="13" t="s">
        <v>1102</v>
      </c>
    </row>
    <row r="61" spans="2:6" s="13" customFormat="1" x14ac:dyDescent="0.15">
      <c r="B61" s="13" t="s">
        <v>3297</v>
      </c>
      <c r="C61" s="13" t="s">
        <v>747</v>
      </c>
      <c r="E61" s="13" t="s">
        <v>3298</v>
      </c>
      <c r="F61" s="13" t="s">
        <v>1103</v>
      </c>
    </row>
  </sheetData>
  <phoneticPr fontId="11" type="noConversion"/>
  <pageMargins left="0.7" right="0.7" top="0.75" bottom="0.75" header="0.3" footer="0.3"/>
  <legacy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E4E1BC-5014-49A7-A3D7-BE40062C3DEF}">
  <sheetPr codeName="Sheet25">
    <tabColor theme="2"/>
  </sheetPr>
  <dimension ref="A1:M29"/>
  <sheetViews>
    <sheetView workbookViewId="0">
      <selection activeCell="A8" sqref="A8"/>
    </sheetView>
  </sheetViews>
  <sheetFormatPr defaultRowHeight="13.5" x14ac:dyDescent="0.15"/>
  <cols>
    <col min="1" max="1" width="20" bestFit="1" customWidth="1"/>
    <col min="2" max="2" width="21.125" bestFit="1" customWidth="1"/>
    <col min="3" max="3" width="34.5" customWidth="1"/>
    <col min="5" max="5" width="30.875" bestFit="1" customWidth="1"/>
    <col min="6" max="6" width="34.5" bestFit="1" customWidth="1"/>
    <col min="7" max="7" width="38.25" customWidth="1"/>
    <col min="8" max="8" width="30.875" bestFit="1" customWidth="1"/>
    <col min="9" max="9" width="63.75" customWidth="1"/>
    <col min="10" max="10" width="131.5" bestFit="1" customWidth="1"/>
    <col min="11" max="11" width="95.375" customWidth="1"/>
  </cols>
  <sheetData>
    <row r="1" spans="1:13" x14ac:dyDescent="0.15">
      <c r="A1" s="18" t="s">
        <v>699</v>
      </c>
      <c r="B1" t="s">
        <v>774</v>
      </c>
    </row>
    <row r="2" spans="1:13" ht="16.5" x14ac:dyDescent="0.15">
      <c r="A2" s="17" t="s">
        <v>70</v>
      </c>
      <c r="B2" s="16" t="s">
        <v>123</v>
      </c>
      <c r="C2" s="16" t="s">
        <v>698</v>
      </c>
      <c r="D2" s="16" t="s">
        <v>71</v>
      </c>
      <c r="E2" s="16" t="s">
        <v>697</v>
      </c>
      <c r="F2" s="16" t="s">
        <v>696</v>
      </c>
      <c r="G2" s="16" t="s">
        <v>695</v>
      </c>
      <c r="H2" s="16" t="s">
        <v>694</v>
      </c>
      <c r="I2" s="16" t="s">
        <v>693</v>
      </c>
      <c r="J2" s="16" t="s">
        <v>779</v>
      </c>
      <c r="K2" s="16" t="s">
        <v>692</v>
      </c>
      <c r="L2" s="16" t="s">
        <v>691</v>
      </c>
      <c r="M2" s="34" t="s">
        <v>690</v>
      </c>
    </row>
    <row r="3" spans="1:13" ht="16.5" x14ac:dyDescent="0.15">
      <c r="A3" s="17"/>
      <c r="B3" s="15" t="s">
        <v>72</v>
      </c>
      <c r="C3" s="15" t="s">
        <v>74</v>
      </c>
      <c r="D3" s="15" t="s">
        <v>73</v>
      </c>
      <c r="E3" s="15" t="s">
        <v>72</v>
      </c>
      <c r="F3" s="15" t="s">
        <v>74</v>
      </c>
      <c r="G3" s="15" t="s">
        <v>74</v>
      </c>
      <c r="H3" s="15" t="s">
        <v>74</v>
      </c>
      <c r="I3" s="15" t="s">
        <v>72</v>
      </c>
      <c r="J3" s="15" t="s">
        <v>72</v>
      </c>
      <c r="K3" s="15" t="s">
        <v>72</v>
      </c>
      <c r="L3" s="15" t="s">
        <v>72</v>
      </c>
      <c r="M3" s="33" t="s">
        <v>72</v>
      </c>
    </row>
    <row r="4" spans="1:13" ht="16.5" x14ac:dyDescent="0.15">
      <c r="A4" s="17"/>
      <c r="B4" s="14" t="s">
        <v>75</v>
      </c>
      <c r="C4" s="14" t="s">
        <v>75</v>
      </c>
      <c r="D4" s="14" t="s">
        <v>73</v>
      </c>
      <c r="E4" s="14" t="s">
        <v>75</v>
      </c>
      <c r="F4" s="14" t="s">
        <v>75</v>
      </c>
      <c r="G4" s="14" t="s">
        <v>76</v>
      </c>
      <c r="H4" s="14" t="s">
        <v>75</v>
      </c>
      <c r="I4" s="14" t="s">
        <v>238</v>
      </c>
      <c r="J4" s="14" t="s">
        <v>238</v>
      </c>
      <c r="K4" s="14" t="s">
        <v>238</v>
      </c>
      <c r="L4" s="14" t="s">
        <v>80</v>
      </c>
      <c r="M4" s="32" t="s">
        <v>238</v>
      </c>
    </row>
    <row r="5" spans="1:13" ht="16.5" x14ac:dyDescent="0.15">
      <c r="A5" s="17"/>
      <c r="B5" s="15" t="s">
        <v>81</v>
      </c>
      <c r="C5" s="15" t="s">
        <v>689</v>
      </c>
      <c r="D5" s="15" t="s">
        <v>73</v>
      </c>
      <c r="E5" s="15" t="s">
        <v>82</v>
      </c>
      <c r="F5" s="15" t="s">
        <v>530</v>
      </c>
      <c r="G5" s="15" t="s">
        <v>688</v>
      </c>
      <c r="H5" s="15" t="s">
        <v>535</v>
      </c>
      <c r="I5" s="15" t="s">
        <v>687</v>
      </c>
      <c r="J5" s="15" t="s">
        <v>780</v>
      </c>
      <c r="K5" s="15" t="s">
        <v>686</v>
      </c>
      <c r="L5" s="15" t="s">
        <v>685</v>
      </c>
      <c r="M5" s="33" t="s">
        <v>684</v>
      </c>
    </row>
    <row r="6" spans="1:13" ht="16.5" x14ac:dyDescent="0.15">
      <c r="A6" s="17"/>
      <c r="B6" s="14" t="s">
        <v>77</v>
      </c>
      <c r="C6" s="14" t="s">
        <v>78</v>
      </c>
      <c r="D6" s="14"/>
      <c r="E6" s="14" t="s">
        <v>995</v>
      </c>
      <c r="F6" s="14" t="s">
        <v>499</v>
      </c>
      <c r="G6" s="14"/>
      <c r="H6" s="14"/>
      <c r="I6" s="14" t="s">
        <v>683</v>
      </c>
      <c r="J6" s="14" t="s">
        <v>781</v>
      </c>
      <c r="K6" s="14" t="s">
        <v>682</v>
      </c>
      <c r="L6" s="14"/>
      <c r="M6" s="32" t="s">
        <v>681</v>
      </c>
    </row>
    <row r="7" spans="1:13" s="11" customFormat="1" x14ac:dyDescent="0.15">
      <c r="B7" s="11" t="s">
        <v>1478</v>
      </c>
      <c r="C7" s="11" t="s">
        <v>1171</v>
      </c>
      <c r="D7" s="11" t="s">
        <v>680</v>
      </c>
      <c r="E7" s="11" t="s">
        <v>396</v>
      </c>
      <c r="F7" s="11" t="s">
        <v>1313</v>
      </c>
      <c r="G7" s="11">
        <v>960</v>
      </c>
      <c r="H7" s="11" t="s">
        <v>3300</v>
      </c>
      <c r="I7" s="11" t="s">
        <v>782</v>
      </c>
      <c r="J7" s="11" t="s">
        <v>1479</v>
      </c>
      <c r="K7" s="11" t="s">
        <v>5237</v>
      </c>
    </row>
    <row r="8" spans="1:13" s="11" customFormat="1" x14ac:dyDescent="0.15">
      <c r="B8" s="11" t="s">
        <v>1480</v>
      </c>
      <c r="C8" s="11" t="s">
        <v>1172</v>
      </c>
      <c r="D8" s="11" t="s">
        <v>680</v>
      </c>
      <c r="E8" s="11" t="s">
        <v>491</v>
      </c>
      <c r="F8" s="11" t="s">
        <v>1314</v>
      </c>
      <c r="G8" s="11">
        <v>960</v>
      </c>
      <c r="H8" s="11" t="s">
        <v>3301</v>
      </c>
      <c r="I8" s="11" t="s">
        <v>444</v>
      </c>
      <c r="J8" s="11" t="s">
        <v>1481</v>
      </c>
      <c r="K8" s="11" t="s">
        <v>1482</v>
      </c>
    </row>
    <row r="9" spans="1:13" s="11" customFormat="1" x14ac:dyDescent="0.15"/>
    <row r="10" spans="1:13" s="11" customFormat="1" x14ac:dyDescent="0.15"/>
    <row r="11" spans="1:13" s="11" customFormat="1" x14ac:dyDescent="0.15"/>
    <row r="12" spans="1:13" s="11" customFormat="1" x14ac:dyDescent="0.15"/>
    <row r="13" spans="1:13" s="11" customFormat="1" x14ac:dyDescent="0.15"/>
    <row r="14" spans="1:13" s="11" customFormat="1" x14ac:dyDescent="0.15"/>
    <row r="15" spans="1:13" s="11" customFormat="1" x14ac:dyDescent="0.15"/>
    <row r="16" spans="1:13" s="11" customFormat="1" x14ac:dyDescent="0.15"/>
    <row r="17" s="11" customFormat="1" x14ac:dyDescent="0.15"/>
    <row r="18" s="11" customFormat="1" x14ac:dyDescent="0.15"/>
    <row r="19" s="11" customFormat="1" x14ac:dyDescent="0.15"/>
    <row r="20" s="11" customFormat="1" x14ac:dyDescent="0.15"/>
    <row r="21" s="11" customFormat="1" x14ac:dyDescent="0.15"/>
    <row r="22" s="11" customFormat="1" x14ac:dyDescent="0.15"/>
    <row r="23" s="11" customFormat="1" x14ac:dyDescent="0.15"/>
    <row r="24" s="11" customFormat="1" x14ac:dyDescent="0.15"/>
    <row r="25" s="11" customFormat="1" x14ac:dyDescent="0.15"/>
    <row r="26" s="11" customFormat="1" x14ac:dyDescent="0.15"/>
    <row r="27" s="11" customFormat="1" x14ac:dyDescent="0.15"/>
    <row r="28" s="11" customFormat="1" x14ac:dyDescent="0.15"/>
    <row r="29" s="11" customFormat="1" x14ac:dyDescent="0.15"/>
  </sheetData>
  <phoneticPr fontId="11" type="noConversion"/>
  <pageMargins left="0.7" right="0.7" top="0.75" bottom="0.75" header="0.3" footer="0.3"/>
  <legacy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0A4997-88AD-4E15-B3E7-331A40D628B0}">
  <sheetPr codeName="Sheet26">
    <tabColor theme="2"/>
  </sheetPr>
  <dimension ref="A1:N67"/>
  <sheetViews>
    <sheetView workbookViewId="0">
      <pane xSplit="2" ySplit="6" topLeftCell="C7" activePane="bottomRight" state="frozen"/>
      <selection pane="topRight" activeCell="C1" sqref="C1"/>
      <selection pane="bottomLeft" activeCell="A7" sqref="A7"/>
      <selection pane="bottomRight" activeCell="H7" sqref="H7"/>
    </sheetView>
  </sheetViews>
  <sheetFormatPr defaultRowHeight="13.5" x14ac:dyDescent="0.15"/>
  <cols>
    <col min="2" max="2" width="16.375" bestFit="1" customWidth="1"/>
    <col min="3" max="3" width="38.125" bestFit="1" customWidth="1"/>
    <col min="4" max="4" width="28.25" bestFit="1" customWidth="1"/>
    <col min="5" max="5" width="29.75" bestFit="1" customWidth="1"/>
    <col min="6" max="6" width="14.125" bestFit="1" customWidth="1"/>
    <col min="7" max="7" width="16.375" bestFit="1" customWidth="1"/>
    <col min="8" max="8" width="92.625" bestFit="1" customWidth="1"/>
    <col min="9" max="9" width="33.25" bestFit="1" customWidth="1"/>
    <col min="10" max="10" width="11.5" bestFit="1" customWidth="1"/>
    <col min="11" max="12" width="15.125" bestFit="1" customWidth="1"/>
    <col min="13" max="13" width="35.75" bestFit="1" customWidth="1"/>
    <col min="14" max="14" width="13.875" bestFit="1" customWidth="1"/>
  </cols>
  <sheetData>
    <row r="1" spans="1:14" x14ac:dyDescent="0.15">
      <c r="A1" t="s">
        <v>806</v>
      </c>
      <c r="B1" t="s">
        <v>805</v>
      </c>
      <c r="D1" t="s">
        <v>1034</v>
      </c>
    </row>
    <row r="2" spans="1:14" x14ac:dyDescent="0.15">
      <c r="A2" s="17" t="s">
        <v>70</v>
      </c>
      <c r="B2" s="16" t="s">
        <v>671</v>
      </c>
      <c r="C2" s="16" t="s">
        <v>783</v>
      </c>
      <c r="D2" s="16" t="s">
        <v>620</v>
      </c>
      <c r="E2" s="16" t="s">
        <v>619</v>
      </c>
      <c r="F2" s="16" t="s">
        <v>800</v>
      </c>
      <c r="G2" s="16" t="s">
        <v>801</v>
      </c>
      <c r="H2" s="16" t="s">
        <v>784</v>
      </c>
      <c r="I2" s="16" t="s">
        <v>624</v>
      </c>
      <c r="J2" s="16" t="s">
        <v>623</v>
      </c>
      <c r="K2" s="16" t="s">
        <v>622</v>
      </c>
      <c r="L2" s="16" t="s">
        <v>621</v>
      </c>
      <c r="M2" s="16" t="s">
        <v>584</v>
      </c>
      <c r="N2" s="59" t="s">
        <v>571</v>
      </c>
    </row>
    <row r="3" spans="1:14" x14ac:dyDescent="0.15">
      <c r="A3" s="17"/>
      <c r="B3" s="15" t="s">
        <v>72</v>
      </c>
      <c r="C3" s="15" t="s">
        <v>95</v>
      </c>
      <c r="D3" s="15" t="s">
        <v>72</v>
      </c>
      <c r="E3" s="15" t="s">
        <v>72</v>
      </c>
      <c r="F3" s="15" t="s">
        <v>72</v>
      </c>
      <c r="G3" s="15" t="s">
        <v>72</v>
      </c>
      <c r="H3" s="15" t="s">
        <v>72</v>
      </c>
      <c r="I3" s="15" t="s">
        <v>72</v>
      </c>
      <c r="J3" s="15" t="s">
        <v>72</v>
      </c>
      <c r="K3" s="15" t="s">
        <v>72</v>
      </c>
      <c r="L3" s="15" t="s">
        <v>72</v>
      </c>
      <c r="M3" s="15" t="s">
        <v>72</v>
      </c>
      <c r="N3" s="56" t="s">
        <v>72</v>
      </c>
    </row>
    <row r="4" spans="1:14" x14ac:dyDescent="0.15">
      <c r="A4" s="17"/>
      <c r="B4" s="14" t="s">
        <v>75</v>
      </c>
      <c r="C4" s="14" t="s">
        <v>75</v>
      </c>
      <c r="D4" s="14" t="s">
        <v>75</v>
      </c>
      <c r="E4" s="14" t="s">
        <v>75</v>
      </c>
      <c r="F4" s="14" t="s">
        <v>238</v>
      </c>
      <c r="G4" s="14" t="s">
        <v>741</v>
      </c>
      <c r="H4" s="14" t="s">
        <v>741</v>
      </c>
      <c r="I4" s="14" t="s">
        <v>75</v>
      </c>
      <c r="J4" s="14" t="s">
        <v>76</v>
      </c>
      <c r="K4" s="14" t="s">
        <v>238</v>
      </c>
      <c r="L4" s="14" t="s">
        <v>238</v>
      </c>
      <c r="M4" s="14" t="s">
        <v>238</v>
      </c>
      <c r="N4" s="14" t="s">
        <v>80</v>
      </c>
    </row>
    <row r="5" spans="1:14" x14ac:dyDescent="0.15">
      <c r="A5" s="17"/>
      <c r="B5" s="15" t="s">
        <v>790</v>
      </c>
      <c r="C5" s="15" t="s">
        <v>791</v>
      </c>
      <c r="D5" s="15" t="s">
        <v>82</v>
      </c>
      <c r="E5" s="15" t="s">
        <v>556</v>
      </c>
      <c r="F5" s="15" t="s">
        <v>802</v>
      </c>
      <c r="G5" s="15" t="s">
        <v>803</v>
      </c>
      <c r="H5" s="15" t="s">
        <v>793</v>
      </c>
      <c r="I5" s="15" t="s">
        <v>560</v>
      </c>
      <c r="J5" s="15" t="s">
        <v>559</v>
      </c>
      <c r="K5" s="15" t="s">
        <v>558</v>
      </c>
      <c r="L5" s="15" t="s">
        <v>557</v>
      </c>
      <c r="M5" s="15" t="s">
        <v>522</v>
      </c>
      <c r="N5" s="56" t="s">
        <v>507</v>
      </c>
    </row>
    <row r="6" spans="1:14" x14ac:dyDescent="0.15">
      <c r="A6" s="17"/>
      <c r="B6" s="14" t="s">
        <v>77</v>
      </c>
      <c r="C6" s="14"/>
      <c r="D6" s="14" t="s">
        <v>798</v>
      </c>
      <c r="E6" s="14" t="s">
        <v>804</v>
      </c>
      <c r="F6" s="14"/>
      <c r="G6" s="14"/>
      <c r="H6" s="14"/>
      <c r="I6" s="14" t="s">
        <v>504</v>
      </c>
      <c r="J6" s="14"/>
      <c r="K6" s="14"/>
      <c r="L6" s="14"/>
      <c r="M6" s="14" t="s">
        <v>497</v>
      </c>
      <c r="N6" s="51"/>
    </row>
    <row r="7" spans="1:14" s="11" customFormat="1" x14ac:dyDescent="0.15">
      <c r="B7" s="11" t="s">
        <v>1483</v>
      </c>
      <c r="C7" s="157" t="s">
        <v>1241</v>
      </c>
      <c r="D7" s="11" t="s">
        <v>396</v>
      </c>
      <c r="E7" s="11" t="s">
        <v>396</v>
      </c>
      <c r="F7" s="11" t="s">
        <v>1484</v>
      </c>
      <c r="H7" s="13" t="s">
        <v>3169</v>
      </c>
      <c r="I7" s="11" t="s">
        <v>1478</v>
      </c>
      <c r="J7" s="11">
        <v>1</v>
      </c>
      <c r="K7" s="11" t="s">
        <v>444</v>
      </c>
      <c r="L7" s="11" t="s">
        <v>1485</v>
      </c>
      <c r="M7" s="11" t="s">
        <v>4409</v>
      </c>
    </row>
    <row r="8" spans="1:14" s="11" customFormat="1" x14ac:dyDescent="0.15">
      <c r="B8" s="11" t="s">
        <v>1487</v>
      </c>
      <c r="C8" s="157" t="s">
        <v>1242</v>
      </c>
      <c r="D8" s="11" t="s">
        <v>396</v>
      </c>
      <c r="E8" s="11" t="s">
        <v>396</v>
      </c>
      <c r="F8" s="11" t="s">
        <v>1488</v>
      </c>
      <c r="H8" s="13" t="s">
        <v>3169</v>
      </c>
      <c r="I8" s="11" t="s">
        <v>1478</v>
      </c>
      <c r="J8" s="11">
        <v>1</v>
      </c>
      <c r="K8" s="11" t="s">
        <v>1489</v>
      </c>
      <c r="L8" s="11" t="s">
        <v>1490</v>
      </c>
      <c r="M8" s="11" t="s">
        <v>235</v>
      </c>
    </row>
    <row r="9" spans="1:14" s="11" customFormat="1" x14ac:dyDescent="0.15">
      <c r="B9" s="11" t="s">
        <v>1491</v>
      </c>
      <c r="C9" s="157" t="s">
        <v>1243</v>
      </c>
      <c r="D9" s="11" t="s">
        <v>396</v>
      </c>
      <c r="E9" s="11" t="s">
        <v>396</v>
      </c>
      <c r="F9" s="11" t="s">
        <v>1492</v>
      </c>
      <c r="H9" s="13" t="s">
        <v>3169</v>
      </c>
      <c r="I9" s="11" t="s">
        <v>1478</v>
      </c>
      <c r="J9" s="11">
        <v>1</v>
      </c>
      <c r="K9" s="11" t="s">
        <v>1485</v>
      </c>
      <c r="L9" s="11" t="s">
        <v>1493</v>
      </c>
      <c r="M9" s="11" t="s">
        <v>1501</v>
      </c>
    </row>
    <row r="10" spans="1:14" s="11" customFormat="1" x14ac:dyDescent="0.15">
      <c r="B10" s="11" t="s">
        <v>1495</v>
      </c>
      <c r="C10" s="157" t="s">
        <v>1244</v>
      </c>
      <c r="D10" s="11" t="s">
        <v>396</v>
      </c>
      <c r="E10" s="11" t="s">
        <v>396</v>
      </c>
      <c r="F10" s="11" t="s">
        <v>1496</v>
      </c>
      <c r="H10" s="13" t="s">
        <v>3169</v>
      </c>
      <c r="I10" s="11" t="s">
        <v>1478</v>
      </c>
      <c r="J10" s="11">
        <v>1</v>
      </c>
      <c r="K10" s="11" t="s">
        <v>1490</v>
      </c>
      <c r="L10" s="11" t="s">
        <v>1497</v>
      </c>
      <c r="M10" s="11" t="s">
        <v>444</v>
      </c>
    </row>
    <row r="11" spans="1:14" s="11" customFormat="1" x14ac:dyDescent="0.15">
      <c r="B11" s="11" t="s">
        <v>1498</v>
      </c>
      <c r="C11" s="157" t="s">
        <v>1245</v>
      </c>
      <c r="D11" s="11" t="s">
        <v>396</v>
      </c>
      <c r="E11" s="11" t="s">
        <v>396</v>
      </c>
      <c r="F11" s="11" t="s">
        <v>1499</v>
      </c>
      <c r="H11" s="13" t="s">
        <v>3169</v>
      </c>
      <c r="I11" s="11" t="s">
        <v>1478</v>
      </c>
      <c r="J11" s="11">
        <v>1</v>
      </c>
      <c r="K11" s="11" t="s">
        <v>1493</v>
      </c>
      <c r="L11" s="11" t="s">
        <v>1500</v>
      </c>
      <c r="M11" s="11" t="s">
        <v>444</v>
      </c>
    </row>
    <row r="12" spans="1:14" s="11" customFormat="1" x14ac:dyDescent="0.15">
      <c r="B12" s="11" t="s">
        <v>1502</v>
      </c>
      <c r="C12" s="157" t="s">
        <v>1246</v>
      </c>
      <c r="D12" s="11" t="s">
        <v>396</v>
      </c>
      <c r="E12" s="11" t="s">
        <v>396</v>
      </c>
      <c r="F12" s="11" t="s">
        <v>1503</v>
      </c>
      <c r="H12" s="13" t="s">
        <v>3169</v>
      </c>
      <c r="I12" s="11" t="s">
        <v>1478</v>
      </c>
      <c r="J12" s="11">
        <v>1</v>
      </c>
      <c r="K12" s="11" t="s">
        <v>1497</v>
      </c>
      <c r="L12" s="11" t="s">
        <v>1504</v>
      </c>
      <c r="M12" s="11" t="s">
        <v>1508</v>
      </c>
    </row>
    <row r="13" spans="1:14" s="11" customFormat="1" x14ac:dyDescent="0.15">
      <c r="B13" s="11" t="s">
        <v>1505</v>
      </c>
      <c r="C13" s="157" t="s">
        <v>1247</v>
      </c>
      <c r="D13" s="11" t="s">
        <v>396</v>
      </c>
      <c r="E13" s="11" t="s">
        <v>396</v>
      </c>
      <c r="F13" s="11" t="s">
        <v>1506</v>
      </c>
      <c r="H13" s="13" t="s">
        <v>3169</v>
      </c>
      <c r="I13" s="11" t="s">
        <v>1478</v>
      </c>
      <c r="J13" s="11">
        <v>1</v>
      </c>
      <c r="K13" s="11" t="s">
        <v>1500</v>
      </c>
      <c r="L13" s="11" t="s">
        <v>1507</v>
      </c>
      <c r="M13" s="11" t="s">
        <v>444</v>
      </c>
    </row>
    <row r="14" spans="1:14" s="11" customFormat="1" x14ac:dyDescent="0.15">
      <c r="B14" s="11" t="s">
        <v>1509</v>
      </c>
      <c r="C14" s="157" t="s">
        <v>1248</v>
      </c>
      <c r="D14" s="11" t="s">
        <v>396</v>
      </c>
      <c r="E14" s="11" t="s">
        <v>396</v>
      </c>
      <c r="F14" s="11" t="s">
        <v>1510</v>
      </c>
      <c r="H14" s="13" t="s">
        <v>3169</v>
      </c>
      <c r="I14" s="11" t="s">
        <v>1478</v>
      </c>
      <c r="J14" s="11">
        <v>1</v>
      </c>
      <c r="K14" s="11" t="s">
        <v>1504</v>
      </c>
      <c r="L14" s="11" t="s">
        <v>444</v>
      </c>
      <c r="M14" s="11" t="s">
        <v>4411</v>
      </c>
    </row>
    <row r="15" spans="1:14" s="11" customFormat="1" x14ac:dyDescent="0.15">
      <c r="B15" s="11" t="s">
        <v>1511</v>
      </c>
      <c r="C15" s="157" t="s">
        <v>1249</v>
      </c>
      <c r="D15" s="11" t="s">
        <v>837</v>
      </c>
      <c r="E15" s="11" t="s">
        <v>396</v>
      </c>
      <c r="F15" s="11" t="s">
        <v>1512</v>
      </c>
      <c r="H15" s="13" t="s">
        <v>3129</v>
      </c>
      <c r="I15" s="11" t="s">
        <v>1480</v>
      </c>
      <c r="J15" s="11">
        <v>1</v>
      </c>
      <c r="K15" s="11" t="s">
        <v>444</v>
      </c>
      <c r="L15" s="11" t="s">
        <v>1513</v>
      </c>
      <c r="M15" s="11" t="s">
        <v>1514</v>
      </c>
    </row>
    <row r="16" spans="1:14" s="11" customFormat="1" x14ac:dyDescent="0.15">
      <c r="B16" s="11" t="s">
        <v>1515</v>
      </c>
      <c r="C16" s="157" t="s">
        <v>1250</v>
      </c>
      <c r="D16" s="11" t="s">
        <v>491</v>
      </c>
      <c r="E16" s="11" t="s">
        <v>396</v>
      </c>
      <c r="F16" s="11" t="s">
        <v>1516</v>
      </c>
      <c r="H16" s="13" t="s">
        <v>3129</v>
      </c>
      <c r="I16" s="11" t="s">
        <v>1480</v>
      </c>
      <c r="J16" s="11">
        <v>1</v>
      </c>
      <c r="K16" s="11" t="s">
        <v>1517</v>
      </c>
      <c r="L16" s="11" t="s">
        <v>1518</v>
      </c>
      <c r="M16" s="11" t="s">
        <v>235</v>
      </c>
    </row>
    <row r="17" spans="2:13" s="11" customFormat="1" x14ac:dyDescent="0.15">
      <c r="B17" s="11" t="s">
        <v>1519</v>
      </c>
      <c r="C17" s="157" t="s">
        <v>1251</v>
      </c>
      <c r="D17" s="11" t="s">
        <v>837</v>
      </c>
      <c r="E17" s="11" t="s">
        <v>396</v>
      </c>
      <c r="F17" s="11" t="s">
        <v>1520</v>
      </c>
      <c r="H17" s="13" t="s">
        <v>3129</v>
      </c>
      <c r="I17" s="11" t="s">
        <v>1480</v>
      </c>
      <c r="J17" s="11">
        <v>1</v>
      </c>
      <c r="K17" s="11" t="s">
        <v>1513</v>
      </c>
      <c r="L17" s="11" t="s">
        <v>1521</v>
      </c>
      <c r="M17" s="11" t="s">
        <v>1522</v>
      </c>
    </row>
    <row r="18" spans="2:13" s="11" customFormat="1" x14ac:dyDescent="0.15">
      <c r="B18" s="11" t="s">
        <v>1523</v>
      </c>
      <c r="C18" s="157" t="s">
        <v>1252</v>
      </c>
      <c r="D18" s="11" t="s">
        <v>491</v>
      </c>
      <c r="E18" s="11" t="s">
        <v>396</v>
      </c>
      <c r="F18" s="11" t="s">
        <v>1524</v>
      </c>
      <c r="H18" s="13" t="s">
        <v>3129</v>
      </c>
      <c r="I18" s="11" t="s">
        <v>1480</v>
      </c>
      <c r="J18" s="11">
        <v>1</v>
      </c>
      <c r="K18" s="11" t="s">
        <v>1518</v>
      </c>
      <c r="L18" s="11" t="s">
        <v>1525</v>
      </c>
      <c r="M18" s="11" t="s">
        <v>235</v>
      </c>
    </row>
    <row r="19" spans="2:13" s="11" customFormat="1" x14ac:dyDescent="0.15">
      <c r="B19" s="11" t="s">
        <v>1526</v>
      </c>
      <c r="C19" s="157" t="s">
        <v>1253</v>
      </c>
      <c r="D19" s="11" t="s">
        <v>491</v>
      </c>
      <c r="E19" s="11" t="s">
        <v>396</v>
      </c>
      <c r="F19" s="11" t="s">
        <v>1527</v>
      </c>
      <c r="H19" s="13" t="s">
        <v>3129</v>
      </c>
      <c r="I19" s="11" t="s">
        <v>1480</v>
      </c>
      <c r="J19" s="11">
        <v>1</v>
      </c>
      <c r="K19" s="11" t="s">
        <v>1521</v>
      </c>
      <c r="L19" s="11" t="s">
        <v>1528</v>
      </c>
      <c r="M19" s="11" t="s">
        <v>235</v>
      </c>
    </row>
    <row r="20" spans="2:13" s="11" customFormat="1" x14ac:dyDescent="0.15">
      <c r="B20" s="11" t="s">
        <v>1530</v>
      </c>
      <c r="C20" s="157" t="s">
        <v>1254</v>
      </c>
      <c r="D20" s="11" t="s">
        <v>491</v>
      </c>
      <c r="E20" s="11" t="s">
        <v>396</v>
      </c>
      <c r="F20" s="11" t="s">
        <v>1531</v>
      </c>
      <c r="H20" s="13" t="s">
        <v>3129</v>
      </c>
      <c r="I20" s="11" t="s">
        <v>1480</v>
      </c>
      <c r="J20" s="11">
        <v>1</v>
      </c>
      <c r="K20" s="11" t="s">
        <v>1525</v>
      </c>
      <c r="L20" s="11" t="s">
        <v>1532</v>
      </c>
      <c r="M20" s="11" t="s">
        <v>1529</v>
      </c>
    </row>
    <row r="21" spans="2:13" s="11" customFormat="1" x14ac:dyDescent="0.15">
      <c r="B21" s="11" t="s">
        <v>1533</v>
      </c>
      <c r="C21" s="157" t="s">
        <v>1255</v>
      </c>
      <c r="D21" s="11" t="s">
        <v>491</v>
      </c>
      <c r="E21" s="11" t="s">
        <v>396</v>
      </c>
      <c r="F21" s="11" t="s">
        <v>1534</v>
      </c>
      <c r="H21" s="13" t="s">
        <v>3129</v>
      </c>
      <c r="I21" s="11" t="s">
        <v>1480</v>
      </c>
      <c r="J21" s="11">
        <v>1</v>
      </c>
      <c r="K21" s="11" t="s">
        <v>1528</v>
      </c>
      <c r="L21" s="11" t="s">
        <v>1535</v>
      </c>
      <c r="M21" s="11" t="s">
        <v>235</v>
      </c>
    </row>
    <row r="22" spans="2:13" s="11" customFormat="1" x14ac:dyDescent="0.15">
      <c r="B22" s="11" t="s">
        <v>1537</v>
      </c>
      <c r="C22" s="157" t="s">
        <v>1256</v>
      </c>
      <c r="D22" s="11" t="s">
        <v>491</v>
      </c>
      <c r="E22" s="11" t="s">
        <v>396</v>
      </c>
      <c r="F22" s="11" t="s">
        <v>1538</v>
      </c>
      <c r="H22" s="13" t="s">
        <v>3129</v>
      </c>
      <c r="I22" s="11" t="s">
        <v>1480</v>
      </c>
      <c r="J22" s="11">
        <v>1</v>
      </c>
      <c r="K22" s="11" t="s">
        <v>1532</v>
      </c>
      <c r="L22" s="11" t="s">
        <v>1539</v>
      </c>
      <c r="M22" s="11" t="s">
        <v>1536</v>
      </c>
    </row>
    <row r="23" spans="2:13" s="11" customFormat="1" x14ac:dyDescent="0.15">
      <c r="B23" s="11" t="s">
        <v>1540</v>
      </c>
      <c r="C23" s="11" t="s">
        <v>1273</v>
      </c>
      <c r="D23" s="11" t="s">
        <v>1003</v>
      </c>
      <c r="E23" s="11" t="s">
        <v>396</v>
      </c>
      <c r="F23" s="11" t="s">
        <v>1541</v>
      </c>
      <c r="H23" s="13" t="s">
        <v>3129</v>
      </c>
      <c r="I23" s="11" t="s">
        <v>1480</v>
      </c>
      <c r="J23" s="11">
        <v>1</v>
      </c>
      <c r="K23" s="11" t="s">
        <v>1535</v>
      </c>
      <c r="L23" s="11" t="s">
        <v>1542</v>
      </c>
      <c r="M23" s="11" t="s">
        <v>235</v>
      </c>
    </row>
    <row r="24" spans="2:13" s="11" customFormat="1" x14ac:dyDescent="0.15">
      <c r="B24" s="11" t="s">
        <v>1543</v>
      </c>
      <c r="C24" s="11" t="s">
        <v>1274</v>
      </c>
      <c r="D24" s="11" t="s">
        <v>1003</v>
      </c>
      <c r="E24" s="11" t="s">
        <v>396</v>
      </c>
      <c r="F24" s="11" t="s">
        <v>1544</v>
      </c>
      <c r="H24" s="13" t="s">
        <v>3129</v>
      </c>
      <c r="I24" s="11" t="s">
        <v>1480</v>
      </c>
      <c r="J24" s="11">
        <v>1</v>
      </c>
      <c r="K24" s="11" t="s">
        <v>1539</v>
      </c>
      <c r="L24" s="11" t="s">
        <v>1545</v>
      </c>
      <c r="M24" s="11" t="s">
        <v>235</v>
      </c>
    </row>
    <row r="25" spans="2:13" s="11" customFormat="1" x14ac:dyDescent="0.15">
      <c r="B25" s="11" t="s">
        <v>1546</v>
      </c>
      <c r="C25" s="11" t="s">
        <v>1275</v>
      </c>
      <c r="D25" s="11" t="s">
        <v>1003</v>
      </c>
      <c r="E25" s="11" t="s">
        <v>396</v>
      </c>
      <c r="F25" s="11" t="s">
        <v>1547</v>
      </c>
      <c r="H25" s="13" t="s">
        <v>3129</v>
      </c>
      <c r="I25" s="11" t="s">
        <v>1480</v>
      </c>
      <c r="J25" s="11">
        <v>1</v>
      </c>
      <c r="K25" s="11" t="s">
        <v>1542</v>
      </c>
      <c r="L25" s="11" t="s">
        <v>235</v>
      </c>
      <c r="M25" s="11" t="s">
        <v>235</v>
      </c>
    </row>
    <row r="26" spans="2:13" s="11" customFormat="1" x14ac:dyDescent="0.15"/>
    <row r="27" spans="2:13" s="11" customFormat="1" x14ac:dyDescent="0.15"/>
    <row r="28" spans="2:13" s="11" customFormat="1" x14ac:dyDescent="0.15"/>
    <row r="29" spans="2:13" s="11" customFormat="1" x14ac:dyDescent="0.15"/>
    <row r="30" spans="2:13" s="11" customFormat="1" x14ac:dyDescent="0.15"/>
    <row r="31" spans="2:13" s="11" customFormat="1" x14ac:dyDescent="0.15"/>
    <row r="32" spans="2:13" s="11" customFormat="1" x14ac:dyDescent="0.15"/>
    <row r="33" s="11" customFormat="1" x14ac:dyDescent="0.15"/>
    <row r="34" s="11" customFormat="1" x14ac:dyDescent="0.15"/>
    <row r="35" s="11" customFormat="1" x14ac:dyDescent="0.15"/>
    <row r="36" s="11" customFormat="1" x14ac:dyDescent="0.15"/>
    <row r="37" s="11" customFormat="1" x14ac:dyDescent="0.15"/>
    <row r="38" s="11" customFormat="1" x14ac:dyDescent="0.15"/>
    <row r="39" s="11" customFormat="1" x14ac:dyDescent="0.15"/>
    <row r="40" s="11" customFormat="1" x14ac:dyDescent="0.15"/>
    <row r="41" s="11" customFormat="1" x14ac:dyDescent="0.15"/>
    <row r="42" s="11" customFormat="1" x14ac:dyDescent="0.15"/>
    <row r="43" s="11" customFormat="1" x14ac:dyDescent="0.15"/>
    <row r="44" s="11" customFormat="1" x14ac:dyDescent="0.15"/>
    <row r="45" s="11" customFormat="1" x14ac:dyDescent="0.15"/>
    <row r="46" s="11" customFormat="1" x14ac:dyDescent="0.15"/>
    <row r="47" s="11" customFormat="1" x14ac:dyDescent="0.15"/>
    <row r="48" s="11" customFormat="1" x14ac:dyDescent="0.15"/>
    <row r="49" s="11" customFormat="1" x14ac:dyDescent="0.15"/>
    <row r="50" s="11" customFormat="1" x14ac:dyDescent="0.15"/>
    <row r="51" s="11" customFormat="1" x14ac:dyDescent="0.15"/>
    <row r="52" s="11" customFormat="1" x14ac:dyDescent="0.15"/>
    <row r="53" s="11" customFormat="1" x14ac:dyDescent="0.15"/>
    <row r="54" s="11" customFormat="1" x14ac:dyDescent="0.15"/>
    <row r="55" s="11" customFormat="1" x14ac:dyDescent="0.15"/>
    <row r="56" s="11" customFormat="1" x14ac:dyDescent="0.15"/>
    <row r="57" s="11" customFormat="1" x14ac:dyDescent="0.15"/>
    <row r="58" s="11" customFormat="1" x14ac:dyDescent="0.15"/>
    <row r="59" s="11" customFormat="1" x14ac:dyDescent="0.15"/>
    <row r="60" s="11" customFormat="1" x14ac:dyDescent="0.15"/>
    <row r="61" s="11" customFormat="1" x14ac:dyDescent="0.15"/>
    <row r="62" s="11" customFormat="1" x14ac:dyDescent="0.15"/>
    <row r="63" s="11" customFormat="1" x14ac:dyDescent="0.15"/>
    <row r="64" s="11" customFormat="1" x14ac:dyDescent="0.15"/>
    <row r="65" s="11" customFormat="1" x14ac:dyDescent="0.15"/>
    <row r="66" s="11" customFormat="1" x14ac:dyDescent="0.15"/>
    <row r="67" s="11" customFormat="1" x14ac:dyDescent="0.15"/>
  </sheetData>
  <autoFilter ref="A6:N25" xr:uid="{020A4997-88AD-4E15-B3E7-331A40D628B0}"/>
  <phoneticPr fontId="11" type="noConversion"/>
  <pageMargins left="0.7" right="0.7" top="0.75" bottom="0.75" header="0.3" footer="0.3"/>
  <legacy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94BF5C-4A4D-4292-B159-A7BA0D02C4C7}">
  <sheetPr codeName="Sheet27">
    <tabColor theme="2"/>
  </sheetPr>
  <dimension ref="A1:CH61"/>
  <sheetViews>
    <sheetView zoomScaleNormal="100" workbookViewId="0">
      <pane xSplit="2" ySplit="6" topLeftCell="C7" activePane="bottomRight" state="frozen"/>
      <selection pane="topRight"/>
      <selection pane="bottomLeft"/>
      <selection pane="bottomRight" activeCell="M36" sqref="M36"/>
    </sheetView>
  </sheetViews>
  <sheetFormatPr defaultRowHeight="13.5" x14ac:dyDescent="0.15"/>
  <cols>
    <col min="1" max="1" width="21.625" bestFit="1" customWidth="1"/>
    <col min="2" max="2" width="24.875" customWidth="1"/>
    <col min="3" max="3" width="38.125" bestFit="1" customWidth="1"/>
    <col min="5" max="5" width="50.125" bestFit="1" customWidth="1"/>
    <col min="7" max="7" width="46.625" bestFit="1" customWidth="1"/>
    <col min="8" max="8" width="33.625" bestFit="1" customWidth="1"/>
    <col min="9" max="9" width="121.5" bestFit="1" customWidth="1"/>
    <col min="10" max="10" width="16.375" customWidth="1"/>
    <col min="11" max="12" width="27.25" customWidth="1"/>
    <col min="13" max="13" width="30.875" customWidth="1"/>
    <col min="14" max="14" width="9" customWidth="1"/>
    <col min="15" max="15" width="13.875" bestFit="1" customWidth="1"/>
    <col min="16" max="16" width="32.875" customWidth="1"/>
    <col min="17" max="17" width="27.25" customWidth="1"/>
    <col min="18" max="18" width="22.75" customWidth="1"/>
    <col min="19" max="19" width="86" customWidth="1"/>
    <col min="20" max="20" width="18.375" customWidth="1"/>
    <col min="21" max="21" width="19.875" customWidth="1"/>
    <col min="22" max="23" width="26.125" customWidth="1"/>
    <col min="24" max="24" width="19.375" customWidth="1"/>
    <col min="25" max="26" width="39.375" customWidth="1"/>
    <col min="27" max="27" width="8.75" customWidth="1"/>
    <col min="28" max="28" width="27.25" customWidth="1"/>
    <col min="29" max="29" width="38.125" customWidth="1"/>
    <col min="30" max="30" width="27.25" customWidth="1"/>
    <col min="31" max="32" width="8.75" customWidth="1"/>
    <col min="33" max="33" width="39.375" customWidth="1"/>
    <col min="34" max="34" width="127.375" style="72" customWidth="1"/>
    <col min="35" max="37" width="8.75" customWidth="1"/>
    <col min="38" max="38" width="45.375" customWidth="1"/>
    <col min="39" max="39" width="8.75" customWidth="1"/>
    <col min="40" max="40" width="35.75" customWidth="1"/>
    <col min="41" max="41" width="33.625" customWidth="1"/>
    <col min="42" max="43" width="8.75" customWidth="1"/>
    <col min="44" max="44" width="24.875" customWidth="1"/>
    <col min="45" max="45" width="34.5" customWidth="1"/>
    <col min="46" max="49" width="8.75" customWidth="1"/>
    <col min="50" max="50" width="119.25" bestFit="1" customWidth="1"/>
    <col min="51" max="53" width="8.75" customWidth="1"/>
    <col min="54" max="54" width="35.75" customWidth="1"/>
    <col min="55" max="55" width="8.75" customWidth="1"/>
    <col min="56" max="56" width="17.25" bestFit="1" customWidth="1"/>
    <col min="57" max="57" width="83.75" bestFit="1" customWidth="1"/>
    <col min="58" max="58" width="13.875" customWidth="1"/>
    <col min="60" max="60" width="35" bestFit="1" customWidth="1"/>
    <col min="61" max="61" width="11" bestFit="1" customWidth="1"/>
    <col min="62" max="62" width="13.875" bestFit="1" customWidth="1"/>
    <col min="63" max="63" width="18.375" bestFit="1" customWidth="1"/>
    <col min="64" max="64" width="34.75" customWidth="1"/>
    <col min="65" max="65" width="75.125" customWidth="1"/>
    <col min="66" max="66" width="18.875" customWidth="1"/>
    <col min="67" max="67" width="38.125" bestFit="1" customWidth="1"/>
    <col min="68" max="68" width="12" bestFit="1" customWidth="1"/>
    <col min="72" max="72" width="33.25" bestFit="1" customWidth="1"/>
    <col min="73" max="73" width="101" bestFit="1" customWidth="1"/>
    <col min="74" max="74" width="22.75" customWidth="1"/>
    <col min="75" max="75" width="23.25" bestFit="1" customWidth="1"/>
  </cols>
  <sheetData>
    <row r="1" spans="1:86" x14ac:dyDescent="0.15">
      <c r="A1" t="s">
        <v>851</v>
      </c>
      <c r="B1" s="74" t="s">
        <v>1170</v>
      </c>
      <c r="N1" s="70"/>
      <c r="P1" s="70"/>
      <c r="AD1" t="s">
        <v>1035</v>
      </c>
      <c r="AH1"/>
      <c r="BZ1" s="17"/>
      <c r="CA1" s="17"/>
      <c r="CB1" s="17"/>
      <c r="CC1" s="17"/>
      <c r="CD1" s="17"/>
      <c r="CE1" s="17"/>
      <c r="CF1" s="17"/>
      <c r="CG1" s="17"/>
      <c r="CH1" s="17"/>
    </row>
    <row r="2" spans="1:86" ht="16.5" x14ac:dyDescent="0.15">
      <c r="A2" s="17" t="s">
        <v>70</v>
      </c>
      <c r="B2" s="16" t="s">
        <v>671</v>
      </c>
      <c r="C2" s="16" t="s">
        <v>783</v>
      </c>
      <c r="D2" s="16" t="s">
        <v>205</v>
      </c>
      <c r="E2" s="16" t="s">
        <v>625</v>
      </c>
      <c r="F2" s="16" t="s">
        <v>205</v>
      </c>
      <c r="G2" s="16" t="s">
        <v>784</v>
      </c>
      <c r="H2" s="16" t="s">
        <v>624</v>
      </c>
      <c r="I2" s="16" t="s">
        <v>618</v>
      </c>
      <c r="J2" s="16" t="s">
        <v>621</v>
      </c>
      <c r="K2" s="16" t="s">
        <v>620</v>
      </c>
      <c r="L2" s="16" t="s">
        <v>619</v>
      </c>
      <c r="M2" s="38" t="s">
        <v>615</v>
      </c>
      <c r="N2" s="16" t="s">
        <v>785</v>
      </c>
      <c r="O2" s="16" t="s">
        <v>617</v>
      </c>
      <c r="P2" s="16" t="s">
        <v>616</v>
      </c>
      <c r="Q2" s="39" t="s">
        <v>614</v>
      </c>
      <c r="R2" s="38" t="s">
        <v>613</v>
      </c>
      <c r="S2" s="16" t="s">
        <v>612</v>
      </c>
      <c r="T2" s="16" t="s">
        <v>611</v>
      </c>
      <c r="U2" s="16" t="s">
        <v>610</v>
      </c>
      <c r="V2" s="16" t="s">
        <v>609</v>
      </c>
      <c r="W2" s="16" t="s">
        <v>608</v>
      </c>
      <c r="X2" s="16" t="s">
        <v>607</v>
      </c>
      <c r="Y2" s="16" t="s">
        <v>606</v>
      </c>
      <c r="Z2" s="16" t="s">
        <v>605</v>
      </c>
      <c r="AA2" s="16" t="s">
        <v>604</v>
      </c>
      <c r="AB2" s="16" t="s">
        <v>603</v>
      </c>
      <c r="AC2" s="16" t="s">
        <v>602</v>
      </c>
      <c r="AD2" s="16" t="s">
        <v>603</v>
      </c>
      <c r="AE2" s="16" t="s">
        <v>601</v>
      </c>
      <c r="AF2" s="16" t="s">
        <v>600</v>
      </c>
      <c r="AG2" s="16" t="s">
        <v>599</v>
      </c>
      <c r="AH2" s="16" t="s">
        <v>1111</v>
      </c>
      <c r="AI2" s="16" t="s">
        <v>598</v>
      </c>
      <c r="AJ2" s="16" t="s">
        <v>597</v>
      </c>
      <c r="AK2" s="61" t="s">
        <v>596</v>
      </c>
      <c r="AL2" s="61" t="s">
        <v>595</v>
      </c>
      <c r="AM2" s="61" t="s">
        <v>594</v>
      </c>
      <c r="AN2" s="61" t="s">
        <v>593</v>
      </c>
      <c r="AO2" s="61" t="s">
        <v>592</v>
      </c>
      <c r="AP2" s="61" t="s">
        <v>591</v>
      </c>
      <c r="AQ2" s="39" t="s">
        <v>590</v>
      </c>
      <c r="AR2" s="60" t="s">
        <v>589</v>
      </c>
      <c r="AS2" s="60" t="s">
        <v>588</v>
      </c>
      <c r="AT2" s="60" t="s">
        <v>587</v>
      </c>
      <c r="AU2" s="60" t="s">
        <v>586</v>
      </c>
      <c r="AV2" s="39" t="s">
        <v>585</v>
      </c>
      <c r="AW2" s="16" t="s">
        <v>583</v>
      </c>
      <c r="AX2" s="16" t="s">
        <v>582</v>
      </c>
      <c r="AY2" s="16" t="s">
        <v>581</v>
      </c>
      <c r="AZ2" s="16" t="s">
        <v>580</v>
      </c>
      <c r="BA2" s="16" t="s">
        <v>205</v>
      </c>
      <c r="BB2" s="16" t="s">
        <v>579</v>
      </c>
      <c r="BC2" s="16" t="s">
        <v>578</v>
      </c>
      <c r="BD2" s="16" t="s">
        <v>786</v>
      </c>
      <c r="BE2" s="16" t="s">
        <v>577</v>
      </c>
      <c r="BF2" s="59" t="s">
        <v>576</v>
      </c>
      <c r="BG2" s="16" t="s">
        <v>575</v>
      </c>
      <c r="BH2" s="16" t="s">
        <v>574</v>
      </c>
      <c r="BI2" s="16" t="s">
        <v>573</v>
      </c>
      <c r="BJ2" s="16" t="s">
        <v>572</v>
      </c>
      <c r="BK2" s="34" t="s">
        <v>570</v>
      </c>
      <c r="BL2" s="16" t="s">
        <v>569</v>
      </c>
      <c r="BM2" s="59" t="s">
        <v>732</v>
      </c>
      <c r="BN2" s="59" t="s">
        <v>738</v>
      </c>
      <c r="BO2" s="16" t="s">
        <v>733</v>
      </c>
      <c r="BP2" s="16" t="s">
        <v>787</v>
      </c>
      <c r="BQ2" s="16" t="s">
        <v>788</v>
      </c>
      <c r="BR2" s="16" t="s">
        <v>789</v>
      </c>
      <c r="BS2" s="16" t="s">
        <v>1107</v>
      </c>
      <c r="BZ2" s="17"/>
      <c r="CA2" s="17"/>
      <c r="CB2" s="17"/>
      <c r="CC2" s="17"/>
      <c r="CD2" s="17"/>
      <c r="CE2" s="17"/>
      <c r="CF2" s="17"/>
      <c r="CG2" s="17"/>
      <c r="CH2" s="17"/>
    </row>
    <row r="3" spans="1:86" ht="16.5" x14ac:dyDescent="0.15">
      <c r="A3" s="17"/>
      <c r="B3" s="15" t="s">
        <v>72</v>
      </c>
      <c r="C3" s="15" t="s">
        <v>95</v>
      </c>
      <c r="D3" s="15" t="s">
        <v>73</v>
      </c>
      <c r="E3" s="15" t="s">
        <v>74</v>
      </c>
      <c r="F3" s="15" t="s">
        <v>73</v>
      </c>
      <c r="G3" s="15" t="s">
        <v>72</v>
      </c>
      <c r="H3" s="15" t="s">
        <v>72</v>
      </c>
      <c r="I3" s="15" t="s">
        <v>223</v>
      </c>
      <c r="J3" s="15" t="s">
        <v>72</v>
      </c>
      <c r="K3" s="15" t="s">
        <v>72</v>
      </c>
      <c r="L3" s="15" t="s">
        <v>72</v>
      </c>
      <c r="M3" s="36" t="s">
        <v>72</v>
      </c>
      <c r="N3" s="15" t="s">
        <v>72</v>
      </c>
      <c r="O3" s="15" t="s">
        <v>74</v>
      </c>
      <c r="P3" s="15" t="s">
        <v>72</v>
      </c>
      <c r="Q3" s="36" t="s">
        <v>72</v>
      </c>
      <c r="R3" s="36" t="s">
        <v>72</v>
      </c>
      <c r="S3" s="15" t="s">
        <v>72</v>
      </c>
      <c r="T3" s="15" t="s">
        <v>72</v>
      </c>
      <c r="U3" s="15" t="s">
        <v>72</v>
      </c>
      <c r="V3" s="15" t="s">
        <v>72</v>
      </c>
      <c r="W3" s="15" t="s">
        <v>72</v>
      </c>
      <c r="X3" s="15" t="s">
        <v>72</v>
      </c>
      <c r="Y3" s="15" t="s">
        <v>74</v>
      </c>
      <c r="Z3" s="15" t="s">
        <v>74</v>
      </c>
      <c r="AA3" s="15" t="s">
        <v>72</v>
      </c>
      <c r="AB3" s="15" t="s">
        <v>72</v>
      </c>
      <c r="AC3" s="15" t="s">
        <v>72</v>
      </c>
      <c r="AD3" s="15" t="s">
        <v>72</v>
      </c>
      <c r="AE3" s="15" t="s">
        <v>72</v>
      </c>
      <c r="AF3" s="15" t="s">
        <v>74</v>
      </c>
      <c r="AG3" s="15" t="s">
        <v>74</v>
      </c>
      <c r="AH3" s="15" t="s">
        <v>1110</v>
      </c>
      <c r="AI3" s="15" t="s">
        <v>74</v>
      </c>
      <c r="AJ3" s="15" t="s">
        <v>74</v>
      </c>
      <c r="AK3" s="15" t="s">
        <v>74</v>
      </c>
      <c r="AL3" s="58" t="s">
        <v>74</v>
      </c>
      <c r="AM3" s="58" t="s">
        <v>74</v>
      </c>
      <c r="AN3" s="58" t="s">
        <v>74</v>
      </c>
      <c r="AO3" s="58" t="s">
        <v>74</v>
      </c>
      <c r="AP3" s="58" t="s">
        <v>74</v>
      </c>
      <c r="AQ3" s="57" t="s">
        <v>74</v>
      </c>
      <c r="AR3" s="52" t="s">
        <v>72</v>
      </c>
      <c r="AS3" s="52" t="s">
        <v>74</v>
      </c>
      <c r="AT3" s="52" t="s">
        <v>74</v>
      </c>
      <c r="AU3" s="52" t="s">
        <v>74</v>
      </c>
      <c r="AV3" s="57" t="s">
        <v>72</v>
      </c>
      <c r="AW3" s="15" t="s">
        <v>72</v>
      </c>
      <c r="AX3" s="15" t="s">
        <v>74</v>
      </c>
      <c r="AY3" s="15" t="s">
        <v>74</v>
      </c>
      <c r="AZ3" s="15" t="s">
        <v>74</v>
      </c>
      <c r="BA3" s="15" t="s">
        <v>568</v>
      </c>
      <c r="BB3" s="15" t="s">
        <v>74</v>
      </c>
      <c r="BC3" s="15" t="s">
        <v>74</v>
      </c>
      <c r="BD3" s="15" t="s">
        <v>72</v>
      </c>
      <c r="BE3" s="15" t="s">
        <v>567</v>
      </c>
      <c r="BF3" s="56" t="s">
        <v>567</v>
      </c>
      <c r="BG3" s="15" t="s">
        <v>567</v>
      </c>
      <c r="BH3" s="15" t="s">
        <v>566</v>
      </c>
      <c r="BI3" s="36" t="s">
        <v>566</v>
      </c>
      <c r="BJ3" s="15" t="s">
        <v>72</v>
      </c>
      <c r="BK3" s="33" t="s">
        <v>95</v>
      </c>
      <c r="BL3" s="15" t="s">
        <v>566</v>
      </c>
      <c r="BM3" s="15" t="s">
        <v>567</v>
      </c>
      <c r="BN3" s="56" t="s">
        <v>567</v>
      </c>
      <c r="BO3" s="15" t="s">
        <v>567</v>
      </c>
      <c r="BP3" s="15" t="s">
        <v>566</v>
      </c>
      <c r="BQ3" s="15" t="s">
        <v>566</v>
      </c>
      <c r="BR3" s="15" t="s">
        <v>95</v>
      </c>
      <c r="BS3" s="15" t="s">
        <v>567</v>
      </c>
      <c r="BZ3" s="17"/>
      <c r="CA3" s="17"/>
      <c r="CB3" s="17"/>
      <c r="CC3" s="17"/>
      <c r="CD3" s="17"/>
      <c r="CE3" s="17"/>
      <c r="CF3" s="17"/>
      <c r="CG3" s="17"/>
      <c r="CH3" s="17"/>
    </row>
    <row r="4" spans="1:86" ht="16.5" x14ac:dyDescent="0.15">
      <c r="A4" s="17"/>
      <c r="B4" s="14" t="s">
        <v>75</v>
      </c>
      <c r="C4" s="14" t="s">
        <v>75</v>
      </c>
      <c r="D4" s="14" t="s">
        <v>73</v>
      </c>
      <c r="E4" s="14" t="s">
        <v>75</v>
      </c>
      <c r="F4" s="14" t="s">
        <v>73</v>
      </c>
      <c r="G4" s="14" t="s">
        <v>741</v>
      </c>
      <c r="H4" s="14" t="s">
        <v>75</v>
      </c>
      <c r="I4" s="14" t="s">
        <v>565</v>
      </c>
      <c r="J4" s="14" t="s">
        <v>238</v>
      </c>
      <c r="K4" s="14" t="s">
        <v>75</v>
      </c>
      <c r="L4" s="14" t="s">
        <v>75</v>
      </c>
      <c r="M4" s="37" t="s">
        <v>75</v>
      </c>
      <c r="N4" s="14" t="s">
        <v>76</v>
      </c>
      <c r="O4" s="14" t="s">
        <v>80</v>
      </c>
      <c r="P4" s="14" t="s">
        <v>80</v>
      </c>
      <c r="Q4" s="37" t="s">
        <v>75</v>
      </c>
      <c r="R4" s="37" t="s">
        <v>75</v>
      </c>
      <c r="S4" s="14" t="s">
        <v>119</v>
      </c>
      <c r="T4" s="14" t="s">
        <v>76</v>
      </c>
      <c r="U4" s="14" t="s">
        <v>76</v>
      </c>
      <c r="V4" s="14" t="s">
        <v>75</v>
      </c>
      <c r="W4" s="14" t="s">
        <v>75</v>
      </c>
      <c r="X4" s="14" t="s">
        <v>75</v>
      </c>
      <c r="Y4" s="14" t="s">
        <v>75</v>
      </c>
      <c r="Z4" s="14" t="s">
        <v>75</v>
      </c>
      <c r="AA4" s="14" t="s">
        <v>75</v>
      </c>
      <c r="AB4" s="14" t="s">
        <v>80</v>
      </c>
      <c r="AC4" s="14" t="s">
        <v>80</v>
      </c>
      <c r="AD4" s="14" t="s">
        <v>237</v>
      </c>
      <c r="AE4" s="14" t="s">
        <v>80</v>
      </c>
      <c r="AF4" s="14" t="s">
        <v>75</v>
      </c>
      <c r="AG4" s="14" t="s">
        <v>75</v>
      </c>
      <c r="AH4" s="14" t="s">
        <v>119</v>
      </c>
      <c r="AI4" s="14" t="s">
        <v>76</v>
      </c>
      <c r="AJ4" s="14" t="s">
        <v>238</v>
      </c>
      <c r="AK4" s="14" t="s">
        <v>75</v>
      </c>
      <c r="AL4" s="55" t="s">
        <v>75</v>
      </c>
      <c r="AM4" s="55" t="s">
        <v>238</v>
      </c>
      <c r="AN4" s="55" t="s">
        <v>75</v>
      </c>
      <c r="AO4" s="55" t="s">
        <v>75</v>
      </c>
      <c r="AP4" s="55" t="s">
        <v>75</v>
      </c>
      <c r="AQ4" s="53" t="s">
        <v>80</v>
      </c>
      <c r="AR4" s="54" t="s">
        <v>238</v>
      </c>
      <c r="AS4" s="54" t="s">
        <v>76</v>
      </c>
      <c r="AT4" s="54" t="s">
        <v>80</v>
      </c>
      <c r="AU4" s="54" t="s">
        <v>238</v>
      </c>
      <c r="AV4" s="53" t="s">
        <v>75</v>
      </c>
      <c r="AW4" s="14" t="s">
        <v>238</v>
      </c>
      <c r="AX4" s="14" t="s">
        <v>238</v>
      </c>
      <c r="AY4" s="14" t="s">
        <v>238</v>
      </c>
      <c r="AZ4" s="14" t="s">
        <v>75</v>
      </c>
      <c r="BA4" s="14" t="s">
        <v>564</v>
      </c>
      <c r="BB4" s="14" t="s">
        <v>76</v>
      </c>
      <c r="BC4" s="14" t="s">
        <v>76</v>
      </c>
      <c r="BD4" s="14" t="s">
        <v>76</v>
      </c>
      <c r="BE4" s="14" t="s">
        <v>80</v>
      </c>
      <c r="BF4" s="51" t="s">
        <v>80</v>
      </c>
      <c r="BG4" s="14" t="s">
        <v>80</v>
      </c>
      <c r="BH4" s="14" t="s">
        <v>80</v>
      </c>
      <c r="BI4" s="37" t="s">
        <v>76</v>
      </c>
      <c r="BJ4" s="15" t="s">
        <v>563</v>
      </c>
      <c r="BK4" s="32" t="s">
        <v>249</v>
      </c>
      <c r="BL4" s="14" t="s">
        <v>75</v>
      </c>
      <c r="BM4" s="14" t="s">
        <v>80</v>
      </c>
      <c r="BN4" s="14" t="s">
        <v>80</v>
      </c>
      <c r="BO4" s="14" t="s">
        <v>80</v>
      </c>
      <c r="BP4" s="37" t="s">
        <v>740</v>
      </c>
      <c r="BQ4" s="14" t="s">
        <v>76</v>
      </c>
      <c r="BR4" s="14" t="s">
        <v>764</v>
      </c>
      <c r="BS4" s="37" t="s">
        <v>1108</v>
      </c>
      <c r="BZ4" s="17"/>
      <c r="CA4" s="17"/>
      <c r="CB4" s="17"/>
      <c r="CC4" s="17"/>
      <c r="CD4" s="17"/>
      <c r="CE4" s="17"/>
      <c r="CF4" s="17"/>
      <c r="CG4" s="17"/>
      <c r="CH4" s="17"/>
    </row>
    <row r="5" spans="1:86" ht="16.5" x14ac:dyDescent="0.15">
      <c r="A5" s="17"/>
      <c r="B5" s="15" t="s">
        <v>790</v>
      </c>
      <c r="C5" s="15" t="s">
        <v>791</v>
      </c>
      <c r="D5" s="15" t="s">
        <v>562</v>
      </c>
      <c r="E5" s="15" t="s">
        <v>792</v>
      </c>
      <c r="F5" s="15" t="s">
        <v>561</v>
      </c>
      <c r="G5" s="15" t="s">
        <v>793</v>
      </c>
      <c r="H5" s="15" t="s">
        <v>560</v>
      </c>
      <c r="I5" s="15" t="s">
        <v>554</v>
      </c>
      <c r="J5" s="15" t="s">
        <v>557</v>
      </c>
      <c r="K5" s="15" t="s">
        <v>82</v>
      </c>
      <c r="L5" s="15" t="s">
        <v>556</v>
      </c>
      <c r="M5" s="36" t="s">
        <v>794</v>
      </c>
      <c r="N5" s="15" t="s">
        <v>555</v>
      </c>
      <c r="O5" s="15" t="s">
        <v>553</v>
      </c>
      <c r="P5" s="15" t="s">
        <v>552</v>
      </c>
      <c r="Q5" s="36" t="s">
        <v>395</v>
      </c>
      <c r="R5" s="36" t="s">
        <v>551</v>
      </c>
      <c r="S5" s="15" t="s">
        <v>550</v>
      </c>
      <c r="T5" s="15" t="s">
        <v>549</v>
      </c>
      <c r="U5" s="15" t="s">
        <v>548</v>
      </c>
      <c r="V5" s="15" t="s">
        <v>547</v>
      </c>
      <c r="W5" s="15" t="s">
        <v>546</v>
      </c>
      <c r="X5" s="15" t="s">
        <v>545</v>
      </c>
      <c r="Y5" s="15" t="s">
        <v>544</v>
      </c>
      <c r="Z5" s="15" t="s">
        <v>543</v>
      </c>
      <c r="AA5" s="15" t="s">
        <v>542</v>
      </c>
      <c r="AB5" s="15" t="s">
        <v>541</v>
      </c>
      <c r="AC5" s="15" t="s">
        <v>540</v>
      </c>
      <c r="AD5" s="15" t="s">
        <v>1036</v>
      </c>
      <c r="AE5" s="15" t="s">
        <v>539</v>
      </c>
      <c r="AF5" s="15" t="s">
        <v>538</v>
      </c>
      <c r="AG5" s="15" t="s">
        <v>537</v>
      </c>
      <c r="AH5" s="15" t="s">
        <v>808</v>
      </c>
      <c r="AI5" s="15" t="s">
        <v>536</v>
      </c>
      <c r="AJ5" s="15" t="s">
        <v>535</v>
      </c>
      <c r="AK5" s="15" t="s">
        <v>534</v>
      </c>
      <c r="AL5" s="58" t="s">
        <v>533</v>
      </c>
      <c r="AM5" s="58" t="s">
        <v>532</v>
      </c>
      <c r="AN5" s="58" t="s">
        <v>531</v>
      </c>
      <c r="AO5" s="58" t="s">
        <v>530</v>
      </c>
      <c r="AP5" s="58" t="s">
        <v>529</v>
      </c>
      <c r="AQ5" s="57" t="s">
        <v>528</v>
      </c>
      <c r="AR5" s="52" t="s">
        <v>527</v>
      </c>
      <c r="AS5" s="52" t="s">
        <v>526</v>
      </c>
      <c r="AT5" s="52" t="s">
        <v>525</v>
      </c>
      <c r="AU5" s="52" t="s">
        <v>524</v>
      </c>
      <c r="AV5" s="57" t="s">
        <v>523</v>
      </c>
      <c r="AW5" s="15" t="s">
        <v>521</v>
      </c>
      <c r="AX5" s="15" t="s">
        <v>520</v>
      </c>
      <c r="AY5" s="15" t="s">
        <v>519</v>
      </c>
      <c r="AZ5" s="15" t="s">
        <v>518</v>
      </c>
      <c r="BA5" s="15" t="s">
        <v>517</v>
      </c>
      <c r="BB5" s="15" t="s">
        <v>516</v>
      </c>
      <c r="BC5" s="15" t="s">
        <v>515</v>
      </c>
      <c r="BD5" s="15" t="s">
        <v>514</v>
      </c>
      <c r="BE5" s="15" t="s">
        <v>513</v>
      </c>
      <c r="BF5" s="56" t="s">
        <v>512</v>
      </c>
      <c r="BG5" s="15" t="s">
        <v>511</v>
      </c>
      <c r="BH5" s="15" t="s">
        <v>510</v>
      </c>
      <c r="BI5" s="36" t="s">
        <v>509</v>
      </c>
      <c r="BJ5" s="15" t="s">
        <v>508</v>
      </c>
      <c r="BK5" s="33" t="s">
        <v>506</v>
      </c>
      <c r="BL5" s="15" t="s">
        <v>505</v>
      </c>
      <c r="BM5" s="15" t="s">
        <v>734</v>
      </c>
      <c r="BN5" s="56" t="s">
        <v>735</v>
      </c>
      <c r="BO5" s="15" t="s">
        <v>736</v>
      </c>
      <c r="BP5" s="15" t="s">
        <v>795</v>
      </c>
      <c r="BQ5" s="15" t="s">
        <v>796</v>
      </c>
      <c r="BR5" s="15" t="s">
        <v>797</v>
      </c>
      <c r="BS5" s="15" t="s">
        <v>1109</v>
      </c>
      <c r="BZ5" s="17"/>
      <c r="CA5" s="17"/>
      <c r="CB5" s="17"/>
      <c r="CC5" s="17"/>
      <c r="CD5" s="17"/>
      <c r="CE5" s="17"/>
      <c r="CF5" s="17"/>
      <c r="CG5" s="17"/>
      <c r="CH5" s="17"/>
    </row>
    <row r="6" spans="1:86" ht="16.5" x14ac:dyDescent="0.15">
      <c r="A6" s="17"/>
      <c r="B6" s="14" t="s">
        <v>77</v>
      </c>
      <c r="C6" s="14"/>
      <c r="D6" s="14"/>
      <c r="E6" s="14"/>
      <c r="F6" s="14"/>
      <c r="G6" s="14"/>
      <c r="H6" s="14" t="s">
        <v>781</v>
      </c>
      <c r="I6" s="14"/>
      <c r="J6" s="14"/>
      <c r="K6" s="14" t="s">
        <v>798</v>
      </c>
      <c r="L6" s="14" t="s">
        <v>503</v>
      </c>
      <c r="M6" s="14"/>
      <c r="N6" s="14"/>
      <c r="O6" s="14"/>
      <c r="P6" s="14"/>
      <c r="Q6" s="37" t="s">
        <v>502</v>
      </c>
      <c r="R6" s="37" t="s">
        <v>495</v>
      </c>
      <c r="S6" s="14"/>
      <c r="T6" s="14"/>
      <c r="U6" s="14"/>
      <c r="V6" s="14" t="s">
        <v>87</v>
      </c>
      <c r="W6" s="14" t="s">
        <v>87</v>
      </c>
      <c r="X6" s="14" t="s">
        <v>87</v>
      </c>
      <c r="Y6" s="14" t="s">
        <v>501</v>
      </c>
      <c r="Z6" s="14" t="s">
        <v>87</v>
      </c>
      <c r="AA6" s="14" t="s">
        <v>87</v>
      </c>
      <c r="AB6" s="14"/>
      <c r="AC6" s="14"/>
      <c r="AD6" s="14"/>
      <c r="AE6" s="14"/>
      <c r="AF6" s="14" t="s">
        <v>78</v>
      </c>
      <c r="AG6" s="14" t="s">
        <v>78</v>
      </c>
      <c r="AH6" s="14"/>
      <c r="AI6" s="14"/>
      <c r="AJ6" s="14"/>
      <c r="AK6" s="14"/>
      <c r="AL6" s="55" t="s">
        <v>78</v>
      </c>
      <c r="AM6" s="55" t="s">
        <v>500</v>
      </c>
      <c r="AN6" s="55" t="s">
        <v>266</v>
      </c>
      <c r="AO6" s="55" t="s">
        <v>499</v>
      </c>
      <c r="AP6" s="55"/>
      <c r="AQ6" s="53"/>
      <c r="AR6" s="54" t="s">
        <v>498</v>
      </c>
      <c r="AS6" s="54"/>
      <c r="AT6" s="54"/>
      <c r="AU6" s="54"/>
      <c r="AV6" s="53"/>
      <c r="AW6" s="14" t="s">
        <v>496</v>
      </c>
      <c r="AX6" s="14" t="s">
        <v>78</v>
      </c>
      <c r="AY6" s="14"/>
      <c r="AZ6" s="37" t="s">
        <v>78</v>
      </c>
      <c r="BA6" s="14" t="s">
        <v>73</v>
      </c>
      <c r="BB6" s="14"/>
      <c r="BC6" s="14"/>
      <c r="BD6" s="14" t="s">
        <v>265</v>
      </c>
      <c r="BE6" s="14"/>
      <c r="BF6" s="51"/>
      <c r="BG6" s="14"/>
      <c r="BH6" s="14"/>
      <c r="BI6" s="37"/>
      <c r="BJ6" s="14"/>
      <c r="BK6" s="32"/>
      <c r="BL6" s="14" t="s">
        <v>494</v>
      </c>
      <c r="BM6" s="14"/>
      <c r="BN6" s="51"/>
      <c r="BO6" s="14"/>
      <c r="BP6" s="14"/>
      <c r="BQ6" s="14"/>
      <c r="BR6" s="14"/>
      <c r="BS6" s="14"/>
      <c r="BZ6" s="17"/>
      <c r="CA6" s="17"/>
      <c r="CB6" s="17"/>
      <c r="CC6" s="17"/>
      <c r="CD6" s="17"/>
      <c r="CE6" s="17"/>
      <c r="CF6" s="17"/>
      <c r="CG6" s="17"/>
      <c r="CH6" s="17"/>
    </row>
    <row r="7" spans="1:86" s="11" customFormat="1" x14ac:dyDescent="0.15">
      <c r="B7" s="11" t="s">
        <v>1548</v>
      </c>
      <c r="C7" s="157" t="s">
        <v>1241</v>
      </c>
      <c r="D7" s="158"/>
      <c r="E7" s="159" t="s">
        <v>1276</v>
      </c>
      <c r="F7" s="158"/>
      <c r="G7" s="13" t="s">
        <v>742</v>
      </c>
      <c r="H7" s="11" t="s">
        <v>1483</v>
      </c>
      <c r="I7" s="12" t="s">
        <v>3049</v>
      </c>
      <c r="J7" s="11" t="s">
        <v>1549</v>
      </c>
      <c r="K7" s="11" t="s">
        <v>396</v>
      </c>
      <c r="L7" s="11" t="s">
        <v>396</v>
      </c>
      <c r="M7" s="13" t="s">
        <v>445</v>
      </c>
      <c r="Q7" s="13" t="s">
        <v>1550</v>
      </c>
      <c r="R7" s="11" t="s">
        <v>1551</v>
      </c>
      <c r="S7" s="11" t="s">
        <v>773</v>
      </c>
      <c r="T7" s="11">
        <v>0</v>
      </c>
      <c r="U7" s="11">
        <v>0</v>
      </c>
      <c r="V7" s="11" t="s">
        <v>1552</v>
      </c>
      <c r="W7" s="11" t="s">
        <v>1553</v>
      </c>
      <c r="Y7" s="11" t="s">
        <v>1312</v>
      </c>
      <c r="Z7" s="11" t="s">
        <v>1554</v>
      </c>
      <c r="AB7" s="11" t="s">
        <v>1555</v>
      </c>
      <c r="AC7" s="11" t="s">
        <v>1555</v>
      </c>
      <c r="AD7" s="11">
        <v>1</v>
      </c>
      <c r="AH7" s="11" t="s">
        <v>490</v>
      </c>
      <c r="AJ7" s="12" t="s">
        <v>3302</v>
      </c>
      <c r="AM7" s="11" t="s">
        <v>489</v>
      </c>
      <c r="AN7" s="19" t="s">
        <v>2245</v>
      </c>
      <c r="AO7" s="11" t="s">
        <v>1315</v>
      </c>
      <c r="AP7" s="11" t="s">
        <v>488</v>
      </c>
      <c r="AV7" s="11" t="s">
        <v>235</v>
      </c>
      <c r="AX7" s="11" t="s">
        <v>235</v>
      </c>
      <c r="AY7" s="11" t="s">
        <v>235</v>
      </c>
      <c r="BC7" s="11">
        <v>1</v>
      </c>
      <c r="BD7" s="11">
        <v>1</v>
      </c>
      <c r="BE7" s="11" t="s">
        <v>3325</v>
      </c>
      <c r="BI7" s="11">
        <v>1</v>
      </c>
      <c r="BJ7" s="11">
        <v>0</v>
      </c>
      <c r="BL7" s="11" t="s">
        <v>1556</v>
      </c>
      <c r="BM7" s="11" t="s">
        <v>3047</v>
      </c>
      <c r="BO7" s="11" t="s">
        <v>3031</v>
      </c>
      <c r="BS7" s="13"/>
    </row>
    <row r="8" spans="1:86" s="11" customFormat="1" x14ac:dyDescent="0.15">
      <c r="B8" s="11" t="s">
        <v>1557</v>
      </c>
      <c r="C8" s="157" t="s">
        <v>1242</v>
      </c>
      <c r="D8" s="158"/>
      <c r="E8" s="159" t="s">
        <v>1277</v>
      </c>
      <c r="F8" s="160"/>
      <c r="G8" s="13" t="s">
        <v>742</v>
      </c>
      <c r="H8" s="11" t="s">
        <v>1487</v>
      </c>
      <c r="I8" s="12" t="s">
        <v>3050</v>
      </c>
      <c r="J8" s="11" t="s">
        <v>1558</v>
      </c>
      <c r="K8" s="11" t="s">
        <v>396</v>
      </c>
      <c r="L8" s="11" t="s">
        <v>396</v>
      </c>
      <c r="M8" s="13" t="s">
        <v>445</v>
      </c>
      <c r="Q8" s="13" t="s">
        <v>1559</v>
      </c>
      <c r="R8" s="11" t="s">
        <v>1560</v>
      </c>
      <c r="S8" s="11" t="s">
        <v>773</v>
      </c>
      <c r="T8" s="11">
        <v>0</v>
      </c>
      <c r="U8" s="11">
        <v>0</v>
      </c>
      <c r="V8" s="11" t="s">
        <v>1561</v>
      </c>
      <c r="W8" s="11" t="s">
        <v>1562</v>
      </c>
      <c r="Y8" s="11" t="s">
        <v>1312</v>
      </c>
      <c r="Z8" s="11" t="s">
        <v>1563</v>
      </c>
      <c r="AB8" s="11" t="s">
        <v>1555</v>
      </c>
      <c r="AC8" s="11" t="s">
        <v>1555</v>
      </c>
      <c r="AD8" s="11">
        <v>1</v>
      </c>
      <c r="AH8" s="11" t="s">
        <v>3311</v>
      </c>
      <c r="AJ8" s="12" t="s">
        <v>3302</v>
      </c>
      <c r="AM8" s="11" t="s">
        <v>489</v>
      </c>
      <c r="AN8" s="19" t="s">
        <v>2245</v>
      </c>
      <c r="AO8" s="11" t="s">
        <v>1315</v>
      </c>
      <c r="AP8" s="11" t="s">
        <v>488</v>
      </c>
      <c r="AV8" s="11" t="s">
        <v>235</v>
      </c>
      <c r="AX8" s="11" t="s">
        <v>3146</v>
      </c>
      <c r="AY8" s="11" t="s">
        <v>235</v>
      </c>
      <c r="BC8" s="11">
        <v>1</v>
      </c>
      <c r="BD8" s="11">
        <v>1</v>
      </c>
      <c r="BE8" s="11" t="s">
        <v>3325</v>
      </c>
      <c r="BI8" s="11">
        <v>1</v>
      </c>
      <c r="BJ8" s="11">
        <v>0</v>
      </c>
      <c r="BL8" s="11" t="s">
        <v>1556</v>
      </c>
      <c r="BM8" s="11" t="s">
        <v>3047</v>
      </c>
      <c r="BO8" s="11" t="s">
        <v>3032</v>
      </c>
      <c r="BS8" s="13"/>
    </row>
    <row r="9" spans="1:86" s="11" customFormat="1" x14ac:dyDescent="0.15">
      <c r="B9" s="11" t="s">
        <v>1564</v>
      </c>
      <c r="C9" s="157" t="s">
        <v>1243</v>
      </c>
      <c r="D9" s="158"/>
      <c r="E9" s="159" t="s">
        <v>1278</v>
      </c>
      <c r="F9" s="160"/>
      <c r="G9" s="13" t="s">
        <v>742</v>
      </c>
      <c r="H9" s="11" t="s">
        <v>1491</v>
      </c>
      <c r="I9" s="12" t="s">
        <v>3051</v>
      </c>
      <c r="J9" s="11" t="s">
        <v>1565</v>
      </c>
      <c r="K9" s="11" t="s">
        <v>396</v>
      </c>
      <c r="L9" s="11" t="s">
        <v>396</v>
      </c>
      <c r="M9" s="13" t="s">
        <v>772</v>
      </c>
      <c r="Q9" s="13" t="s">
        <v>1566</v>
      </c>
      <c r="R9" s="11" t="s">
        <v>1567</v>
      </c>
      <c r="S9" s="11" t="s">
        <v>773</v>
      </c>
      <c r="T9" s="11">
        <v>0</v>
      </c>
      <c r="U9" s="11">
        <v>0</v>
      </c>
      <c r="V9" s="11" t="s">
        <v>1568</v>
      </c>
      <c r="W9" s="11" t="s">
        <v>1569</v>
      </c>
      <c r="Y9" s="11" t="s">
        <v>1312</v>
      </c>
      <c r="Z9" s="11" t="s">
        <v>1570</v>
      </c>
      <c r="AB9" s="11" t="s">
        <v>1555</v>
      </c>
      <c r="AC9" s="11" t="s">
        <v>1555</v>
      </c>
      <c r="AD9" s="11">
        <v>1</v>
      </c>
      <c r="AH9" s="11" t="s">
        <v>3312</v>
      </c>
      <c r="AJ9" s="12" t="s">
        <v>3302</v>
      </c>
      <c r="AM9" s="11" t="s">
        <v>489</v>
      </c>
      <c r="AN9" s="19" t="s">
        <v>2250</v>
      </c>
      <c r="AO9" s="11" t="s">
        <v>1315</v>
      </c>
      <c r="AP9" s="11" t="s">
        <v>488</v>
      </c>
      <c r="AV9" s="11" t="s">
        <v>235</v>
      </c>
      <c r="AX9" s="11" t="s">
        <v>3147</v>
      </c>
      <c r="AY9" s="11" t="s">
        <v>235</v>
      </c>
      <c r="BC9" s="11">
        <v>1</v>
      </c>
      <c r="BD9" s="11">
        <v>1</v>
      </c>
      <c r="BE9" s="11" t="s">
        <v>3325</v>
      </c>
      <c r="BI9" s="11">
        <v>1</v>
      </c>
      <c r="BJ9" s="11">
        <v>0</v>
      </c>
      <c r="BL9" s="11" t="s">
        <v>1556</v>
      </c>
      <c r="BM9" s="11" t="s">
        <v>3047</v>
      </c>
      <c r="BO9" s="11" t="s">
        <v>3033</v>
      </c>
    </row>
    <row r="10" spans="1:86" s="11" customFormat="1" x14ac:dyDescent="0.15">
      <c r="B10" s="11" t="s">
        <v>1571</v>
      </c>
      <c r="C10" s="157" t="s">
        <v>1244</v>
      </c>
      <c r="D10" s="158"/>
      <c r="E10" s="159" t="s">
        <v>1279</v>
      </c>
      <c r="F10" s="158"/>
      <c r="G10" s="13" t="s">
        <v>742</v>
      </c>
      <c r="H10" s="11" t="s">
        <v>1495</v>
      </c>
      <c r="I10" s="11" t="s">
        <v>3052</v>
      </c>
      <c r="J10" s="11" t="s">
        <v>1572</v>
      </c>
      <c r="K10" s="11" t="s">
        <v>396</v>
      </c>
      <c r="L10" s="11" t="s">
        <v>396</v>
      </c>
      <c r="M10" s="13" t="s">
        <v>772</v>
      </c>
      <c r="Q10" s="13" t="s">
        <v>1573</v>
      </c>
      <c r="R10" s="11" t="s">
        <v>1574</v>
      </c>
      <c r="S10" s="11" t="s">
        <v>773</v>
      </c>
      <c r="T10" s="11">
        <v>0</v>
      </c>
      <c r="U10" s="11">
        <v>0</v>
      </c>
      <c r="V10" s="11" t="s">
        <v>1575</v>
      </c>
      <c r="W10" s="11" t="s">
        <v>1576</v>
      </c>
      <c r="Y10" s="11" t="s">
        <v>1312</v>
      </c>
      <c r="Z10" s="11" t="s">
        <v>1577</v>
      </c>
      <c r="AB10" s="11" t="s">
        <v>1555</v>
      </c>
      <c r="AC10" s="11" t="s">
        <v>1555</v>
      </c>
      <c r="AD10" s="11">
        <v>1</v>
      </c>
      <c r="AH10" s="11" t="s">
        <v>490</v>
      </c>
      <c r="AJ10" s="12" t="s">
        <v>3302</v>
      </c>
      <c r="AM10" s="11" t="s">
        <v>489</v>
      </c>
      <c r="AN10" s="19" t="s">
        <v>2250</v>
      </c>
      <c r="AO10" s="11" t="s">
        <v>1315</v>
      </c>
      <c r="AP10" s="11" t="s">
        <v>488</v>
      </c>
      <c r="AV10" s="11" t="s">
        <v>235</v>
      </c>
      <c r="AX10" s="11" t="s">
        <v>3149</v>
      </c>
      <c r="AY10" s="11" t="s">
        <v>235</v>
      </c>
      <c r="BC10" s="11">
        <v>1</v>
      </c>
      <c r="BD10" s="11">
        <v>1</v>
      </c>
      <c r="BE10" s="11" t="s">
        <v>3325</v>
      </c>
      <c r="BI10" s="11">
        <v>1</v>
      </c>
      <c r="BJ10" s="11">
        <v>0</v>
      </c>
      <c r="BL10" s="11" t="s">
        <v>1556</v>
      </c>
      <c r="BM10" s="11" t="s">
        <v>3047</v>
      </c>
      <c r="BO10" s="11" t="s">
        <v>3034</v>
      </c>
    </row>
    <row r="11" spans="1:86" s="11" customFormat="1" x14ac:dyDescent="0.15">
      <c r="B11" s="11" t="s">
        <v>1578</v>
      </c>
      <c r="C11" s="157" t="s">
        <v>1245</v>
      </c>
      <c r="D11" s="158"/>
      <c r="E11" s="159" t="s">
        <v>1280</v>
      </c>
      <c r="F11" s="160"/>
      <c r="G11" s="13" t="s">
        <v>742</v>
      </c>
      <c r="H11" s="11" t="s">
        <v>1498</v>
      </c>
      <c r="J11" s="11" t="s">
        <v>1579</v>
      </c>
      <c r="K11" s="11" t="s">
        <v>396</v>
      </c>
      <c r="L11" s="11" t="s">
        <v>396</v>
      </c>
      <c r="M11" s="13" t="s">
        <v>3061</v>
      </c>
      <c r="Q11" s="13" t="s">
        <v>1580</v>
      </c>
      <c r="R11" s="11" t="s">
        <v>1581</v>
      </c>
      <c r="S11" s="11" t="s">
        <v>773</v>
      </c>
      <c r="T11" s="11">
        <v>0</v>
      </c>
      <c r="U11" s="11">
        <v>0</v>
      </c>
      <c r="V11" s="11" t="s">
        <v>1582</v>
      </c>
      <c r="W11" s="11" t="s">
        <v>1583</v>
      </c>
      <c r="Y11" s="11" t="s">
        <v>1312</v>
      </c>
      <c r="Z11" s="11" t="s">
        <v>1584</v>
      </c>
      <c r="AB11" s="11" t="s">
        <v>1555</v>
      </c>
      <c r="AC11" s="11" t="s">
        <v>1555</v>
      </c>
      <c r="AD11" s="11">
        <v>1</v>
      </c>
      <c r="AH11" s="11" t="s">
        <v>3062</v>
      </c>
      <c r="AJ11" s="12" t="s">
        <v>3302</v>
      </c>
      <c r="AM11" s="11" t="s">
        <v>489</v>
      </c>
      <c r="AN11" s="19" t="s">
        <v>2256</v>
      </c>
      <c r="AO11" s="11" t="s">
        <v>1315</v>
      </c>
      <c r="AP11" s="11" t="s">
        <v>488</v>
      </c>
      <c r="AV11" s="11" t="s">
        <v>235</v>
      </c>
      <c r="AX11" s="11" t="s">
        <v>3168</v>
      </c>
      <c r="AY11" s="11" t="s">
        <v>235</v>
      </c>
      <c r="BC11" s="11">
        <v>1</v>
      </c>
      <c r="BD11" s="11">
        <v>1</v>
      </c>
      <c r="BE11" s="11" t="s">
        <v>3325</v>
      </c>
      <c r="BI11" s="11">
        <v>1</v>
      </c>
      <c r="BJ11" s="11">
        <v>0</v>
      </c>
      <c r="BL11" s="11" t="s">
        <v>1556</v>
      </c>
      <c r="BM11" s="11" t="s">
        <v>3047</v>
      </c>
      <c r="BO11" s="11" t="s">
        <v>3035</v>
      </c>
      <c r="BS11" s="13"/>
    </row>
    <row r="12" spans="1:86" s="11" customFormat="1" x14ac:dyDescent="0.15">
      <c r="B12" s="11" t="s">
        <v>1585</v>
      </c>
      <c r="C12" s="157" t="s">
        <v>1246</v>
      </c>
      <c r="D12" s="158"/>
      <c r="E12" s="159" t="s">
        <v>1281</v>
      </c>
      <c r="F12" s="160"/>
      <c r="G12" s="13" t="s">
        <v>742</v>
      </c>
      <c r="H12" s="11" t="s">
        <v>1502</v>
      </c>
      <c r="I12" s="12" t="s">
        <v>3053</v>
      </c>
      <c r="J12" s="11" t="s">
        <v>1579</v>
      </c>
      <c r="K12" s="11" t="s">
        <v>396</v>
      </c>
      <c r="L12" s="11" t="s">
        <v>396</v>
      </c>
      <c r="M12" s="13" t="s">
        <v>772</v>
      </c>
      <c r="Q12" s="13" t="s">
        <v>1586</v>
      </c>
      <c r="R12" s="11" t="s">
        <v>1587</v>
      </c>
      <c r="S12" s="11" t="s">
        <v>773</v>
      </c>
      <c r="T12" s="11">
        <v>0</v>
      </c>
      <c r="U12" s="11">
        <v>0</v>
      </c>
      <c r="V12" s="11" t="s">
        <v>1582</v>
      </c>
      <c r="W12" s="11" t="s">
        <v>1583</v>
      </c>
      <c r="Y12" s="11" t="s">
        <v>1312</v>
      </c>
      <c r="Z12" s="11" t="s">
        <v>1584</v>
      </c>
      <c r="AB12" s="11" t="s">
        <v>1555</v>
      </c>
      <c r="AC12" s="11" t="s">
        <v>1555</v>
      </c>
      <c r="AD12" s="11">
        <v>1</v>
      </c>
      <c r="AH12" s="11" t="s">
        <v>3313</v>
      </c>
      <c r="AJ12" s="12" t="s">
        <v>3302</v>
      </c>
      <c r="AM12" s="11" t="s">
        <v>489</v>
      </c>
      <c r="AN12" s="13" t="s">
        <v>2250</v>
      </c>
      <c r="AO12" s="11" t="s">
        <v>1315</v>
      </c>
      <c r="AP12" s="11" t="s">
        <v>488</v>
      </c>
      <c r="AV12" s="11" t="s">
        <v>235</v>
      </c>
      <c r="AX12" s="11" t="s">
        <v>3148</v>
      </c>
      <c r="AY12" s="11" t="s">
        <v>235</v>
      </c>
      <c r="BC12" s="11">
        <v>1</v>
      </c>
      <c r="BD12" s="11">
        <v>1</v>
      </c>
      <c r="BE12" s="11" t="s">
        <v>3325</v>
      </c>
      <c r="BI12" s="11">
        <v>1</v>
      </c>
      <c r="BJ12" s="11">
        <v>0</v>
      </c>
      <c r="BL12" s="11" t="s">
        <v>1556</v>
      </c>
      <c r="BM12" s="11" t="s">
        <v>3047</v>
      </c>
      <c r="BO12" s="11" t="s">
        <v>3036</v>
      </c>
      <c r="BS12" s="13"/>
    </row>
    <row r="13" spans="1:86" s="11" customFormat="1" x14ac:dyDescent="0.15">
      <c r="B13" s="11" t="s">
        <v>1588</v>
      </c>
      <c r="C13" s="157" t="s">
        <v>1247</v>
      </c>
      <c r="D13" s="158"/>
      <c r="E13" s="159" t="s">
        <v>1282</v>
      </c>
      <c r="F13" s="158"/>
      <c r="G13" s="13" t="s">
        <v>742</v>
      </c>
      <c r="H13" s="11" t="s">
        <v>1505</v>
      </c>
      <c r="J13" s="11" t="s">
        <v>1589</v>
      </c>
      <c r="K13" s="11" t="s">
        <v>396</v>
      </c>
      <c r="L13" s="11" t="s">
        <v>396</v>
      </c>
      <c r="M13" s="13" t="s">
        <v>772</v>
      </c>
      <c r="Q13" s="13" t="s">
        <v>1590</v>
      </c>
      <c r="R13" s="11" t="s">
        <v>1591</v>
      </c>
      <c r="S13" s="11" t="s">
        <v>773</v>
      </c>
      <c r="T13" s="11">
        <v>0</v>
      </c>
      <c r="U13" s="11">
        <v>0</v>
      </c>
      <c r="V13" s="11" t="s">
        <v>1592</v>
      </c>
      <c r="W13" s="11" t="s">
        <v>1593</v>
      </c>
      <c r="Y13" s="11" t="s">
        <v>1312</v>
      </c>
      <c r="Z13" s="11" t="s">
        <v>1594</v>
      </c>
      <c r="AB13" s="11" t="s">
        <v>1555</v>
      </c>
      <c r="AC13" s="11" t="s">
        <v>1555</v>
      </c>
      <c r="AD13" s="11">
        <v>1</v>
      </c>
      <c r="AH13" s="11" t="s">
        <v>490</v>
      </c>
      <c r="AJ13" s="12" t="s">
        <v>3302</v>
      </c>
      <c r="AM13" s="11" t="s">
        <v>489</v>
      </c>
      <c r="AN13" s="11" t="s">
        <v>2245</v>
      </c>
      <c r="AO13" s="11" t="s">
        <v>1315</v>
      </c>
      <c r="AP13" s="11" t="s">
        <v>488</v>
      </c>
      <c r="AV13" s="11" t="s">
        <v>235</v>
      </c>
      <c r="AX13" s="11" t="s">
        <v>3149</v>
      </c>
      <c r="AY13" s="11" t="s">
        <v>235</v>
      </c>
      <c r="BC13" s="11">
        <v>1</v>
      </c>
      <c r="BD13" s="11">
        <v>1</v>
      </c>
      <c r="BE13" s="11" t="s">
        <v>3325</v>
      </c>
      <c r="BI13" s="11">
        <v>1</v>
      </c>
      <c r="BJ13" s="11">
        <v>0</v>
      </c>
      <c r="BL13" s="11" t="s">
        <v>1556</v>
      </c>
      <c r="BM13" s="11" t="s">
        <v>3047</v>
      </c>
      <c r="BO13" s="11" t="s">
        <v>3037</v>
      </c>
      <c r="BS13" s="13"/>
    </row>
    <row r="14" spans="1:86" s="11" customFormat="1" x14ac:dyDescent="0.15">
      <c r="B14" s="11" t="s">
        <v>1595</v>
      </c>
      <c r="C14" s="157" t="s">
        <v>1248</v>
      </c>
      <c r="D14" s="158"/>
      <c r="E14" s="159" t="s">
        <v>1283</v>
      </c>
      <c r="F14" s="160"/>
      <c r="G14" s="13" t="s">
        <v>742</v>
      </c>
      <c r="H14" s="11" t="s">
        <v>1509</v>
      </c>
      <c r="J14" s="11" t="s">
        <v>444</v>
      </c>
      <c r="K14" s="11" t="s">
        <v>775</v>
      </c>
      <c r="L14" s="11" t="s">
        <v>396</v>
      </c>
      <c r="M14" s="13" t="s">
        <v>772</v>
      </c>
      <c r="Q14" s="13" t="s">
        <v>1596</v>
      </c>
      <c r="R14" s="11" t="s">
        <v>1597</v>
      </c>
      <c r="S14" s="11" t="s">
        <v>773</v>
      </c>
      <c r="T14" s="11">
        <v>0</v>
      </c>
      <c r="U14" s="11">
        <v>0</v>
      </c>
      <c r="V14" s="11" t="s">
        <v>1598</v>
      </c>
      <c r="W14" s="11" t="s">
        <v>1599</v>
      </c>
      <c r="Y14" s="11" t="s">
        <v>1312</v>
      </c>
      <c r="Z14" s="11" t="s">
        <v>1600</v>
      </c>
      <c r="AB14" s="11" t="s">
        <v>1555</v>
      </c>
      <c r="AC14" s="11" t="s">
        <v>1555</v>
      </c>
      <c r="AD14" s="11">
        <v>1</v>
      </c>
      <c r="AH14" s="11" t="s">
        <v>490</v>
      </c>
      <c r="AJ14" s="12" t="s">
        <v>3302</v>
      </c>
      <c r="AM14" s="11" t="s">
        <v>489</v>
      </c>
      <c r="AN14" s="13" t="s">
        <v>2256</v>
      </c>
      <c r="AO14" s="11" t="s">
        <v>1315</v>
      </c>
      <c r="AP14" s="11" t="s">
        <v>488</v>
      </c>
      <c r="AV14" s="11" t="s">
        <v>235</v>
      </c>
      <c r="AX14" s="11" t="s">
        <v>3150</v>
      </c>
      <c r="AY14" s="11" t="s">
        <v>235</v>
      </c>
      <c r="BC14" s="11">
        <v>1</v>
      </c>
      <c r="BD14" s="11">
        <v>1</v>
      </c>
      <c r="BE14" s="11" t="s">
        <v>3325</v>
      </c>
      <c r="BI14" s="11">
        <v>1</v>
      </c>
      <c r="BJ14" s="11">
        <v>0</v>
      </c>
      <c r="BL14" s="11" t="s">
        <v>1556</v>
      </c>
      <c r="BM14" s="11" t="s">
        <v>3047</v>
      </c>
      <c r="BO14" s="11" t="s">
        <v>3038</v>
      </c>
      <c r="BS14" s="13"/>
    </row>
    <row r="15" spans="1:86" s="11" customFormat="1" x14ac:dyDescent="0.15">
      <c r="B15" s="11" t="s">
        <v>1601</v>
      </c>
      <c r="C15" s="157" t="s">
        <v>1249</v>
      </c>
      <c r="D15" s="158"/>
      <c r="E15" s="159" t="s">
        <v>1284</v>
      </c>
      <c r="F15" s="161"/>
      <c r="G15" s="13" t="s">
        <v>742</v>
      </c>
      <c r="H15" s="11" t="s">
        <v>1511</v>
      </c>
      <c r="I15" s="12" t="s">
        <v>3170</v>
      </c>
      <c r="J15" s="11" t="s">
        <v>1602</v>
      </c>
      <c r="K15" s="11" t="s">
        <v>396</v>
      </c>
      <c r="L15" s="11" t="s">
        <v>396</v>
      </c>
      <c r="M15" s="13" t="s">
        <v>772</v>
      </c>
      <c r="Q15" s="13" t="s">
        <v>1603</v>
      </c>
      <c r="R15" s="11" t="s">
        <v>1604</v>
      </c>
      <c r="S15" s="11" t="s">
        <v>773</v>
      </c>
      <c r="T15" s="11">
        <v>0</v>
      </c>
      <c r="U15" s="11">
        <v>0</v>
      </c>
      <c r="V15" s="11" t="s">
        <v>1605</v>
      </c>
      <c r="W15" s="11" t="s">
        <v>1606</v>
      </c>
      <c r="Y15" s="11" t="s">
        <v>1312</v>
      </c>
      <c r="Z15" s="11" t="s">
        <v>1607</v>
      </c>
      <c r="AB15" s="11" t="s">
        <v>1608</v>
      </c>
      <c r="AC15" s="11" t="s">
        <v>1608</v>
      </c>
      <c r="AD15" s="11">
        <v>1</v>
      </c>
      <c r="AH15" s="11" t="s">
        <v>3314</v>
      </c>
      <c r="AJ15" s="12" t="s">
        <v>3302</v>
      </c>
      <c r="AM15" s="11" t="s">
        <v>489</v>
      </c>
      <c r="AN15" s="13" t="s">
        <v>2245</v>
      </c>
      <c r="AO15" s="11" t="s">
        <v>1315</v>
      </c>
      <c r="AP15" s="11" t="s">
        <v>488</v>
      </c>
      <c r="AV15" s="11" t="s">
        <v>235</v>
      </c>
      <c r="AX15" s="11" t="s">
        <v>3147</v>
      </c>
      <c r="AY15" s="11" t="s">
        <v>235</v>
      </c>
      <c r="BC15" s="11">
        <v>1</v>
      </c>
      <c r="BD15" s="11">
        <v>1</v>
      </c>
      <c r="BE15" s="11" t="s">
        <v>3325</v>
      </c>
      <c r="BH15" s="13" t="s">
        <v>3129</v>
      </c>
      <c r="BI15" s="11">
        <v>1</v>
      </c>
      <c r="BJ15" s="11">
        <v>0</v>
      </c>
      <c r="BL15" s="11" t="s">
        <v>1556</v>
      </c>
      <c r="BM15" s="11" t="s">
        <v>3047</v>
      </c>
      <c r="BO15" s="11" t="s">
        <v>3039</v>
      </c>
      <c r="BS15" s="13"/>
    </row>
    <row r="16" spans="1:86" s="11" customFormat="1" x14ac:dyDescent="0.15">
      <c r="B16" s="11" t="s">
        <v>1609</v>
      </c>
      <c r="C16" s="157" t="s">
        <v>1250</v>
      </c>
      <c r="D16" s="158"/>
      <c r="E16" s="159" t="s">
        <v>1285</v>
      </c>
      <c r="F16" s="161"/>
      <c r="G16" s="13" t="s">
        <v>742</v>
      </c>
      <c r="H16" s="11" t="s">
        <v>1515</v>
      </c>
      <c r="I16" s="12" t="s">
        <v>3054</v>
      </c>
      <c r="J16" s="11" t="s">
        <v>1610</v>
      </c>
      <c r="K16" s="11" t="s">
        <v>396</v>
      </c>
      <c r="L16" s="11" t="s">
        <v>396</v>
      </c>
      <c r="M16" s="13" t="s">
        <v>772</v>
      </c>
      <c r="Q16" s="11" t="s">
        <v>1611</v>
      </c>
      <c r="R16" s="11" t="s">
        <v>1612</v>
      </c>
      <c r="S16" s="11" t="s">
        <v>773</v>
      </c>
      <c r="T16" s="11">
        <v>0</v>
      </c>
      <c r="U16" s="11">
        <v>0</v>
      </c>
      <c r="V16" s="11" t="s">
        <v>1613</v>
      </c>
      <c r="W16" s="11" t="s">
        <v>1614</v>
      </c>
      <c r="Y16" s="11" t="s">
        <v>1312</v>
      </c>
      <c r="Z16" s="11" t="s">
        <v>1615</v>
      </c>
      <c r="AB16" s="11" t="s">
        <v>1608</v>
      </c>
      <c r="AC16" s="11" t="s">
        <v>1608</v>
      </c>
      <c r="AD16" s="11">
        <v>1</v>
      </c>
      <c r="AH16" s="11" t="s">
        <v>490</v>
      </c>
      <c r="AJ16" s="12" t="s">
        <v>3302</v>
      </c>
      <c r="AM16" s="11" t="s">
        <v>489</v>
      </c>
      <c r="AN16" s="19" t="s">
        <v>2245</v>
      </c>
      <c r="AO16" s="11" t="s">
        <v>1315</v>
      </c>
      <c r="AP16" s="11" t="s">
        <v>488</v>
      </c>
      <c r="AV16" s="11" t="s">
        <v>235</v>
      </c>
      <c r="AX16" s="11" t="s">
        <v>235</v>
      </c>
      <c r="AY16" s="11" t="s">
        <v>235</v>
      </c>
      <c r="BC16" s="11">
        <v>1</v>
      </c>
      <c r="BD16" s="11">
        <v>1</v>
      </c>
      <c r="BE16" s="11" t="s">
        <v>3325</v>
      </c>
      <c r="BH16" s="13" t="s">
        <v>3129</v>
      </c>
      <c r="BI16" s="11">
        <v>1</v>
      </c>
      <c r="BJ16" s="11">
        <v>0</v>
      </c>
      <c r="BL16" s="11" t="s">
        <v>1556</v>
      </c>
      <c r="BM16" s="11" t="s">
        <v>3047</v>
      </c>
      <c r="BO16" s="11" t="s">
        <v>3040</v>
      </c>
      <c r="BS16" s="13"/>
    </row>
    <row r="17" spans="1:71" s="11" customFormat="1" x14ac:dyDescent="0.15">
      <c r="B17" s="11" t="s">
        <v>1616</v>
      </c>
      <c r="C17" s="157" t="s">
        <v>1251</v>
      </c>
      <c r="D17" s="160"/>
      <c r="E17" s="159" t="s">
        <v>1286</v>
      </c>
      <c r="F17" s="160"/>
      <c r="G17" s="13" t="s">
        <v>742</v>
      </c>
      <c r="H17" s="11" t="s">
        <v>1519</v>
      </c>
      <c r="J17" s="11" t="s">
        <v>1617</v>
      </c>
      <c r="K17" s="11" t="s">
        <v>396</v>
      </c>
      <c r="L17" s="11" t="s">
        <v>396</v>
      </c>
      <c r="M17" s="13" t="s">
        <v>3162</v>
      </c>
      <c r="Q17" s="13" t="s">
        <v>1618</v>
      </c>
      <c r="R17" s="11" t="s">
        <v>1619</v>
      </c>
      <c r="S17" s="11" t="s">
        <v>773</v>
      </c>
      <c r="T17" s="11">
        <v>0</v>
      </c>
      <c r="U17" s="11">
        <v>0</v>
      </c>
      <c r="V17" s="11" t="s">
        <v>1620</v>
      </c>
      <c r="W17" s="11" t="s">
        <v>1621</v>
      </c>
      <c r="Y17" s="11" t="s">
        <v>1312</v>
      </c>
      <c r="Z17" s="11" t="s">
        <v>1622</v>
      </c>
      <c r="AB17" s="11" t="s">
        <v>1608</v>
      </c>
      <c r="AC17" s="11" t="s">
        <v>1608</v>
      </c>
      <c r="AD17" s="11">
        <v>1</v>
      </c>
      <c r="AH17" s="11" t="s">
        <v>490</v>
      </c>
      <c r="AJ17" s="12" t="s">
        <v>3302</v>
      </c>
      <c r="AM17" s="11" t="s">
        <v>489</v>
      </c>
      <c r="AN17" s="19" t="s">
        <v>2245</v>
      </c>
      <c r="AO17" s="11" t="s">
        <v>1315</v>
      </c>
      <c r="AP17" s="11" t="s">
        <v>488</v>
      </c>
      <c r="AV17" s="11" t="s">
        <v>235</v>
      </c>
      <c r="AX17" s="11" t="s">
        <v>3154</v>
      </c>
      <c r="AY17" s="11" t="s">
        <v>235</v>
      </c>
      <c r="BC17" s="11">
        <v>1</v>
      </c>
      <c r="BD17" s="11">
        <v>1</v>
      </c>
      <c r="BE17" s="11" t="s">
        <v>3325</v>
      </c>
      <c r="BH17" s="13" t="s">
        <v>3129</v>
      </c>
      <c r="BI17" s="11">
        <v>1</v>
      </c>
      <c r="BJ17" s="11">
        <v>0</v>
      </c>
      <c r="BL17" s="11" t="s">
        <v>1556</v>
      </c>
      <c r="BM17" s="11" t="s">
        <v>3047</v>
      </c>
      <c r="BO17" s="11" t="s">
        <v>3041</v>
      </c>
      <c r="BS17" s="13"/>
    </row>
    <row r="18" spans="1:71" s="11" customFormat="1" x14ac:dyDescent="0.15">
      <c r="B18" s="11" t="s">
        <v>1623</v>
      </c>
      <c r="C18" s="157" t="s">
        <v>1252</v>
      </c>
      <c r="D18" s="158"/>
      <c r="E18" s="159" t="s">
        <v>1287</v>
      </c>
      <c r="F18" s="158"/>
      <c r="G18" s="13" t="s">
        <v>742</v>
      </c>
      <c r="H18" s="11" t="s">
        <v>1523</v>
      </c>
      <c r="J18" s="11" t="s">
        <v>1624</v>
      </c>
      <c r="K18" s="11" t="s">
        <v>396</v>
      </c>
      <c r="L18" s="11" t="s">
        <v>396</v>
      </c>
      <c r="M18" s="13" t="s">
        <v>772</v>
      </c>
      <c r="Q18" s="13" t="s">
        <v>1625</v>
      </c>
      <c r="R18" s="11" t="s">
        <v>1626</v>
      </c>
      <c r="S18" s="11" t="s">
        <v>773</v>
      </c>
      <c r="T18" s="11">
        <v>0</v>
      </c>
      <c r="U18" s="11">
        <v>0</v>
      </c>
      <c r="V18" s="11" t="s">
        <v>1627</v>
      </c>
      <c r="W18" s="11" t="s">
        <v>1628</v>
      </c>
      <c r="Y18" s="11" t="s">
        <v>1312</v>
      </c>
      <c r="Z18" s="11" t="s">
        <v>1629</v>
      </c>
      <c r="AB18" s="11" t="s">
        <v>1608</v>
      </c>
      <c r="AC18" s="11" t="s">
        <v>1608</v>
      </c>
      <c r="AD18" s="11">
        <v>1</v>
      </c>
      <c r="AH18" s="11" t="s">
        <v>490</v>
      </c>
      <c r="AJ18" s="12" t="s">
        <v>3302</v>
      </c>
      <c r="AM18" s="11" t="s">
        <v>489</v>
      </c>
      <c r="AN18" s="13" t="s">
        <v>2250</v>
      </c>
      <c r="AO18" s="11" t="s">
        <v>1315</v>
      </c>
      <c r="AP18" s="11" t="s">
        <v>488</v>
      </c>
      <c r="AV18" s="11" t="s">
        <v>235</v>
      </c>
      <c r="AX18" s="11" t="s">
        <v>235</v>
      </c>
      <c r="AY18" s="11" t="s">
        <v>235</v>
      </c>
      <c r="BC18" s="11">
        <v>1</v>
      </c>
      <c r="BD18" s="11">
        <v>1</v>
      </c>
      <c r="BE18" s="11" t="s">
        <v>3325</v>
      </c>
      <c r="BH18" s="13" t="s">
        <v>3129</v>
      </c>
      <c r="BI18" s="11">
        <v>1</v>
      </c>
      <c r="BJ18" s="11">
        <v>0</v>
      </c>
      <c r="BL18" s="11" t="s">
        <v>1556</v>
      </c>
      <c r="BM18" s="11" t="s">
        <v>3047</v>
      </c>
      <c r="BO18" s="11" t="s">
        <v>3042</v>
      </c>
    </row>
    <row r="19" spans="1:71" s="11" customFormat="1" x14ac:dyDescent="0.15">
      <c r="B19" s="11" t="s">
        <v>1630</v>
      </c>
      <c r="C19" s="157" t="s">
        <v>1253</v>
      </c>
      <c r="D19" s="158"/>
      <c r="E19" s="159" t="s">
        <v>1288</v>
      </c>
      <c r="F19" s="158"/>
      <c r="G19" s="13" t="s">
        <v>742</v>
      </c>
      <c r="H19" s="11" t="s">
        <v>1526</v>
      </c>
      <c r="J19" s="11" t="s">
        <v>1631</v>
      </c>
      <c r="K19" s="11" t="s">
        <v>396</v>
      </c>
      <c r="L19" s="11" t="s">
        <v>396</v>
      </c>
      <c r="M19" s="13" t="s">
        <v>772</v>
      </c>
      <c r="Q19" s="13" t="s">
        <v>1632</v>
      </c>
      <c r="R19" s="11" t="s">
        <v>1633</v>
      </c>
      <c r="S19" s="11" t="s">
        <v>773</v>
      </c>
      <c r="T19" s="11">
        <v>0</v>
      </c>
      <c r="U19" s="11">
        <v>0</v>
      </c>
      <c r="V19" s="11" t="s">
        <v>1634</v>
      </c>
      <c r="W19" s="11" t="s">
        <v>1635</v>
      </c>
      <c r="Y19" s="11" t="s">
        <v>1312</v>
      </c>
      <c r="Z19" s="11" t="s">
        <v>1636</v>
      </c>
      <c r="AB19" s="11" t="s">
        <v>1608</v>
      </c>
      <c r="AC19" s="11" t="s">
        <v>1608</v>
      </c>
      <c r="AD19" s="11">
        <v>1</v>
      </c>
      <c r="AH19" s="11" t="s">
        <v>490</v>
      </c>
      <c r="AJ19" s="12" t="s">
        <v>3302</v>
      </c>
      <c r="AM19" s="11" t="s">
        <v>489</v>
      </c>
      <c r="AN19" s="13" t="s">
        <v>2250</v>
      </c>
      <c r="AO19" s="11" t="s">
        <v>1315</v>
      </c>
      <c r="AP19" s="11" t="s">
        <v>488</v>
      </c>
      <c r="AV19" s="11" t="s">
        <v>235</v>
      </c>
      <c r="AX19" s="11" t="s">
        <v>3149</v>
      </c>
      <c r="AY19" s="11" t="s">
        <v>235</v>
      </c>
      <c r="BC19" s="11">
        <v>1</v>
      </c>
      <c r="BD19" s="11">
        <v>1</v>
      </c>
      <c r="BE19" s="11" t="s">
        <v>3325</v>
      </c>
      <c r="BH19" s="13" t="s">
        <v>3129</v>
      </c>
      <c r="BI19" s="11">
        <v>1</v>
      </c>
      <c r="BJ19" s="11">
        <v>0</v>
      </c>
      <c r="BL19" s="11" t="s">
        <v>1556</v>
      </c>
      <c r="BM19" s="11" t="s">
        <v>3047</v>
      </c>
      <c r="BO19" s="11" t="s">
        <v>3043</v>
      </c>
      <c r="BS19" s="13"/>
    </row>
    <row r="20" spans="1:71" s="11" customFormat="1" x14ac:dyDescent="0.15">
      <c r="B20" s="11" t="s">
        <v>1637</v>
      </c>
      <c r="C20" s="157" t="s">
        <v>1254</v>
      </c>
      <c r="D20" s="158"/>
      <c r="E20" s="159" t="s">
        <v>1289</v>
      </c>
      <c r="F20" s="160"/>
      <c r="G20" s="13" t="s">
        <v>742</v>
      </c>
      <c r="H20" s="11" t="s">
        <v>1530</v>
      </c>
      <c r="J20" s="11" t="s">
        <v>1638</v>
      </c>
      <c r="K20" s="11" t="s">
        <v>396</v>
      </c>
      <c r="L20" s="11" t="s">
        <v>396</v>
      </c>
      <c r="M20" s="13" t="s">
        <v>772</v>
      </c>
      <c r="Q20" s="13" t="s">
        <v>1639</v>
      </c>
      <c r="R20" s="11" t="s">
        <v>1640</v>
      </c>
      <c r="S20" s="11" t="s">
        <v>773</v>
      </c>
      <c r="T20" s="11">
        <v>0</v>
      </c>
      <c r="U20" s="11">
        <v>0</v>
      </c>
      <c r="V20" s="11" t="s">
        <v>1641</v>
      </c>
      <c r="W20" s="11" t="s">
        <v>1642</v>
      </c>
      <c r="Y20" s="11" t="s">
        <v>1312</v>
      </c>
      <c r="Z20" s="11" t="s">
        <v>1643</v>
      </c>
      <c r="AB20" s="11" t="s">
        <v>1608</v>
      </c>
      <c r="AC20" s="11" t="s">
        <v>1608</v>
      </c>
      <c r="AD20" s="11">
        <v>1</v>
      </c>
      <c r="AH20" s="11" t="s">
        <v>490</v>
      </c>
      <c r="AJ20" s="12" t="s">
        <v>3302</v>
      </c>
      <c r="AM20" s="11" t="s">
        <v>489</v>
      </c>
      <c r="AN20" s="13" t="s">
        <v>2256</v>
      </c>
      <c r="AO20" s="11" t="s">
        <v>1315</v>
      </c>
      <c r="AP20" s="11" t="s">
        <v>493</v>
      </c>
      <c r="AV20" s="11" t="s">
        <v>235</v>
      </c>
      <c r="AX20" s="11" t="s">
        <v>3155</v>
      </c>
      <c r="AY20" s="11" t="s">
        <v>235</v>
      </c>
      <c r="BC20" s="11">
        <v>1</v>
      </c>
      <c r="BD20" s="11">
        <v>1</v>
      </c>
      <c r="BE20" s="11" t="s">
        <v>3325</v>
      </c>
      <c r="BH20" s="13" t="s">
        <v>3129</v>
      </c>
      <c r="BI20" s="11">
        <v>1</v>
      </c>
      <c r="BJ20" s="11">
        <v>0</v>
      </c>
      <c r="BL20" s="11" t="s">
        <v>1556</v>
      </c>
      <c r="BM20" s="11" t="s">
        <v>3047</v>
      </c>
      <c r="BO20" s="11" t="s">
        <v>3044</v>
      </c>
      <c r="BS20" s="13"/>
    </row>
    <row r="21" spans="1:71" s="11" customFormat="1" x14ac:dyDescent="0.15">
      <c r="B21" s="11" t="s">
        <v>1644</v>
      </c>
      <c r="C21" s="157" t="s">
        <v>1255</v>
      </c>
      <c r="D21" s="158"/>
      <c r="E21" s="159" t="s">
        <v>1290</v>
      </c>
      <c r="F21" s="158"/>
      <c r="G21" s="13" t="s">
        <v>742</v>
      </c>
      <c r="H21" s="11" t="s">
        <v>1533</v>
      </c>
      <c r="J21" s="11" t="s">
        <v>1645</v>
      </c>
      <c r="K21" s="11" t="s">
        <v>396</v>
      </c>
      <c r="L21" s="11" t="s">
        <v>396</v>
      </c>
      <c r="M21" s="13" t="s">
        <v>772</v>
      </c>
      <c r="Q21" s="13" t="s">
        <v>1646</v>
      </c>
      <c r="R21" s="11" t="s">
        <v>1647</v>
      </c>
      <c r="S21" s="11" t="s">
        <v>773</v>
      </c>
      <c r="T21" s="11">
        <v>0</v>
      </c>
      <c r="U21" s="11">
        <v>0</v>
      </c>
      <c r="V21" s="11" t="s">
        <v>1648</v>
      </c>
      <c r="W21" s="11" t="s">
        <v>1649</v>
      </c>
      <c r="Y21" s="11" t="s">
        <v>1312</v>
      </c>
      <c r="Z21" s="11" t="s">
        <v>1650</v>
      </c>
      <c r="AB21" s="11" t="s">
        <v>1608</v>
      </c>
      <c r="AC21" s="11" t="s">
        <v>1608</v>
      </c>
      <c r="AD21" s="11">
        <v>1</v>
      </c>
      <c r="AH21" s="11" t="s">
        <v>490</v>
      </c>
      <c r="AJ21" s="12" t="s">
        <v>3302</v>
      </c>
      <c r="AM21" s="11" t="s">
        <v>489</v>
      </c>
      <c r="AN21" s="13" t="s">
        <v>2256</v>
      </c>
      <c r="AO21" s="11" t="s">
        <v>1315</v>
      </c>
      <c r="AP21" s="11" t="s">
        <v>488</v>
      </c>
      <c r="AV21" s="11" t="s">
        <v>235</v>
      </c>
      <c r="AX21" s="11" t="s">
        <v>3156</v>
      </c>
      <c r="AY21" s="11" t="s">
        <v>235</v>
      </c>
      <c r="BC21" s="11">
        <v>1</v>
      </c>
      <c r="BD21" s="11">
        <v>1</v>
      </c>
      <c r="BE21" s="11" t="s">
        <v>3325</v>
      </c>
      <c r="BH21" s="13" t="s">
        <v>3129</v>
      </c>
      <c r="BI21" s="11">
        <v>1</v>
      </c>
      <c r="BJ21" s="11">
        <v>0</v>
      </c>
      <c r="BL21" s="11" t="s">
        <v>1556</v>
      </c>
      <c r="BM21" s="11" t="s">
        <v>3047</v>
      </c>
      <c r="BO21" s="11" t="s">
        <v>3045</v>
      </c>
      <c r="BS21" s="13"/>
    </row>
    <row r="22" spans="1:71" s="11" customFormat="1" x14ac:dyDescent="0.15">
      <c r="B22" s="11" t="s">
        <v>1651</v>
      </c>
      <c r="C22" s="157" t="s">
        <v>1256</v>
      </c>
      <c r="D22" s="158"/>
      <c r="E22" s="159" t="s">
        <v>1291</v>
      </c>
      <c r="F22" s="158"/>
      <c r="G22" s="13" t="s">
        <v>742</v>
      </c>
      <c r="H22" s="11" t="s">
        <v>1537</v>
      </c>
      <c r="J22" s="11" t="s">
        <v>444</v>
      </c>
      <c r="K22" s="11" t="s">
        <v>396</v>
      </c>
      <c r="L22" s="11" t="s">
        <v>396</v>
      </c>
      <c r="M22" s="13" t="s">
        <v>772</v>
      </c>
      <c r="Q22" s="13" t="s">
        <v>1652</v>
      </c>
      <c r="R22" s="11" t="s">
        <v>1653</v>
      </c>
      <c r="S22" s="11" t="s">
        <v>773</v>
      </c>
      <c r="T22" s="11">
        <v>0</v>
      </c>
      <c r="U22" s="11">
        <v>0</v>
      </c>
      <c r="V22" s="11" t="s">
        <v>1654</v>
      </c>
      <c r="W22" s="11" t="s">
        <v>1655</v>
      </c>
      <c r="Y22" s="11" t="s">
        <v>1312</v>
      </c>
      <c r="Z22" s="11" t="s">
        <v>1656</v>
      </c>
      <c r="AB22" s="11" t="s">
        <v>1608</v>
      </c>
      <c r="AC22" s="11" t="s">
        <v>1608</v>
      </c>
      <c r="AD22" s="11">
        <v>1</v>
      </c>
      <c r="AH22" s="11" t="s">
        <v>490</v>
      </c>
      <c r="AJ22" s="12" t="s">
        <v>3302</v>
      </c>
      <c r="AM22" s="11" t="s">
        <v>489</v>
      </c>
      <c r="AN22" s="13" t="s">
        <v>2256</v>
      </c>
      <c r="AO22" s="11" t="s">
        <v>1315</v>
      </c>
      <c r="AP22" s="11" t="s">
        <v>493</v>
      </c>
      <c r="AV22" s="11" t="s">
        <v>235</v>
      </c>
      <c r="AX22" s="11" t="s">
        <v>3156</v>
      </c>
      <c r="AY22" s="11" t="s">
        <v>235</v>
      </c>
      <c r="BC22" s="11">
        <v>1</v>
      </c>
      <c r="BD22" s="11">
        <v>1</v>
      </c>
      <c r="BE22" s="11" t="s">
        <v>3325</v>
      </c>
      <c r="BH22" s="13" t="s">
        <v>3129</v>
      </c>
      <c r="BI22" s="11">
        <v>1</v>
      </c>
      <c r="BJ22" s="11">
        <v>0</v>
      </c>
      <c r="BL22" s="11" t="s">
        <v>1556</v>
      </c>
      <c r="BM22" s="11" t="s">
        <v>3047</v>
      </c>
      <c r="BO22" s="11" t="s">
        <v>3046</v>
      </c>
      <c r="BS22" s="13"/>
    </row>
    <row r="23" spans="1:71" s="11" customFormat="1" x14ac:dyDescent="0.15">
      <c r="A23" s="11" t="s">
        <v>492</v>
      </c>
      <c r="B23" s="11" t="s">
        <v>1657</v>
      </c>
      <c r="C23" s="157" t="s">
        <v>1257</v>
      </c>
      <c r="D23" s="158"/>
      <c r="E23" s="159" t="s">
        <v>1292</v>
      </c>
      <c r="F23" s="158"/>
      <c r="G23" s="13" t="s">
        <v>1658</v>
      </c>
      <c r="H23" s="11" t="s">
        <v>1483</v>
      </c>
      <c r="I23" s="12" t="s">
        <v>3055</v>
      </c>
      <c r="J23" s="11" t="s">
        <v>782</v>
      </c>
      <c r="K23" s="11" t="s">
        <v>491</v>
      </c>
      <c r="L23" s="11" t="s">
        <v>396</v>
      </c>
      <c r="M23" s="13" t="s">
        <v>445</v>
      </c>
      <c r="Q23" s="13" t="s">
        <v>1659</v>
      </c>
      <c r="R23" s="11" t="s">
        <v>1660</v>
      </c>
      <c r="S23" s="11" t="s">
        <v>773</v>
      </c>
      <c r="T23" s="11">
        <v>0</v>
      </c>
      <c r="U23" s="11">
        <v>0</v>
      </c>
      <c r="V23" s="11" t="s">
        <v>1661</v>
      </c>
      <c r="W23" s="11" t="s">
        <v>1662</v>
      </c>
      <c r="Z23" s="11" t="s">
        <v>1663</v>
      </c>
      <c r="AB23" s="11" t="s">
        <v>1608</v>
      </c>
      <c r="AC23" s="11" t="s">
        <v>1608</v>
      </c>
      <c r="AD23" s="11">
        <v>0</v>
      </c>
      <c r="AH23" s="11" t="s">
        <v>490</v>
      </c>
      <c r="AJ23" s="12" t="s">
        <v>3302</v>
      </c>
      <c r="AM23" s="11" t="s">
        <v>489</v>
      </c>
      <c r="AN23" s="19" t="s">
        <v>2245</v>
      </c>
      <c r="AO23" s="11" t="s">
        <v>1315</v>
      </c>
      <c r="AP23" s="11" t="s">
        <v>488</v>
      </c>
      <c r="AV23" s="11" t="s">
        <v>235</v>
      </c>
      <c r="AX23" s="11" t="s">
        <v>235</v>
      </c>
      <c r="AY23" s="11" t="s">
        <v>235</v>
      </c>
      <c r="BC23" s="11">
        <v>1</v>
      </c>
      <c r="BD23" s="11">
        <v>1</v>
      </c>
      <c r="BE23" s="11" t="s">
        <v>3325</v>
      </c>
      <c r="BI23" s="11">
        <v>0</v>
      </c>
      <c r="BJ23" s="11">
        <v>0</v>
      </c>
      <c r="BL23" s="11" t="s">
        <v>1556</v>
      </c>
      <c r="BM23" s="11" t="s">
        <v>3047</v>
      </c>
      <c r="BS23" s="13"/>
    </row>
    <row r="24" spans="1:71" s="11" customFormat="1" x14ac:dyDescent="0.15">
      <c r="A24" s="11" t="s">
        <v>492</v>
      </c>
      <c r="B24" s="11" t="s">
        <v>1664</v>
      </c>
      <c r="C24" s="157" t="s">
        <v>1258</v>
      </c>
      <c r="D24" s="158"/>
      <c r="E24" s="159" t="s">
        <v>1293</v>
      </c>
      <c r="F24" s="160"/>
      <c r="G24" s="13" t="s">
        <v>1665</v>
      </c>
      <c r="H24" s="11" t="s">
        <v>1487</v>
      </c>
      <c r="I24" s="12" t="s">
        <v>3056</v>
      </c>
      <c r="J24" s="11" t="s">
        <v>782</v>
      </c>
      <c r="K24" s="11" t="s">
        <v>491</v>
      </c>
      <c r="L24" s="11" t="s">
        <v>396</v>
      </c>
      <c r="M24" s="13" t="s">
        <v>445</v>
      </c>
      <c r="Q24" s="13" t="s">
        <v>1666</v>
      </c>
      <c r="R24" s="11" t="s">
        <v>1667</v>
      </c>
      <c r="S24" s="11" t="s">
        <v>773</v>
      </c>
      <c r="T24" s="11">
        <v>0</v>
      </c>
      <c r="U24" s="11">
        <v>0</v>
      </c>
      <c r="V24" s="11" t="s">
        <v>1668</v>
      </c>
      <c r="W24" s="11" t="s">
        <v>1669</v>
      </c>
      <c r="Z24" s="11" t="s">
        <v>1670</v>
      </c>
      <c r="AB24" s="11" t="s">
        <v>1608</v>
      </c>
      <c r="AC24" s="11" t="s">
        <v>1608</v>
      </c>
      <c r="AD24" s="11">
        <v>0</v>
      </c>
      <c r="AH24" s="11" t="s">
        <v>3307</v>
      </c>
      <c r="AJ24" s="12" t="s">
        <v>3302</v>
      </c>
      <c r="AM24" s="11" t="s">
        <v>489</v>
      </c>
      <c r="AN24" s="19" t="s">
        <v>2245</v>
      </c>
      <c r="AO24" s="11" t="s">
        <v>1315</v>
      </c>
      <c r="AP24" s="11" t="s">
        <v>488</v>
      </c>
      <c r="AV24" s="11" t="s">
        <v>235</v>
      </c>
      <c r="AX24" s="11" t="s">
        <v>3146</v>
      </c>
      <c r="AY24" s="11" t="s">
        <v>235</v>
      </c>
      <c r="BC24" s="11">
        <v>1</v>
      </c>
      <c r="BD24" s="11">
        <v>1</v>
      </c>
      <c r="BE24" s="11" t="s">
        <v>3325</v>
      </c>
      <c r="BI24" s="11">
        <v>0</v>
      </c>
      <c r="BJ24" s="11">
        <v>0</v>
      </c>
      <c r="BL24" s="11" t="s">
        <v>1556</v>
      </c>
      <c r="BM24" s="11" t="s">
        <v>3047</v>
      </c>
      <c r="BS24" s="13"/>
    </row>
    <row r="25" spans="1:71" s="11" customFormat="1" x14ac:dyDescent="0.15">
      <c r="A25" s="11" t="s">
        <v>492</v>
      </c>
      <c r="B25" s="11" t="s">
        <v>1671</v>
      </c>
      <c r="C25" s="157" t="s">
        <v>1259</v>
      </c>
      <c r="D25" s="158"/>
      <c r="E25" s="159" t="s">
        <v>1294</v>
      </c>
      <c r="F25" s="160"/>
      <c r="G25" s="13" t="s">
        <v>1672</v>
      </c>
      <c r="H25" s="11" t="s">
        <v>1491</v>
      </c>
      <c r="I25" s="12" t="s">
        <v>3057</v>
      </c>
      <c r="J25" s="11" t="s">
        <v>782</v>
      </c>
      <c r="K25" s="11" t="s">
        <v>491</v>
      </c>
      <c r="L25" s="11" t="s">
        <v>396</v>
      </c>
      <c r="M25" s="13" t="s">
        <v>772</v>
      </c>
      <c r="Q25" s="13" t="s">
        <v>1673</v>
      </c>
      <c r="R25" s="11" t="s">
        <v>1674</v>
      </c>
      <c r="S25" s="11" t="s">
        <v>773</v>
      </c>
      <c r="T25" s="11">
        <v>0</v>
      </c>
      <c r="U25" s="11">
        <v>0</v>
      </c>
      <c r="V25" s="11" t="s">
        <v>1675</v>
      </c>
      <c r="W25" s="11" t="s">
        <v>1676</v>
      </c>
      <c r="Z25" s="11" t="s">
        <v>1677</v>
      </c>
      <c r="AB25" s="11" t="s">
        <v>1608</v>
      </c>
      <c r="AC25" s="11" t="s">
        <v>1608</v>
      </c>
      <c r="AD25" s="11">
        <v>0</v>
      </c>
      <c r="AH25" s="11" t="s">
        <v>3308</v>
      </c>
      <c r="AJ25" s="12" t="s">
        <v>3302</v>
      </c>
      <c r="AM25" s="11" t="s">
        <v>489</v>
      </c>
      <c r="AN25" s="19" t="s">
        <v>2250</v>
      </c>
      <c r="AO25" s="11" t="s">
        <v>1315</v>
      </c>
      <c r="AP25" s="11" t="s">
        <v>488</v>
      </c>
      <c r="AV25" s="11" t="s">
        <v>235</v>
      </c>
      <c r="AX25" s="11" t="s">
        <v>3147</v>
      </c>
      <c r="AY25" s="11" t="s">
        <v>235</v>
      </c>
      <c r="BC25" s="11">
        <v>1</v>
      </c>
      <c r="BD25" s="11">
        <v>1</v>
      </c>
      <c r="BE25" s="11" t="s">
        <v>3325</v>
      </c>
      <c r="BI25" s="11">
        <v>0</v>
      </c>
      <c r="BJ25" s="11">
        <v>0</v>
      </c>
      <c r="BL25" s="11" t="s">
        <v>1556</v>
      </c>
      <c r="BM25" s="11" t="s">
        <v>3047</v>
      </c>
    </row>
    <row r="26" spans="1:71" s="11" customFormat="1" x14ac:dyDescent="0.15">
      <c r="A26" s="11" t="s">
        <v>492</v>
      </c>
      <c r="B26" s="11" t="s">
        <v>1678</v>
      </c>
      <c r="C26" s="157" t="s">
        <v>1260</v>
      </c>
      <c r="D26" s="158"/>
      <c r="E26" s="159" t="s">
        <v>1295</v>
      </c>
      <c r="F26" s="158"/>
      <c r="G26" s="13" t="s">
        <v>1679</v>
      </c>
      <c r="H26" s="11" t="s">
        <v>1495</v>
      </c>
      <c r="I26" s="11" t="s">
        <v>3058</v>
      </c>
      <c r="J26" s="11" t="s">
        <v>782</v>
      </c>
      <c r="K26" s="11" t="s">
        <v>491</v>
      </c>
      <c r="L26" s="11" t="s">
        <v>396</v>
      </c>
      <c r="M26" s="13" t="s">
        <v>772</v>
      </c>
      <c r="Q26" s="13" t="s">
        <v>1680</v>
      </c>
      <c r="R26" s="11" t="s">
        <v>1681</v>
      </c>
      <c r="S26" s="11" t="s">
        <v>773</v>
      </c>
      <c r="T26" s="11">
        <v>0</v>
      </c>
      <c r="U26" s="11">
        <v>0</v>
      </c>
      <c r="V26" s="11" t="s">
        <v>1682</v>
      </c>
      <c r="W26" s="11" t="s">
        <v>1683</v>
      </c>
      <c r="Z26" s="11" t="s">
        <v>1684</v>
      </c>
      <c r="AB26" s="11" t="s">
        <v>1608</v>
      </c>
      <c r="AC26" s="11" t="s">
        <v>1608</v>
      </c>
      <c r="AD26" s="11">
        <v>0</v>
      </c>
      <c r="AH26" s="11" t="s">
        <v>490</v>
      </c>
      <c r="AJ26" s="12" t="s">
        <v>3302</v>
      </c>
      <c r="AM26" s="11" t="s">
        <v>489</v>
      </c>
      <c r="AN26" s="19" t="s">
        <v>2250</v>
      </c>
      <c r="AO26" s="11" t="s">
        <v>1315</v>
      </c>
      <c r="AP26" s="11" t="s">
        <v>488</v>
      </c>
      <c r="AV26" s="11" t="s">
        <v>235</v>
      </c>
      <c r="AX26" s="11" t="s">
        <v>3149</v>
      </c>
      <c r="AY26" s="11" t="s">
        <v>235</v>
      </c>
      <c r="BC26" s="11">
        <v>1</v>
      </c>
      <c r="BD26" s="11">
        <v>1</v>
      </c>
      <c r="BE26" s="11" t="s">
        <v>3325</v>
      </c>
      <c r="BI26" s="11">
        <v>0</v>
      </c>
      <c r="BJ26" s="11">
        <v>0</v>
      </c>
      <c r="BL26" s="11" t="s">
        <v>1556</v>
      </c>
      <c r="BM26" s="11" t="s">
        <v>3047</v>
      </c>
    </row>
    <row r="27" spans="1:71" s="11" customFormat="1" x14ac:dyDescent="0.15">
      <c r="A27" s="11" t="s">
        <v>492</v>
      </c>
      <c r="B27" s="11" t="s">
        <v>1685</v>
      </c>
      <c r="C27" s="157" t="s">
        <v>1261</v>
      </c>
      <c r="D27" s="158"/>
      <c r="E27" s="159" t="s">
        <v>1296</v>
      </c>
      <c r="F27" s="160"/>
      <c r="G27" s="13" t="s">
        <v>1686</v>
      </c>
      <c r="H27" s="11" t="s">
        <v>1498</v>
      </c>
      <c r="J27" s="11" t="s">
        <v>782</v>
      </c>
      <c r="K27" s="11" t="s">
        <v>491</v>
      </c>
      <c r="L27" s="11" t="s">
        <v>396</v>
      </c>
      <c r="M27" s="13" t="s">
        <v>3061</v>
      </c>
      <c r="Q27" s="13" t="s">
        <v>1687</v>
      </c>
      <c r="R27" s="11" t="s">
        <v>1688</v>
      </c>
      <c r="S27" s="11" t="s">
        <v>773</v>
      </c>
      <c r="T27" s="11">
        <v>0</v>
      </c>
      <c r="U27" s="11">
        <v>0</v>
      </c>
      <c r="V27" s="11" t="s">
        <v>1689</v>
      </c>
      <c r="W27" s="11" t="s">
        <v>1690</v>
      </c>
      <c r="Z27" s="11" t="s">
        <v>1691</v>
      </c>
      <c r="AB27" s="11" t="s">
        <v>1608</v>
      </c>
      <c r="AC27" s="11" t="s">
        <v>1608</v>
      </c>
      <c r="AD27" s="11">
        <v>0</v>
      </c>
      <c r="AH27" s="11" t="s">
        <v>3062</v>
      </c>
      <c r="AJ27" s="12" t="s">
        <v>3302</v>
      </c>
      <c r="AM27" s="11" t="s">
        <v>489</v>
      </c>
      <c r="AN27" s="19" t="s">
        <v>2256</v>
      </c>
      <c r="AO27" s="11" t="s">
        <v>1315</v>
      </c>
      <c r="AP27" s="11" t="s">
        <v>488</v>
      </c>
      <c r="AV27" s="11" t="s">
        <v>235</v>
      </c>
      <c r="AX27" s="11" t="s">
        <v>3168</v>
      </c>
      <c r="AY27" s="11" t="s">
        <v>235</v>
      </c>
      <c r="BC27" s="11">
        <v>1</v>
      </c>
      <c r="BD27" s="11">
        <v>1</v>
      </c>
      <c r="BE27" s="11" t="s">
        <v>3325</v>
      </c>
      <c r="BI27" s="11">
        <v>0</v>
      </c>
      <c r="BJ27" s="11">
        <v>0</v>
      </c>
      <c r="BL27" s="11" t="s">
        <v>1556</v>
      </c>
      <c r="BM27" s="11" t="s">
        <v>3047</v>
      </c>
      <c r="BS27" s="13"/>
    </row>
    <row r="28" spans="1:71" s="11" customFormat="1" x14ac:dyDescent="0.15">
      <c r="A28" s="11" t="s">
        <v>492</v>
      </c>
      <c r="B28" s="11" t="s">
        <v>1692</v>
      </c>
      <c r="C28" s="157" t="s">
        <v>1262</v>
      </c>
      <c r="D28" s="158"/>
      <c r="E28" s="159" t="s">
        <v>1297</v>
      </c>
      <c r="F28" s="160"/>
      <c r="G28" s="13" t="s">
        <v>1693</v>
      </c>
      <c r="H28" s="11" t="s">
        <v>1502</v>
      </c>
      <c r="I28" s="12" t="s">
        <v>3059</v>
      </c>
      <c r="J28" s="11" t="s">
        <v>782</v>
      </c>
      <c r="K28" s="11" t="s">
        <v>491</v>
      </c>
      <c r="L28" s="11" t="s">
        <v>396</v>
      </c>
      <c r="M28" s="13" t="s">
        <v>772</v>
      </c>
      <c r="Q28" s="13" t="s">
        <v>1694</v>
      </c>
      <c r="R28" s="11" t="s">
        <v>1695</v>
      </c>
      <c r="S28" s="11" t="s">
        <v>773</v>
      </c>
      <c r="T28" s="11">
        <v>0</v>
      </c>
      <c r="U28" s="11">
        <v>0</v>
      </c>
      <c r="V28" s="11" t="s">
        <v>1696</v>
      </c>
      <c r="W28" s="11" t="s">
        <v>1697</v>
      </c>
      <c r="Z28" s="11" t="s">
        <v>1698</v>
      </c>
      <c r="AB28" s="11" t="s">
        <v>1608</v>
      </c>
      <c r="AC28" s="11" t="s">
        <v>1608</v>
      </c>
      <c r="AD28" s="11">
        <v>0</v>
      </c>
      <c r="AH28" s="11" t="s">
        <v>3309</v>
      </c>
      <c r="AJ28" s="12" t="s">
        <v>3302</v>
      </c>
      <c r="AM28" s="11" t="s">
        <v>489</v>
      </c>
      <c r="AN28" s="13" t="s">
        <v>2250</v>
      </c>
      <c r="AO28" s="11" t="s">
        <v>1315</v>
      </c>
      <c r="AP28" s="11" t="s">
        <v>493</v>
      </c>
      <c r="AV28" s="11" t="s">
        <v>235</v>
      </c>
      <c r="AX28" s="11" t="s">
        <v>3148</v>
      </c>
      <c r="AY28" s="11" t="s">
        <v>235</v>
      </c>
      <c r="BC28" s="11">
        <v>1</v>
      </c>
      <c r="BD28" s="11">
        <v>1</v>
      </c>
      <c r="BE28" s="11" t="s">
        <v>3325</v>
      </c>
      <c r="BI28" s="11">
        <v>0</v>
      </c>
      <c r="BJ28" s="11">
        <v>0</v>
      </c>
      <c r="BL28" s="11" t="s">
        <v>1556</v>
      </c>
      <c r="BM28" s="11" t="s">
        <v>3047</v>
      </c>
      <c r="BS28" s="13"/>
    </row>
    <row r="29" spans="1:71" s="11" customFormat="1" x14ac:dyDescent="0.15">
      <c r="A29" s="11" t="s">
        <v>492</v>
      </c>
      <c r="B29" s="11" t="s">
        <v>1699</v>
      </c>
      <c r="C29" s="157" t="s">
        <v>1263</v>
      </c>
      <c r="D29" s="158"/>
      <c r="E29" s="159" t="s">
        <v>1298</v>
      </c>
      <c r="F29" s="158"/>
      <c r="G29" s="13" t="s">
        <v>1700</v>
      </c>
      <c r="H29" s="11" t="s">
        <v>1505</v>
      </c>
      <c r="J29" s="11" t="s">
        <v>782</v>
      </c>
      <c r="K29" s="11" t="s">
        <v>491</v>
      </c>
      <c r="L29" s="11" t="s">
        <v>396</v>
      </c>
      <c r="M29" s="13" t="s">
        <v>772</v>
      </c>
      <c r="Q29" s="11" t="s">
        <v>1701</v>
      </c>
      <c r="R29" s="11" t="s">
        <v>1702</v>
      </c>
      <c r="S29" s="11" t="s">
        <v>773</v>
      </c>
      <c r="T29" s="11">
        <v>0</v>
      </c>
      <c r="U29" s="11">
        <v>0</v>
      </c>
      <c r="V29" s="11" t="s">
        <v>1703</v>
      </c>
      <c r="W29" s="11" t="s">
        <v>1704</v>
      </c>
      <c r="Z29" s="11" t="s">
        <v>1705</v>
      </c>
      <c r="AB29" s="11" t="s">
        <v>1608</v>
      </c>
      <c r="AC29" s="11" t="s">
        <v>1608</v>
      </c>
      <c r="AD29" s="11">
        <v>0</v>
      </c>
      <c r="AH29" s="11" t="s">
        <v>490</v>
      </c>
      <c r="AJ29" s="12" t="s">
        <v>3302</v>
      </c>
      <c r="AM29" s="11" t="s">
        <v>489</v>
      </c>
      <c r="AN29" s="11" t="s">
        <v>2245</v>
      </c>
      <c r="AO29" s="11" t="s">
        <v>1315</v>
      </c>
      <c r="AP29" s="11" t="s">
        <v>488</v>
      </c>
      <c r="AV29" s="11" t="s">
        <v>235</v>
      </c>
      <c r="AX29" s="11" t="s">
        <v>3149</v>
      </c>
      <c r="AY29" s="11" t="s">
        <v>235</v>
      </c>
      <c r="BC29" s="11">
        <v>1</v>
      </c>
      <c r="BD29" s="11">
        <v>1</v>
      </c>
      <c r="BE29" s="11" t="s">
        <v>3325</v>
      </c>
      <c r="BI29" s="11">
        <v>0</v>
      </c>
      <c r="BJ29" s="11">
        <v>0</v>
      </c>
      <c r="BL29" s="11" t="s">
        <v>1556</v>
      </c>
      <c r="BM29" s="11" t="s">
        <v>3047</v>
      </c>
      <c r="BS29" s="13"/>
    </row>
    <row r="30" spans="1:71" s="11" customFormat="1" x14ac:dyDescent="0.15">
      <c r="A30" s="11" t="s">
        <v>492</v>
      </c>
      <c r="B30" s="11" t="s">
        <v>1706</v>
      </c>
      <c r="C30" s="157" t="s">
        <v>1264</v>
      </c>
      <c r="D30" s="158"/>
      <c r="E30" s="159" t="s">
        <v>1299</v>
      </c>
      <c r="F30" s="160"/>
      <c r="G30" s="13" t="s">
        <v>1707</v>
      </c>
      <c r="H30" s="11" t="s">
        <v>1509</v>
      </c>
      <c r="J30" s="11" t="s">
        <v>782</v>
      </c>
      <c r="K30" s="11" t="s">
        <v>491</v>
      </c>
      <c r="L30" s="11" t="s">
        <v>396</v>
      </c>
      <c r="M30" s="13" t="s">
        <v>772</v>
      </c>
      <c r="Q30" s="11" t="s">
        <v>1708</v>
      </c>
      <c r="R30" s="11" t="s">
        <v>1709</v>
      </c>
      <c r="S30" s="11" t="s">
        <v>773</v>
      </c>
      <c r="T30" s="11">
        <v>0</v>
      </c>
      <c r="U30" s="11">
        <v>0</v>
      </c>
      <c r="V30" s="11" t="s">
        <v>1710</v>
      </c>
      <c r="W30" s="11" t="s">
        <v>1711</v>
      </c>
      <c r="Z30" s="11" t="s">
        <v>1712</v>
      </c>
      <c r="AB30" s="11" t="s">
        <v>1608</v>
      </c>
      <c r="AC30" s="11" t="s">
        <v>1608</v>
      </c>
      <c r="AD30" s="11">
        <v>0</v>
      </c>
      <c r="AH30" s="11" t="s">
        <v>490</v>
      </c>
      <c r="AJ30" s="12" t="s">
        <v>3302</v>
      </c>
      <c r="AM30" s="11" t="s">
        <v>489</v>
      </c>
      <c r="AN30" s="13" t="s">
        <v>2256</v>
      </c>
      <c r="AO30" s="11" t="s">
        <v>1315</v>
      </c>
      <c r="AP30" s="11" t="s">
        <v>493</v>
      </c>
      <c r="AV30" s="11" t="s">
        <v>235</v>
      </c>
      <c r="AX30" s="11" t="s">
        <v>3150</v>
      </c>
      <c r="AY30" s="11" t="s">
        <v>235</v>
      </c>
      <c r="BC30" s="11">
        <v>1</v>
      </c>
      <c r="BD30" s="11">
        <v>1</v>
      </c>
      <c r="BE30" s="11" t="s">
        <v>3325</v>
      </c>
      <c r="BI30" s="11">
        <v>0</v>
      </c>
      <c r="BJ30" s="11">
        <v>0</v>
      </c>
      <c r="BL30" s="11" t="s">
        <v>1556</v>
      </c>
      <c r="BM30" s="11" t="s">
        <v>3047</v>
      </c>
      <c r="BS30" s="13"/>
    </row>
    <row r="31" spans="1:71" s="11" customFormat="1" x14ac:dyDescent="0.15">
      <c r="A31" s="11" t="s">
        <v>492</v>
      </c>
      <c r="B31" s="11" t="s">
        <v>1713</v>
      </c>
      <c r="C31" s="157" t="s">
        <v>1265</v>
      </c>
      <c r="D31" s="158"/>
      <c r="E31" s="159" t="s">
        <v>1300</v>
      </c>
      <c r="F31" s="161"/>
      <c r="G31" s="13" t="s">
        <v>1714</v>
      </c>
      <c r="H31" s="11" t="s">
        <v>1511</v>
      </c>
      <c r="I31" s="12" t="s">
        <v>3185</v>
      </c>
      <c r="J31" s="11" t="s">
        <v>782</v>
      </c>
      <c r="K31" s="11" t="s">
        <v>491</v>
      </c>
      <c r="L31" s="11" t="s">
        <v>396</v>
      </c>
      <c r="M31" s="13" t="s">
        <v>772</v>
      </c>
      <c r="Q31" s="11" t="s">
        <v>1715</v>
      </c>
      <c r="R31" s="11" t="s">
        <v>1716</v>
      </c>
      <c r="S31" s="11" t="s">
        <v>773</v>
      </c>
      <c r="T31" s="11">
        <v>0</v>
      </c>
      <c r="U31" s="11">
        <v>0</v>
      </c>
      <c r="V31" s="11" t="s">
        <v>1717</v>
      </c>
      <c r="W31" s="11" t="s">
        <v>1718</v>
      </c>
      <c r="Z31" s="11" t="s">
        <v>1719</v>
      </c>
      <c r="AB31" s="11" t="s">
        <v>1720</v>
      </c>
      <c r="AC31" s="11" t="s">
        <v>1720</v>
      </c>
      <c r="AD31" s="11">
        <v>0</v>
      </c>
      <c r="AH31" s="11" t="s">
        <v>3310</v>
      </c>
      <c r="AJ31" s="12" t="s">
        <v>3302</v>
      </c>
      <c r="AM31" s="11" t="s">
        <v>489</v>
      </c>
      <c r="AN31" s="13" t="s">
        <v>2245</v>
      </c>
      <c r="AO31" s="11" t="s">
        <v>1315</v>
      </c>
      <c r="AP31" s="11" t="s">
        <v>488</v>
      </c>
      <c r="AV31" s="11" t="s">
        <v>235</v>
      </c>
      <c r="AX31" s="11" t="s">
        <v>3147</v>
      </c>
      <c r="AY31" s="11" t="s">
        <v>235</v>
      </c>
      <c r="BC31" s="11">
        <v>1</v>
      </c>
      <c r="BD31" s="11">
        <v>1</v>
      </c>
      <c r="BE31" s="11" t="s">
        <v>3325</v>
      </c>
      <c r="BF31" s="13"/>
      <c r="BH31" s="13" t="s">
        <v>3129</v>
      </c>
      <c r="BI31" s="11">
        <v>0</v>
      </c>
      <c r="BJ31" s="11">
        <v>0</v>
      </c>
      <c r="BL31" s="11" t="s">
        <v>1556</v>
      </c>
      <c r="BM31" s="11" t="s">
        <v>3047</v>
      </c>
      <c r="BS31" s="13"/>
    </row>
    <row r="32" spans="1:71" s="11" customFormat="1" x14ac:dyDescent="0.15">
      <c r="A32" s="11" t="s">
        <v>492</v>
      </c>
      <c r="B32" s="11" t="s">
        <v>1721</v>
      </c>
      <c r="C32" s="157" t="s">
        <v>1266</v>
      </c>
      <c r="D32" s="158"/>
      <c r="E32" s="159" t="s">
        <v>1301</v>
      </c>
      <c r="F32" s="161"/>
      <c r="G32" s="13" t="s">
        <v>1722</v>
      </c>
      <c r="H32" s="11" t="s">
        <v>1515</v>
      </c>
      <c r="I32" s="12" t="s">
        <v>3060</v>
      </c>
      <c r="J32" s="11" t="s">
        <v>782</v>
      </c>
      <c r="K32" s="11" t="s">
        <v>837</v>
      </c>
      <c r="L32" s="11" t="s">
        <v>396</v>
      </c>
      <c r="M32" s="13" t="s">
        <v>772</v>
      </c>
      <c r="Q32" s="11" t="s">
        <v>1723</v>
      </c>
      <c r="R32" s="11" t="s">
        <v>1724</v>
      </c>
      <c r="S32" s="11" t="s">
        <v>773</v>
      </c>
      <c r="T32" s="11">
        <v>0</v>
      </c>
      <c r="U32" s="11">
        <v>0</v>
      </c>
      <c r="V32" s="11" t="s">
        <v>1725</v>
      </c>
      <c r="W32" s="11" t="s">
        <v>1726</v>
      </c>
      <c r="Z32" s="11" t="s">
        <v>1727</v>
      </c>
      <c r="AB32" s="11" t="s">
        <v>1720</v>
      </c>
      <c r="AC32" s="11" t="s">
        <v>1720</v>
      </c>
      <c r="AD32" s="11">
        <v>0</v>
      </c>
      <c r="AH32" s="11" t="s">
        <v>490</v>
      </c>
      <c r="AJ32" s="12" t="s">
        <v>3302</v>
      </c>
      <c r="AM32" s="11" t="s">
        <v>489</v>
      </c>
      <c r="AN32" s="19" t="s">
        <v>2245</v>
      </c>
      <c r="AO32" s="11" t="s">
        <v>1315</v>
      </c>
      <c r="AP32" s="11" t="s">
        <v>488</v>
      </c>
      <c r="AV32" s="11" t="s">
        <v>235</v>
      </c>
      <c r="AX32" s="11" t="s">
        <v>235</v>
      </c>
      <c r="AY32" s="11" t="s">
        <v>235</v>
      </c>
      <c r="BC32" s="11">
        <v>1</v>
      </c>
      <c r="BD32" s="11">
        <v>1</v>
      </c>
      <c r="BE32" s="11" t="s">
        <v>3325</v>
      </c>
      <c r="BF32" s="13"/>
      <c r="BH32" s="13" t="s">
        <v>3129</v>
      </c>
      <c r="BI32" s="11">
        <v>0</v>
      </c>
      <c r="BJ32" s="11">
        <v>0</v>
      </c>
      <c r="BL32" s="11" t="s">
        <v>1556</v>
      </c>
      <c r="BM32" s="11" t="s">
        <v>3047</v>
      </c>
      <c r="BS32" s="13"/>
    </row>
    <row r="33" spans="1:71" s="11" customFormat="1" x14ac:dyDescent="0.15">
      <c r="A33" s="11" t="s">
        <v>492</v>
      </c>
      <c r="B33" s="11" t="s">
        <v>1728</v>
      </c>
      <c r="C33" s="157" t="s">
        <v>1267</v>
      </c>
      <c r="D33" s="160"/>
      <c r="E33" s="159" t="s">
        <v>1302</v>
      </c>
      <c r="F33" s="160"/>
      <c r="G33" s="13" t="s">
        <v>1729</v>
      </c>
      <c r="H33" s="11" t="s">
        <v>1519</v>
      </c>
      <c r="J33" s="11" t="s">
        <v>782</v>
      </c>
      <c r="K33" s="11" t="s">
        <v>491</v>
      </c>
      <c r="L33" s="11" t="s">
        <v>396</v>
      </c>
      <c r="M33" s="13" t="s">
        <v>3162</v>
      </c>
      <c r="Q33" s="11" t="s">
        <v>1730</v>
      </c>
      <c r="R33" s="11" t="s">
        <v>1731</v>
      </c>
      <c r="S33" s="11" t="s">
        <v>773</v>
      </c>
      <c r="T33" s="11">
        <v>0</v>
      </c>
      <c r="U33" s="11">
        <v>0</v>
      </c>
      <c r="V33" s="11" t="s">
        <v>1732</v>
      </c>
      <c r="W33" s="11" t="s">
        <v>1733</v>
      </c>
      <c r="Z33" s="11" t="s">
        <v>1734</v>
      </c>
      <c r="AB33" s="11" t="s">
        <v>1720</v>
      </c>
      <c r="AC33" s="11" t="s">
        <v>1720</v>
      </c>
      <c r="AD33" s="11">
        <v>0</v>
      </c>
      <c r="AH33" s="11" t="s">
        <v>490</v>
      </c>
      <c r="AJ33" s="12" t="s">
        <v>3302</v>
      </c>
      <c r="AM33" s="11" t="s">
        <v>489</v>
      </c>
      <c r="AN33" s="19" t="s">
        <v>2245</v>
      </c>
      <c r="AO33" s="11" t="s">
        <v>1315</v>
      </c>
      <c r="AP33" s="11" t="s">
        <v>488</v>
      </c>
      <c r="AV33" s="11" t="s">
        <v>235</v>
      </c>
      <c r="AX33" s="11" t="s">
        <v>3154</v>
      </c>
      <c r="AY33" s="11" t="s">
        <v>235</v>
      </c>
      <c r="BC33" s="11">
        <v>1</v>
      </c>
      <c r="BD33" s="11">
        <v>1</v>
      </c>
      <c r="BE33" s="11" t="s">
        <v>3325</v>
      </c>
      <c r="BF33" s="13"/>
      <c r="BH33" s="13" t="s">
        <v>3129</v>
      </c>
      <c r="BI33" s="11">
        <v>0</v>
      </c>
      <c r="BJ33" s="11">
        <v>0</v>
      </c>
      <c r="BL33" s="11" t="s">
        <v>1556</v>
      </c>
      <c r="BM33" s="11" t="s">
        <v>3047</v>
      </c>
      <c r="BS33" s="13"/>
    </row>
    <row r="34" spans="1:71" s="11" customFormat="1" x14ac:dyDescent="0.15">
      <c r="A34" s="11" t="s">
        <v>492</v>
      </c>
      <c r="B34" s="11" t="s">
        <v>1735</v>
      </c>
      <c r="C34" s="157" t="s">
        <v>1268</v>
      </c>
      <c r="D34" s="158"/>
      <c r="E34" s="159" t="s">
        <v>1303</v>
      </c>
      <c r="F34" s="158"/>
      <c r="G34" s="13" t="s">
        <v>1736</v>
      </c>
      <c r="H34" s="11" t="s">
        <v>1523</v>
      </c>
      <c r="J34" s="11" t="s">
        <v>782</v>
      </c>
      <c r="K34" s="11" t="s">
        <v>491</v>
      </c>
      <c r="L34" s="11" t="s">
        <v>396</v>
      </c>
      <c r="M34" s="13" t="s">
        <v>772</v>
      </c>
      <c r="Q34" s="11" t="s">
        <v>1737</v>
      </c>
      <c r="R34" s="11" t="s">
        <v>1738</v>
      </c>
      <c r="S34" s="11" t="s">
        <v>773</v>
      </c>
      <c r="T34" s="11">
        <v>0</v>
      </c>
      <c r="U34" s="11">
        <v>0</v>
      </c>
      <c r="V34" s="11" t="s">
        <v>1739</v>
      </c>
      <c r="W34" s="11" t="s">
        <v>1740</v>
      </c>
      <c r="Z34" s="11" t="s">
        <v>1741</v>
      </c>
      <c r="AB34" s="11" t="s">
        <v>1720</v>
      </c>
      <c r="AC34" s="11" t="s">
        <v>1720</v>
      </c>
      <c r="AD34" s="11">
        <v>0</v>
      </c>
      <c r="AH34" s="11" t="s">
        <v>490</v>
      </c>
      <c r="AJ34" s="12" t="s">
        <v>3302</v>
      </c>
      <c r="AM34" s="11" t="s">
        <v>489</v>
      </c>
      <c r="AN34" s="13" t="s">
        <v>2250</v>
      </c>
      <c r="AO34" s="11" t="s">
        <v>1315</v>
      </c>
      <c r="AP34" s="11" t="s">
        <v>488</v>
      </c>
      <c r="AV34" s="11" t="s">
        <v>235</v>
      </c>
      <c r="AX34" s="11" t="s">
        <v>235</v>
      </c>
      <c r="AY34" s="11" t="s">
        <v>235</v>
      </c>
      <c r="BC34" s="11">
        <v>1</v>
      </c>
      <c r="BD34" s="11">
        <v>1</v>
      </c>
      <c r="BE34" s="11" t="s">
        <v>3325</v>
      </c>
      <c r="BF34" s="13"/>
      <c r="BH34" s="13" t="s">
        <v>3129</v>
      </c>
      <c r="BI34" s="11">
        <v>0</v>
      </c>
      <c r="BJ34" s="11">
        <v>0</v>
      </c>
      <c r="BL34" s="11" t="s">
        <v>1556</v>
      </c>
      <c r="BM34" s="11" t="s">
        <v>3047</v>
      </c>
    </row>
    <row r="35" spans="1:71" s="11" customFormat="1" x14ac:dyDescent="0.15">
      <c r="A35" s="11" t="s">
        <v>492</v>
      </c>
      <c r="B35" s="11" t="s">
        <v>1742</v>
      </c>
      <c r="C35" s="157" t="s">
        <v>1269</v>
      </c>
      <c r="D35" s="158"/>
      <c r="E35" s="159" t="s">
        <v>1304</v>
      </c>
      <c r="F35" s="158"/>
      <c r="G35" s="13" t="s">
        <v>1743</v>
      </c>
      <c r="H35" s="11" t="s">
        <v>1526</v>
      </c>
      <c r="J35" s="11" t="s">
        <v>782</v>
      </c>
      <c r="K35" s="11" t="s">
        <v>491</v>
      </c>
      <c r="L35" s="11" t="s">
        <v>396</v>
      </c>
      <c r="M35" s="13" t="s">
        <v>772</v>
      </c>
      <c r="Q35" s="11" t="s">
        <v>1744</v>
      </c>
      <c r="R35" s="11" t="s">
        <v>1745</v>
      </c>
      <c r="S35" s="11" t="s">
        <v>773</v>
      </c>
      <c r="T35" s="11">
        <v>0</v>
      </c>
      <c r="U35" s="11">
        <v>0</v>
      </c>
      <c r="V35" s="11" t="s">
        <v>1746</v>
      </c>
      <c r="W35" s="11" t="s">
        <v>1747</v>
      </c>
      <c r="Z35" s="11" t="s">
        <v>1748</v>
      </c>
      <c r="AB35" s="11" t="s">
        <v>1720</v>
      </c>
      <c r="AC35" s="11" t="s">
        <v>1720</v>
      </c>
      <c r="AD35" s="11">
        <v>0</v>
      </c>
      <c r="AH35" s="11" t="s">
        <v>490</v>
      </c>
      <c r="AJ35" s="12" t="s">
        <v>3302</v>
      </c>
      <c r="AM35" s="11" t="s">
        <v>489</v>
      </c>
      <c r="AN35" s="13" t="s">
        <v>2250</v>
      </c>
      <c r="AO35" s="11" t="s">
        <v>1315</v>
      </c>
      <c r="AP35" s="11" t="s">
        <v>488</v>
      </c>
      <c r="AV35" s="11" t="s">
        <v>235</v>
      </c>
      <c r="AX35" s="11" t="s">
        <v>3149</v>
      </c>
      <c r="AY35" s="11" t="s">
        <v>235</v>
      </c>
      <c r="BC35" s="11">
        <v>1</v>
      </c>
      <c r="BD35" s="11">
        <v>1</v>
      </c>
      <c r="BE35" s="11" t="s">
        <v>3325</v>
      </c>
      <c r="BF35" s="13"/>
      <c r="BH35" s="13" t="s">
        <v>3129</v>
      </c>
      <c r="BI35" s="11">
        <v>0</v>
      </c>
      <c r="BJ35" s="11">
        <v>0</v>
      </c>
      <c r="BL35" s="11" t="s">
        <v>1556</v>
      </c>
      <c r="BM35" s="11" t="s">
        <v>3047</v>
      </c>
      <c r="BS35" s="13"/>
    </row>
    <row r="36" spans="1:71" s="11" customFormat="1" x14ac:dyDescent="0.15">
      <c r="A36" s="11" t="s">
        <v>492</v>
      </c>
      <c r="B36" s="11" t="s">
        <v>1749</v>
      </c>
      <c r="C36" s="157" t="s">
        <v>1270</v>
      </c>
      <c r="D36" s="158"/>
      <c r="E36" s="159" t="s">
        <v>1305</v>
      </c>
      <c r="F36" s="160"/>
      <c r="G36" s="13" t="s">
        <v>1750</v>
      </c>
      <c r="H36" s="11" t="s">
        <v>1530</v>
      </c>
      <c r="J36" s="11" t="s">
        <v>782</v>
      </c>
      <c r="K36" s="11" t="s">
        <v>491</v>
      </c>
      <c r="L36" s="11" t="s">
        <v>396</v>
      </c>
      <c r="M36" s="13" t="s">
        <v>772</v>
      </c>
      <c r="Q36" s="11" t="s">
        <v>1751</v>
      </c>
      <c r="R36" s="11" t="s">
        <v>1752</v>
      </c>
      <c r="S36" s="11" t="s">
        <v>773</v>
      </c>
      <c r="T36" s="11">
        <v>0</v>
      </c>
      <c r="U36" s="11">
        <v>0</v>
      </c>
      <c r="V36" s="11" t="s">
        <v>1753</v>
      </c>
      <c r="W36" s="11" t="s">
        <v>1754</v>
      </c>
      <c r="Z36" s="11" t="s">
        <v>1755</v>
      </c>
      <c r="AB36" s="11" t="s">
        <v>1720</v>
      </c>
      <c r="AC36" s="11" t="s">
        <v>1720</v>
      </c>
      <c r="AD36" s="11">
        <v>0</v>
      </c>
      <c r="AH36" s="11" t="s">
        <v>490</v>
      </c>
      <c r="AJ36" s="12" t="s">
        <v>3302</v>
      </c>
      <c r="AM36" s="11" t="s">
        <v>489</v>
      </c>
      <c r="AN36" s="13" t="s">
        <v>2256</v>
      </c>
      <c r="AO36" s="11" t="s">
        <v>1315</v>
      </c>
      <c r="AP36" s="11" t="s">
        <v>488</v>
      </c>
      <c r="AV36" s="11" t="s">
        <v>235</v>
      </c>
      <c r="AX36" s="11" t="s">
        <v>3155</v>
      </c>
      <c r="AY36" s="11" t="s">
        <v>235</v>
      </c>
      <c r="BC36" s="11">
        <v>1</v>
      </c>
      <c r="BD36" s="11">
        <v>1</v>
      </c>
      <c r="BE36" s="11" t="s">
        <v>3325</v>
      </c>
      <c r="BF36" s="13"/>
      <c r="BH36" s="13" t="s">
        <v>3129</v>
      </c>
      <c r="BI36" s="11">
        <v>0</v>
      </c>
      <c r="BJ36" s="11">
        <v>0</v>
      </c>
      <c r="BL36" s="11" t="s">
        <v>1556</v>
      </c>
      <c r="BM36" s="11" t="s">
        <v>3047</v>
      </c>
      <c r="BS36" s="13"/>
    </row>
    <row r="37" spans="1:71" s="11" customFormat="1" x14ac:dyDescent="0.15">
      <c r="A37" s="11" t="s">
        <v>492</v>
      </c>
      <c r="B37" s="11" t="s">
        <v>1756</v>
      </c>
      <c r="C37" s="157" t="s">
        <v>1271</v>
      </c>
      <c r="D37" s="158"/>
      <c r="E37" s="159" t="s">
        <v>1306</v>
      </c>
      <c r="F37" s="158"/>
      <c r="G37" s="13" t="s">
        <v>1757</v>
      </c>
      <c r="H37" s="11" t="s">
        <v>1533</v>
      </c>
      <c r="J37" s="11" t="s">
        <v>782</v>
      </c>
      <c r="K37" s="11" t="s">
        <v>491</v>
      </c>
      <c r="L37" s="11" t="s">
        <v>396</v>
      </c>
      <c r="M37" s="13" t="s">
        <v>772</v>
      </c>
      <c r="Q37" s="11" t="s">
        <v>1758</v>
      </c>
      <c r="R37" s="11" t="s">
        <v>1759</v>
      </c>
      <c r="S37" s="11" t="s">
        <v>773</v>
      </c>
      <c r="T37" s="11">
        <v>0</v>
      </c>
      <c r="U37" s="11">
        <v>0</v>
      </c>
      <c r="V37" s="11" t="s">
        <v>1760</v>
      </c>
      <c r="W37" s="11" t="s">
        <v>1761</v>
      </c>
      <c r="Z37" s="11" t="s">
        <v>1762</v>
      </c>
      <c r="AB37" s="11" t="s">
        <v>1720</v>
      </c>
      <c r="AC37" s="11" t="s">
        <v>1720</v>
      </c>
      <c r="AD37" s="11">
        <v>0</v>
      </c>
      <c r="AH37" s="11" t="s">
        <v>490</v>
      </c>
      <c r="AJ37" s="12" t="s">
        <v>3302</v>
      </c>
      <c r="AM37" s="11" t="s">
        <v>489</v>
      </c>
      <c r="AN37" s="13" t="s">
        <v>2256</v>
      </c>
      <c r="AO37" s="11" t="s">
        <v>1315</v>
      </c>
      <c r="AP37" s="11" t="s">
        <v>488</v>
      </c>
      <c r="AV37" s="11" t="s">
        <v>235</v>
      </c>
      <c r="AX37" s="11" t="s">
        <v>3156</v>
      </c>
      <c r="AY37" s="11" t="s">
        <v>235</v>
      </c>
      <c r="BC37" s="11">
        <v>1</v>
      </c>
      <c r="BD37" s="11">
        <v>1</v>
      </c>
      <c r="BE37" s="11" t="s">
        <v>3325</v>
      </c>
      <c r="BF37" s="13"/>
      <c r="BH37" s="13" t="s">
        <v>3129</v>
      </c>
      <c r="BI37" s="11">
        <v>0</v>
      </c>
      <c r="BJ37" s="11">
        <v>0</v>
      </c>
      <c r="BL37" s="11" t="s">
        <v>1556</v>
      </c>
      <c r="BM37" s="11" t="s">
        <v>3047</v>
      </c>
      <c r="BS37" s="13"/>
    </row>
    <row r="38" spans="1:71" s="11" customFormat="1" x14ac:dyDescent="0.15">
      <c r="A38" s="11" t="s">
        <v>492</v>
      </c>
      <c r="B38" s="11" t="s">
        <v>1763</v>
      </c>
      <c r="C38" s="157" t="s">
        <v>1272</v>
      </c>
      <c r="D38" s="158"/>
      <c r="E38" s="159" t="s">
        <v>1307</v>
      </c>
      <c r="F38" s="158"/>
      <c r="G38" s="13" t="s">
        <v>1764</v>
      </c>
      <c r="H38" s="11" t="s">
        <v>1537</v>
      </c>
      <c r="J38" s="11" t="s">
        <v>782</v>
      </c>
      <c r="K38" s="11" t="s">
        <v>491</v>
      </c>
      <c r="L38" s="11" t="s">
        <v>396</v>
      </c>
      <c r="M38" s="13" t="s">
        <v>772</v>
      </c>
      <c r="Q38" s="11" t="s">
        <v>1765</v>
      </c>
      <c r="R38" s="11" t="s">
        <v>1766</v>
      </c>
      <c r="S38" s="11" t="s">
        <v>773</v>
      </c>
      <c r="T38" s="11">
        <v>0</v>
      </c>
      <c r="U38" s="11">
        <v>0</v>
      </c>
      <c r="V38" s="11" t="s">
        <v>1767</v>
      </c>
      <c r="W38" s="11" t="s">
        <v>1768</v>
      </c>
      <c r="Z38" s="11" t="s">
        <v>1769</v>
      </c>
      <c r="AB38" s="11" t="s">
        <v>1720</v>
      </c>
      <c r="AC38" s="11" t="s">
        <v>1720</v>
      </c>
      <c r="AD38" s="11">
        <v>0</v>
      </c>
      <c r="AH38" s="11" t="s">
        <v>490</v>
      </c>
      <c r="AJ38" s="12" t="s">
        <v>3302</v>
      </c>
      <c r="AM38" s="11" t="s">
        <v>489</v>
      </c>
      <c r="AN38" s="13" t="s">
        <v>2256</v>
      </c>
      <c r="AO38" s="11" t="s">
        <v>1315</v>
      </c>
      <c r="AP38" s="11" t="s">
        <v>493</v>
      </c>
      <c r="AV38" s="11" t="s">
        <v>235</v>
      </c>
      <c r="AX38" s="11" t="s">
        <v>3156</v>
      </c>
      <c r="AY38" s="11" t="s">
        <v>235</v>
      </c>
      <c r="BC38" s="11">
        <v>1</v>
      </c>
      <c r="BD38" s="11">
        <v>1</v>
      </c>
      <c r="BE38" s="11" t="s">
        <v>3325</v>
      </c>
      <c r="BF38" s="13"/>
      <c r="BH38" s="13" t="s">
        <v>3129</v>
      </c>
      <c r="BI38" s="11">
        <v>0</v>
      </c>
      <c r="BJ38" s="11">
        <v>0</v>
      </c>
      <c r="BL38" s="11" t="s">
        <v>1556</v>
      </c>
      <c r="BM38" s="11" t="s">
        <v>3047</v>
      </c>
      <c r="BS38" s="13"/>
    </row>
    <row r="39" spans="1:71" s="11" customFormat="1" x14ac:dyDescent="0.15">
      <c r="A39" s="11" t="s">
        <v>994</v>
      </c>
      <c r="B39" s="11" t="s">
        <v>1770</v>
      </c>
      <c r="C39" s="11" t="s">
        <v>1273</v>
      </c>
      <c r="D39" s="158"/>
      <c r="E39" s="11" t="s">
        <v>1308</v>
      </c>
      <c r="F39" s="158"/>
      <c r="G39" s="13" t="s">
        <v>742</v>
      </c>
      <c r="H39" s="11" t="s">
        <v>1540</v>
      </c>
      <c r="J39" s="11" t="s">
        <v>1544</v>
      </c>
      <c r="K39" s="11" t="s">
        <v>1003</v>
      </c>
      <c r="L39" s="11" t="s">
        <v>396</v>
      </c>
      <c r="M39" s="13" t="s">
        <v>772</v>
      </c>
      <c r="Q39" s="11" t="s">
        <v>1771</v>
      </c>
      <c r="R39" s="11" t="s">
        <v>1772</v>
      </c>
      <c r="S39" s="11" t="s">
        <v>773</v>
      </c>
      <c r="T39" s="11">
        <v>0</v>
      </c>
      <c r="U39" s="11">
        <v>0</v>
      </c>
      <c r="V39" s="11" t="s">
        <v>1773</v>
      </c>
      <c r="W39" s="11" t="s">
        <v>1774</v>
      </c>
      <c r="Z39" s="11" t="s">
        <v>1775</v>
      </c>
      <c r="AB39" s="11" t="s">
        <v>1720</v>
      </c>
      <c r="AC39" s="11" t="s">
        <v>1720</v>
      </c>
      <c r="AD39" s="11">
        <v>0</v>
      </c>
      <c r="AH39" s="11" t="s">
        <v>490</v>
      </c>
      <c r="AJ39" s="12" t="s">
        <v>3302</v>
      </c>
      <c r="AM39" s="11" t="s">
        <v>489</v>
      </c>
      <c r="AN39" s="11" t="s">
        <v>2256</v>
      </c>
      <c r="AO39" s="11" t="s">
        <v>1315</v>
      </c>
      <c r="AP39" s="11" t="s">
        <v>488</v>
      </c>
      <c r="AV39" s="11" t="s">
        <v>235</v>
      </c>
      <c r="AX39" s="11" t="s">
        <v>235</v>
      </c>
      <c r="AY39" s="11" t="s">
        <v>235</v>
      </c>
      <c r="BC39" s="11">
        <v>1</v>
      </c>
      <c r="BD39" s="11">
        <v>1</v>
      </c>
      <c r="BE39" s="11" t="s">
        <v>3325</v>
      </c>
      <c r="BF39" s="13"/>
      <c r="BH39" s="13" t="s">
        <v>3129</v>
      </c>
      <c r="BI39" s="11">
        <v>0</v>
      </c>
      <c r="BJ39" s="11">
        <v>0</v>
      </c>
      <c r="BL39" s="11" t="s">
        <v>1556</v>
      </c>
      <c r="BM39" s="11" t="s">
        <v>3047</v>
      </c>
      <c r="BS39" s="13"/>
    </row>
    <row r="40" spans="1:71" s="11" customFormat="1" x14ac:dyDescent="0.15">
      <c r="A40" s="11" t="s">
        <v>994</v>
      </c>
      <c r="B40" s="11" t="s">
        <v>1776</v>
      </c>
      <c r="C40" s="11" t="s">
        <v>1274</v>
      </c>
      <c r="D40" s="158"/>
      <c r="E40" s="11" t="s">
        <v>1309</v>
      </c>
      <c r="F40" s="158"/>
      <c r="G40" s="13" t="s">
        <v>742</v>
      </c>
      <c r="H40" s="11" t="s">
        <v>1543</v>
      </c>
      <c r="J40" s="11" t="s">
        <v>1547</v>
      </c>
      <c r="K40" s="11" t="s">
        <v>1003</v>
      </c>
      <c r="L40" s="11" t="s">
        <v>396</v>
      </c>
      <c r="M40" s="13" t="s">
        <v>772</v>
      </c>
      <c r="Q40" s="11" t="s">
        <v>1777</v>
      </c>
      <c r="R40" s="11" t="s">
        <v>1778</v>
      </c>
      <c r="S40" s="11" t="s">
        <v>773</v>
      </c>
      <c r="T40" s="11">
        <v>0</v>
      </c>
      <c r="U40" s="11">
        <v>0</v>
      </c>
      <c r="V40" s="11" t="s">
        <v>1779</v>
      </c>
      <c r="W40" s="11" t="s">
        <v>1780</v>
      </c>
      <c r="Z40" s="11" t="s">
        <v>1781</v>
      </c>
      <c r="AB40" s="11" t="s">
        <v>1720</v>
      </c>
      <c r="AC40" s="11" t="s">
        <v>1720</v>
      </c>
      <c r="AD40" s="11">
        <v>0</v>
      </c>
      <c r="AH40" s="11" t="s">
        <v>490</v>
      </c>
      <c r="AJ40" s="12" t="s">
        <v>3302</v>
      </c>
      <c r="AM40" s="11" t="s">
        <v>489</v>
      </c>
      <c r="AN40" s="11" t="s">
        <v>2256</v>
      </c>
      <c r="AO40" s="11" t="s">
        <v>1315</v>
      </c>
      <c r="AP40" s="11" t="s">
        <v>488</v>
      </c>
      <c r="AV40" s="11" t="s">
        <v>235</v>
      </c>
      <c r="AX40" s="11" t="s">
        <v>235</v>
      </c>
      <c r="AY40" s="11" t="s">
        <v>235</v>
      </c>
      <c r="BC40" s="11">
        <v>1</v>
      </c>
      <c r="BD40" s="11">
        <v>1</v>
      </c>
      <c r="BE40" s="11" t="s">
        <v>3325</v>
      </c>
      <c r="BF40" s="13"/>
      <c r="BH40" s="13" t="s">
        <v>3129</v>
      </c>
      <c r="BI40" s="11">
        <v>0</v>
      </c>
      <c r="BJ40" s="11">
        <v>0</v>
      </c>
      <c r="BL40" s="11" t="s">
        <v>1556</v>
      </c>
      <c r="BM40" s="11" t="s">
        <v>3047</v>
      </c>
      <c r="BS40" s="13"/>
    </row>
    <row r="41" spans="1:71" s="11" customFormat="1" x14ac:dyDescent="0.15">
      <c r="A41" s="11" t="s">
        <v>994</v>
      </c>
      <c r="B41" s="11" t="s">
        <v>1782</v>
      </c>
      <c r="C41" s="11" t="s">
        <v>1275</v>
      </c>
      <c r="D41" s="158"/>
      <c r="E41" s="11" t="s">
        <v>1310</v>
      </c>
      <c r="F41" s="160"/>
      <c r="G41" s="13" t="s">
        <v>742</v>
      </c>
      <c r="H41" s="11" t="s">
        <v>1546</v>
      </c>
      <c r="J41" s="11" t="s">
        <v>444</v>
      </c>
      <c r="K41" s="11" t="s">
        <v>1003</v>
      </c>
      <c r="L41" s="11" t="s">
        <v>396</v>
      </c>
      <c r="M41" s="13" t="s">
        <v>772</v>
      </c>
      <c r="Q41" s="11" t="s">
        <v>1783</v>
      </c>
      <c r="R41" s="11" t="s">
        <v>1784</v>
      </c>
      <c r="S41" s="11" t="s">
        <v>773</v>
      </c>
      <c r="T41" s="11">
        <v>0</v>
      </c>
      <c r="U41" s="11">
        <v>0</v>
      </c>
      <c r="V41" s="11" t="s">
        <v>1785</v>
      </c>
      <c r="W41" s="11" t="s">
        <v>1786</v>
      </c>
      <c r="Z41" s="11" t="s">
        <v>1787</v>
      </c>
      <c r="AB41" s="11" t="s">
        <v>1720</v>
      </c>
      <c r="AC41" s="11" t="s">
        <v>1720</v>
      </c>
      <c r="AD41" s="11">
        <v>0</v>
      </c>
      <c r="AH41" s="11" t="s">
        <v>490</v>
      </c>
      <c r="AJ41" s="12" t="s">
        <v>3302</v>
      </c>
      <c r="AM41" s="11" t="s">
        <v>489</v>
      </c>
      <c r="AN41" s="11" t="s">
        <v>2256</v>
      </c>
      <c r="AO41" s="11" t="s">
        <v>1315</v>
      </c>
      <c r="AP41" s="11" t="s">
        <v>488</v>
      </c>
      <c r="AV41" s="11" t="s">
        <v>235</v>
      </c>
      <c r="AX41" s="11" t="s">
        <v>3156</v>
      </c>
      <c r="AY41" s="11" t="s">
        <v>235</v>
      </c>
      <c r="BC41" s="11">
        <v>1</v>
      </c>
      <c r="BD41" s="11">
        <v>1</v>
      </c>
      <c r="BE41" s="11" t="s">
        <v>3325</v>
      </c>
      <c r="BF41" s="13"/>
      <c r="BH41" s="13" t="s">
        <v>3129</v>
      </c>
      <c r="BI41" s="11">
        <v>0</v>
      </c>
      <c r="BJ41" s="11">
        <v>0</v>
      </c>
      <c r="BL41" s="11" t="s">
        <v>1556</v>
      </c>
      <c r="BM41" s="11" t="s">
        <v>3047</v>
      </c>
      <c r="BS41" s="13"/>
    </row>
    <row r="42" spans="1:71" s="11" customFormat="1" x14ac:dyDescent="0.15">
      <c r="BF42" s="13"/>
    </row>
    <row r="43" spans="1:71" s="11" customFormat="1" x14ac:dyDescent="0.15">
      <c r="Q43" s="13"/>
      <c r="BF43" s="13"/>
    </row>
    <row r="44" spans="1:71" s="11" customFormat="1" x14ac:dyDescent="0.15">
      <c r="Q44" s="13"/>
      <c r="BF44" s="13"/>
    </row>
    <row r="45" spans="1:71" s="11" customFormat="1" x14ac:dyDescent="0.15">
      <c r="Q45" s="13"/>
      <c r="AG45" s="13"/>
      <c r="BF45" s="13"/>
    </row>
    <row r="46" spans="1:71" s="11" customFormat="1" x14ac:dyDescent="0.15">
      <c r="Q46" s="13"/>
      <c r="AG46" s="13"/>
      <c r="BF46" s="13"/>
    </row>
    <row r="47" spans="1:71" s="11" customFormat="1" x14ac:dyDescent="0.15">
      <c r="Q47" s="13"/>
      <c r="AG47" s="13"/>
      <c r="BF47" s="13"/>
    </row>
    <row r="48" spans="1:71" s="11" customFormat="1" x14ac:dyDescent="0.15">
      <c r="Q48" s="13"/>
      <c r="AG48" s="13"/>
      <c r="BF48" s="13"/>
    </row>
    <row r="49" spans="17:58" s="11" customFormat="1" x14ac:dyDescent="0.15">
      <c r="Q49" s="13"/>
      <c r="AG49" s="13"/>
      <c r="BF49" s="13"/>
    </row>
    <row r="50" spans="17:58" s="11" customFormat="1" x14ac:dyDescent="0.15">
      <c r="Q50" s="13"/>
      <c r="AG50" s="13"/>
    </row>
    <row r="51" spans="17:58" s="11" customFormat="1" x14ac:dyDescent="0.15">
      <c r="Q51" s="13"/>
      <c r="AG51" s="13"/>
    </row>
    <row r="52" spans="17:58" s="11" customFormat="1" x14ac:dyDescent="0.15">
      <c r="AG52" s="42"/>
    </row>
    <row r="53" spans="17:58" s="11" customFormat="1" x14ac:dyDescent="0.15">
      <c r="AG53" s="42"/>
    </row>
    <row r="54" spans="17:58" s="11" customFormat="1" x14ac:dyDescent="0.15">
      <c r="AG54" s="42"/>
    </row>
    <row r="55" spans="17:58" s="11" customFormat="1" x14ac:dyDescent="0.15">
      <c r="R55" s="13"/>
      <c r="AG55" s="42"/>
    </row>
    <row r="56" spans="17:58" s="11" customFormat="1" x14ac:dyDescent="0.15">
      <c r="AG56" s="42"/>
    </row>
    <row r="57" spans="17:58" s="11" customFormat="1" x14ac:dyDescent="0.15"/>
    <row r="58" spans="17:58" s="11" customFormat="1" x14ac:dyDescent="0.15"/>
    <row r="59" spans="17:58" s="11" customFormat="1" x14ac:dyDescent="0.15"/>
    <row r="60" spans="17:58" s="11" customFormat="1" x14ac:dyDescent="0.15"/>
    <row r="61" spans="17:58" s="11" customFormat="1" x14ac:dyDescent="0.15"/>
  </sheetData>
  <autoFilter ref="A6:CH41" xr:uid="{ED94BF5C-4A4D-4292-B159-A7BA0D02C4C7}"/>
  <phoneticPr fontId="11" type="noConversion"/>
  <conditionalFormatting sqref="E7:E38">
    <cfRule type="duplicateValues" dxfId="6" priority="1"/>
    <cfRule type="duplicateValues" dxfId="5" priority="2"/>
  </conditionalFormatting>
  <conditionalFormatting sqref="E7:E38">
    <cfRule type="duplicateValues" dxfId="4" priority="3"/>
  </conditionalFormatting>
  <pageMargins left="0.7" right="0.7" top="0.75" bottom="0.75" header="0.3" footer="0.3"/>
  <legacy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03D2C8-97BB-491A-9BFF-BF874B591EAA}">
  <sheetPr codeName="Sheet28">
    <tabColor theme="2"/>
  </sheetPr>
  <dimension ref="A1:U8"/>
  <sheetViews>
    <sheetView workbookViewId="0">
      <selection activeCell="T8" sqref="T8"/>
    </sheetView>
  </sheetViews>
  <sheetFormatPr defaultRowHeight="13.5" x14ac:dyDescent="0.15"/>
  <cols>
    <col min="6" max="6" width="45" bestFit="1" customWidth="1"/>
    <col min="7" max="7" width="35" bestFit="1" customWidth="1"/>
    <col min="8" max="8" width="32.75" bestFit="1" customWidth="1"/>
    <col min="9" max="9" width="38" customWidth="1"/>
  </cols>
  <sheetData>
    <row r="1" spans="1:21" s="17" customFormat="1" ht="14.25" x14ac:dyDescent="0.2">
      <c r="A1" s="75" t="s">
        <v>1112</v>
      </c>
      <c r="B1" s="17" t="s">
        <v>1153</v>
      </c>
    </row>
    <row r="2" spans="1:21" s="17" customFormat="1" x14ac:dyDescent="0.15">
      <c r="A2" s="24" t="s">
        <v>70</v>
      </c>
      <c r="B2" s="16" t="s">
        <v>1113</v>
      </c>
      <c r="C2" s="16" t="s">
        <v>1114</v>
      </c>
      <c r="D2" s="16" t="s">
        <v>1115</v>
      </c>
      <c r="E2" s="16" t="s">
        <v>1116</v>
      </c>
      <c r="F2" s="16" t="s">
        <v>1117</v>
      </c>
      <c r="G2" s="16" t="s">
        <v>1118</v>
      </c>
      <c r="H2" s="16" t="s">
        <v>1119</v>
      </c>
      <c r="I2" s="16" t="s">
        <v>1120</v>
      </c>
      <c r="J2" s="16" t="s">
        <v>1121</v>
      </c>
      <c r="K2" s="16" t="s">
        <v>1122</v>
      </c>
      <c r="L2" s="16" t="s">
        <v>1123</v>
      </c>
      <c r="M2" s="16" t="s">
        <v>1124</v>
      </c>
      <c r="N2" s="16" t="s">
        <v>1125</v>
      </c>
      <c r="O2" s="16" t="s">
        <v>1126</v>
      </c>
      <c r="P2" s="16" t="s">
        <v>1127</v>
      </c>
      <c r="Q2" s="16" t="s">
        <v>1128</v>
      </c>
      <c r="R2" s="16" t="s">
        <v>1129</v>
      </c>
      <c r="S2" s="16" t="s">
        <v>1130</v>
      </c>
      <c r="T2" s="76" t="s">
        <v>1131</v>
      </c>
      <c r="U2" s="76" t="s">
        <v>1132</v>
      </c>
    </row>
    <row r="3" spans="1:21" s="17" customFormat="1" x14ac:dyDescent="0.15">
      <c r="B3" s="15" t="s">
        <v>72</v>
      </c>
      <c r="C3" s="15" t="s">
        <v>72</v>
      </c>
      <c r="D3" s="15" t="s">
        <v>72</v>
      </c>
      <c r="E3" s="15" t="s">
        <v>72</v>
      </c>
      <c r="F3" s="15" t="s">
        <v>72</v>
      </c>
      <c r="G3" s="15" t="s">
        <v>72</v>
      </c>
      <c r="H3" s="15"/>
      <c r="I3" s="15" t="s">
        <v>72</v>
      </c>
      <c r="J3" s="15" t="s">
        <v>72</v>
      </c>
      <c r="K3" s="15" t="s">
        <v>72</v>
      </c>
      <c r="L3" s="15" t="s">
        <v>72</v>
      </c>
      <c r="M3" s="15" t="s">
        <v>72</v>
      </c>
      <c r="N3" s="15" t="s">
        <v>72</v>
      </c>
      <c r="O3" s="15" t="s">
        <v>72</v>
      </c>
      <c r="P3" s="15" t="s">
        <v>72</v>
      </c>
      <c r="Q3" s="15" t="s">
        <v>72</v>
      </c>
      <c r="R3" s="15" t="s">
        <v>74</v>
      </c>
      <c r="S3" s="15" t="s">
        <v>74</v>
      </c>
      <c r="T3" s="77" t="s">
        <v>74</v>
      </c>
      <c r="U3" s="77" t="s">
        <v>74</v>
      </c>
    </row>
    <row r="4" spans="1:21" s="17" customFormat="1" x14ac:dyDescent="0.15">
      <c r="B4" s="14" t="s">
        <v>75</v>
      </c>
      <c r="C4" s="14" t="s">
        <v>80</v>
      </c>
      <c r="D4" s="14" t="s">
        <v>80</v>
      </c>
      <c r="E4" s="14" t="s">
        <v>80</v>
      </c>
      <c r="F4" s="14" t="s">
        <v>80</v>
      </c>
      <c r="G4" s="14" t="s">
        <v>80</v>
      </c>
      <c r="H4" s="14" t="s">
        <v>80</v>
      </c>
      <c r="I4" s="14" t="s">
        <v>119</v>
      </c>
      <c r="J4" s="14" t="s">
        <v>249</v>
      </c>
      <c r="K4" s="14" t="s">
        <v>76</v>
      </c>
      <c r="L4" s="14" t="s">
        <v>75</v>
      </c>
      <c r="M4" s="14" t="s">
        <v>75</v>
      </c>
      <c r="N4" s="14" t="s">
        <v>76</v>
      </c>
      <c r="O4" s="14" t="s">
        <v>76</v>
      </c>
      <c r="P4" s="14" t="s">
        <v>76</v>
      </c>
      <c r="Q4" s="14" t="s">
        <v>75</v>
      </c>
      <c r="R4" s="14" t="s">
        <v>238</v>
      </c>
      <c r="S4" s="14" t="s">
        <v>238</v>
      </c>
      <c r="T4" s="78" t="s">
        <v>741</v>
      </c>
      <c r="U4" s="78" t="s">
        <v>741</v>
      </c>
    </row>
    <row r="5" spans="1:21" s="17" customFormat="1" x14ac:dyDescent="0.15">
      <c r="B5" s="15" t="s">
        <v>81</v>
      </c>
      <c r="C5" s="15" t="s">
        <v>1133</v>
      </c>
      <c r="D5" s="15" t="s">
        <v>1134</v>
      </c>
      <c r="E5" s="15" t="s">
        <v>1135</v>
      </c>
      <c r="F5" s="15" t="s">
        <v>1136</v>
      </c>
      <c r="G5" s="15" t="s">
        <v>1137</v>
      </c>
      <c r="H5" s="15" t="s">
        <v>1138</v>
      </c>
      <c r="I5" s="15" t="s">
        <v>1139</v>
      </c>
      <c r="J5" s="15" t="s">
        <v>1140</v>
      </c>
      <c r="K5" s="15" t="s">
        <v>1141</v>
      </c>
      <c r="L5" s="15" t="s">
        <v>1142</v>
      </c>
      <c r="M5" s="15" t="s">
        <v>1143</v>
      </c>
      <c r="N5" s="15" t="s">
        <v>1144</v>
      </c>
      <c r="O5" s="15" t="s">
        <v>1145</v>
      </c>
      <c r="P5" s="15" t="s">
        <v>1146</v>
      </c>
      <c r="Q5" s="15" t="s">
        <v>1147</v>
      </c>
      <c r="R5" s="15" t="s">
        <v>1148</v>
      </c>
      <c r="S5" s="15" t="s">
        <v>1149</v>
      </c>
      <c r="T5" s="77" t="s">
        <v>1150</v>
      </c>
      <c r="U5" s="77" t="s">
        <v>1151</v>
      </c>
    </row>
    <row r="6" spans="1:21" s="17" customFormat="1" x14ac:dyDescent="0.15">
      <c r="B6" s="14" t="s">
        <v>77</v>
      </c>
      <c r="C6" s="14"/>
      <c r="D6" s="14"/>
      <c r="E6" s="14"/>
      <c r="F6" s="14"/>
      <c r="G6" s="14"/>
      <c r="H6" s="14"/>
      <c r="I6" s="14"/>
      <c r="J6" s="15"/>
      <c r="K6" s="14"/>
      <c r="L6" s="14" t="s">
        <v>259</v>
      </c>
      <c r="M6" s="14" t="s">
        <v>259</v>
      </c>
      <c r="N6" s="14"/>
      <c r="O6" s="14"/>
      <c r="P6" s="14" t="s">
        <v>1152</v>
      </c>
      <c r="Q6" s="14" t="s">
        <v>259</v>
      </c>
      <c r="R6" s="14" t="s">
        <v>259</v>
      </c>
      <c r="S6" s="14" t="s">
        <v>259</v>
      </c>
      <c r="T6" s="78"/>
      <c r="U6" s="78"/>
    </row>
    <row r="7" spans="1:21" s="13" customFormat="1" x14ac:dyDescent="0.15">
      <c r="B7" s="13" t="s">
        <v>3061</v>
      </c>
      <c r="E7" s="13" t="s">
        <v>1154</v>
      </c>
      <c r="F7" s="13" t="s">
        <v>399</v>
      </c>
      <c r="H7" s="13" t="s">
        <v>1155</v>
      </c>
      <c r="I7" s="13" t="s">
        <v>3306</v>
      </c>
      <c r="J7" s="13" t="s">
        <v>3063</v>
      </c>
      <c r="K7" s="13">
        <v>0</v>
      </c>
      <c r="N7" s="13">
        <v>1</v>
      </c>
      <c r="O7" s="13">
        <v>1500</v>
      </c>
      <c r="P7" s="13">
        <v>2</v>
      </c>
      <c r="Q7" s="13" t="s">
        <v>1156</v>
      </c>
      <c r="R7" s="13" t="s">
        <v>235</v>
      </c>
      <c r="S7" s="13" t="s">
        <v>235</v>
      </c>
    </row>
    <row r="8" spans="1:21" s="13" customFormat="1" x14ac:dyDescent="0.15">
      <c r="B8" s="13" t="s">
        <v>3162</v>
      </c>
      <c r="E8" s="13" t="s">
        <v>1154</v>
      </c>
      <c r="F8" s="13" t="s">
        <v>399</v>
      </c>
      <c r="G8" s="13" t="s">
        <v>3318</v>
      </c>
      <c r="H8" s="13" t="s">
        <v>1155</v>
      </c>
      <c r="I8" s="13" t="s">
        <v>3163</v>
      </c>
      <c r="J8" s="13" t="s">
        <v>3164</v>
      </c>
      <c r="K8" s="13">
        <v>0</v>
      </c>
      <c r="N8" s="13">
        <v>1</v>
      </c>
      <c r="O8" s="13">
        <v>1500</v>
      </c>
      <c r="P8" s="13">
        <v>2</v>
      </c>
      <c r="Q8" s="13" t="s">
        <v>1156</v>
      </c>
      <c r="R8" s="13" t="s">
        <v>235</v>
      </c>
      <c r="S8" s="13" t="s">
        <v>235</v>
      </c>
    </row>
  </sheetData>
  <phoneticPr fontId="11" type="noConversion"/>
  <conditionalFormatting sqref="P6">
    <cfRule type="cellIs" dxfId="3" priority="1" stopIfTrue="1" operator="notEqual">
      <formula>INDIRECT("Dummy_for_Comparison2!"&amp;ADDRESS(ROW(),COLUMN()))</formula>
    </cfRule>
    <cfRule type="cellIs" dxfId="2" priority="2" stopIfTrue="1" operator="notEqual">
      <formula>INDIRECT("Dummy_for_Comparison20!"&amp;ADDRESS(ROW(),COLUMN()))</formula>
    </cfRule>
  </conditionalFormatting>
  <pageMargins left="0.7" right="0.7" top="0.75" bottom="0.75" header="0.3" footer="0.3"/>
  <legacy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9643F4-DFD9-48F4-9854-34663230ACA3}">
  <sheetPr codeName="Sheet30">
    <tabColor theme="2"/>
  </sheetPr>
  <dimension ref="A1:BC15"/>
  <sheetViews>
    <sheetView zoomScale="85" zoomScaleNormal="85" workbookViewId="0">
      <pane xSplit="2" ySplit="6" topLeftCell="C7" activePane="bottomRight" state="frozen"/>
      <selection pane="topRight" activeCell="C1" sqref="C1"/>
      <selection pane="bottomLeft" activeCell="A7" sqref="A7"/>
      <selection pane="bottomRight"/>
    </sheetView>
  </sheetViews>
  <sheetFormatPr defaultRowHeight="13.5" x14ac:dyDescent="0.15"/>
  <cols>
    <col min="1" max="1" width="20.5" bestFit="1" customWidth="1"/>
    <col min="2" max="2" width="24.875" bestFit="1" customWidth="1"/>
    <col min="3" max="3" width="44.125" bestFit="1" customWidth="1"/>
    <col min="4" max="4" width="12.125" bestFit="1" customWidth="1"/>
    <col min="5" max="5" width="33.25" bestFit="1" customWidth="1"/>
    <col min="6" max="6" width="12.875" bestFit="1" customWidth="1"/>
    <col min="7" max="8" width="27.25" bestFit="1" customWidth="1"/>
    <col min="9" max="9" width="16.125" bestFit="1" customWidth="1"/>
    <col min="10" max="10" width="25" bestFit="1" customWidth="1"/>
    <col min="14" max="14" width="37.625" customWidth="1"/>
  </cols>
  <sheetData>
    <row r="1" spans="1:55" x14ac:dyDescent="0.15">
      <c r="A1" s="20" t="s">
        <v>720</v>
      </c>
      <c r="B1" s="20" t="s">
        <v>3064</v>
      </c>
      <c r="C1" s="20"/>
      <c r="D1" s="20"/>
      <c r="E1" s="20"/>
      <c r="F1" s="20"/>
      <c r="G1" s="20"/>
      <c r="H1" s="20"/>
      <c r="I1" s="20"/>
      <c r="J1" s="20"/>
      <c r="K1" s="20"/>
      <c r="L1" s="20"/>
      <c r="M1" s="20"/>
      <c r="N1" s="20"/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20"/>
      <c r="AA1" s="20"/>
      <c r="AB1" s="20"/>
      <c r="AC1" s="20"/>
      <c r="AD1" s="20"/>
      <c r="AE1" s="20"/>
      <c r="AF1" s="20"/>
      <c r="AG1" s="20"/>
      <c r="AH1" s="20"/>
      <c r="AI1" s="20"/>
      <c r="AJ1" s="20"/>
      <c r="AK1" s="20"/>
      <c r="AL1" s="20"/>
      <c r="AM1" s="20"/>
      <c r="AN1" s="20"/>
      <c r="AO1" s="20"/>
      <c r="AP1" s="20"/>
      <c r="AQ1" s="20"/>
      <c r="AR1" s="20"/>
      <c r="AS1" s="20"/>
      <c r="AT1" s="20"/>
      <c r="AU1" s="20"/>
      <c r="AV1" s="20"/>
      <c r="AW1" s="20"/>
      <c r="AX1" s="20"/>
      <c r="AY1" s="20"/>
      <c r="AZ1" s="20"/>
      <c r="BA1" s="20"/>
      <c r="BB1" s="20"/>
      <c r="BC1" s="20"/>
    </row>
    <row r="2" spans="1:55" x14ac:dyDescent="0.15">
      <c r="A2" s="20" t="s">
        <v>70</v>
      </c>
      <c r="B2" s="16" t="s">
        <v>123</v>
      </c>
      <c r="C2" s="16" t="s">
        <v>626</v>
      </c>
      <c r="D2" s="16" t="s">
        <v>205</v>
      </c>
      <c r="E2" s="16" t="s">
        <v>624</v>
      </c>
      <c r="F2" s="16" t="s">
        <v>570</v>
      </c>
      <c r="G2" s="16" t="s">
        <v>719</v>
      </c>
      <c r="H2" s="16" t="s">
        <v>622</v>
      </c>
      <c r="I2" s="16" t="s">
        <v>621</v>
      </c>
      <c r="J2" s="16" t="s">
        <v>718</v>
      </c>
      <c r="K2" s="16" t="s">
        <v>717</v>
      </c>
      <c r="L2" s="16" t="s">
        <v>716</v>
      </c>
      <c r="M2" s="16" t="s">
        <v>715</v>
      </c>
      <c r="N2" s="16" t="s">
        <v>590</v>
      </c>
      <c r="O2" s="39" t="s">
        <v>244</v>
      </c>
      <c r="P2" s="15" t="s">
        <v>714</v>
      </c>
      <c r="Q2" s="16" t="s">
        <v>205</v>
      </c>
    </row>
    <row r="3" spans="1:55" x14ac:dyDescent="0.15">
      <c r="A3" s="20"/>
      <c r="B3" s="15" t="s">
        <v>72</v>
      </c>
      <c r="C3" s="15" t="s">
        <v>74</v>
      </c>
      <c r="D3" s="15" t="s">
        <v>73</v>
      </c>
      <c r="E3" s="15" t="s">
        <v>72</v>
      </c>
      <c r="F3" s="15" t="s">
        <v>72</v>
      </c>
      <c r="G3" s="15" t="s">
        <v>72</v>
      </c>
      <c r="H3" s="15" t="s">
        <v>72</v>
      </c>
      <c r="I3" s="15" t="s">
        <v>72</v>
      </c>
      <c r="J3" s="15" t="s">
        <v>72</v>
      </c>
      <c r="K3" s="15" t="s">
        <v>74</v>
      </c>
      <c r="L3" s="15" t="s">
        <v>74</v>
      </c>
      <c r="M3" s="15" t="s">
        <v>74</v>
      </c>
      <c r="N3" s="15" t="s">
        <v>74</v>
      </c>
      <c r="O3" s="15" t="s">
        <v>72</v>
      </c>
      <c r="P3" s="15" t="s">
        <v>74</v>
      </c>
      <c r="Q3" s="15" t="s">
        <v>568</v>
      </c>
    </row>
    <row r="4" spans="1:55" x14ac:dyDescent="0.15">
      <c r="A4" s="20"/>
      <c r="B4" s="14" t="s">
        <v>75</v>
      </c>
      <c r="C4" s="14" t="s">
        <v>75</v>
      </c>
      <c r="D4" s="14" t="s">
        <v>73</v>
      </c>
      <c r="E4" s="14" t="s">
        <v>75</v>
      </c>
      <c r="F4" s="14" t="s">
        <v>249</v>
      </c>
      <c r="G4" s="14" t="s">
        <v>238</v>
      </c>
      <c r="H4" s="14" t="s">
        <v>238</v>
      </c>
      <c r="I4" s="14" t="s">
        <v>238</v>
      </c>
      <c r="J4" s="14" t="s">
        <v>75</v>
      </c>
      <c r="K4" s="14" t="s">
        <v>76</v>
      </c>
      <c r="L4" s="14" t="s">
        <v>76</v>
      </c>
      <c r="M4" s="14" t="s">
        <v>76</v>
      </c>
      <c r="N4" s="14" t="s">
        <v>75</v>
      </c>
      <c r="O4" s="14" t="s">
        <v>75</v>
      </c>
      <c r="P4" s="14" t="s">
        <v>238</v>
      </c>
      <c r="Q4" s="14" t="s">
        <v>564</v>
      </c>
    </row>
    <row r="5" spans="1:55" x14ac:dyDescent="0.15">
      <c r="A5" s="20"/>
      <c r="B5" s="15" t="s">
        <v>81</v>
      </c>
      <c r="C5" s="15" t="s">
        <v>713</v>
      </c>
      <c r="D5" s="15" t="s">
        <v>712</v>
      </c>
      <c r="E5" s="15" t="s">
        <v>560</v>
      </c>
      <c r="F5" s="15" t="s">
        <v>506</v>
      </c>
      <c r="G5" s="15" t="s">
        <v>711</v>
      </c>
      <c r="H5" s="15" t="s">
        <v>522</v>
      </c>
      <c r="I5" s="15" t="s">
        <v>710</v>
      </c>
      <c r="J5" s="15" t="s">
        <v>709</v>
      </c>
      <c r="K5" s="15" t="s">
        <v>708</v>
      </c>
      <c r="L5" s="15" t="s">
        <v>707</v>
      </c>
      <c r="M5" s="15" t="s">
        <v>536</v>
      </c>
      <c r="N5" s="15" t="s">
        <v>528</v>
      </c>
      <c r="O5" s="15" t="s">
        <v>86</v>
      </c>
      <c r="P5" s="15" t="s">
        <v>706</v>
      </c>
      <c r="Q5" s="15" t="s">
        <v>517</v>
      </c>
    </row>
    <row r="6" spans="1:55" x14ac:dyDescent="0.15">
      <c r="A6" s="20"/>
      <c r="B6" s="14" t="s">
        <v>77</v>
      </c>
      <c r="C6" s="14" t="s">
        <v>78</v>
      </c>
      <c r="D6" s="14"/>
      <c r="E6" s="14" t="s">
        <v>705</v>
      </c>
      <c r="F6" s="14"/>
      <c r="G6" s="14"/>
      <c r="H6" s="14"/>
      <c r="I6" s="14"/>
      <c r="J6" s="14" t="s">
        <v>87</v>
      </c>
      <c r="K6" s="14"/>
      <c r="L6" s="14"/>
      <c r="M6" s="14"/>
      <c r="N6" s="14"/>
      <c r="O6" s="14"/>
      <c r="P6" s="14"/>
      <c r="Q6" s="14" t="s">
        <v>73</v>
      </c>
    </row>
    <row r="7" spans="1:55" s="11" customFormat="1" x14ac:dyDescent="0.15">
      <c r="B7" s="11" t="s">
        <v>1788</v>
      </c>
      <c r="C7" s="11" t="str">
        <f>B7&amp;"_Name"</f>
        <v>DuskS01S01_Name</v>
      </c>
      <c r="E7" s="11" t="s">
        <v>1478</v>
      </c>
      <c r="F7" s="11" t="s">
        <v>704</v>
      </c>
      <c r="G7" s="11" t="s">
        <v>444</v>
      </c>
      <c r="H7" s="11" t="s">
        <v>235</v>
      </c>
      <c r="I7" s="11" t="s">
        <v>1494</v>
      </c>
      <c r="J7" s="11" t="s">
        <v>1789</v>
      </c>
      <c r="N7" s="11" t="s">
        <v>4412</v>
      </c>
      <c r="O7" s="11" t="s">
        <v>701</v>
      </c>
      <c r="P7" s="11" t="s">
        <v>700</v>
      </c>
    </row>
    <row r="8" spans="1:55" s="11" customFormat="1" x14ac:dyDescent="0.15">
      <c r="B8" s="11" t="s">
        <v>4408</v>
      </c>
      <c r="C8" s="11" t="str">
        <f t="shared" ref="C8:C11" si="0">B8&amp;"_Name"</f>
        <v>DuskS01S02_Name</v>
      </c>
      <c r="E8" s="11" t="s">
        <v>1478</v>
      </c>
      <c r="F8" s="11" t="s">
        <v>703</v>
      </c>
      <c r="G8" s="11" t="s">
        <v>444</v>
      </c>
      <c r="H8" s="11" t="s">
        <v>1486</v>
      </c>
      <c r="I8" s="11" t="s">
        <v>1501</v>
      </c>
      <c r="J8" s="11" t="s">
        <v>1790</v>
      </c>
      <c r="N8" s="11" t="s">
        <v>4413</v>
      </c>
      <c r="O8" s="11" t="s">
        <v>701</v>
      </c>
      <c r="P8" s="11" t="s">
        <v>700</v>
      </c>
    </row>
    <row r="9" spans="1:55" s="11" customFormat="1" x14ac:dyDescent="0.15">
      <c r="B9" s="11" t="s">
        <v>1791</v>
      </c>
      <c r="C9" s="11" t="str">
        <f t="shared" si="0"/>
        <v>DuskS01S03_Name</v>
      </c>
      <c r="E9" s="11" t="s">
        <v>1478</v>
      </c>
      <c r="F9" s="11" t="s">
        <v>702</v>
      </c>
      <c r="G9" s="11" t="s">
        <v>1485</v>
      </c>
      <c r="H9" s="11" t="s">
        <v>1494</v>
      </c>
      <c r="I9" s="11" t="s">
        <v>1508</v>
      </c>
      <c r="J9" s="11" t="s">
        <v>1792</v>
      </c>
      <c r="N9" s="11" t="s">
        <v>4414</v>
      </c>
      <c r="O9" s="11" t="s">
        <v>701</v>
      </c>
      <c r="P9" s="11" t="s">
        <v>700</v>
      </c>
    </row>
    <row r="10" spans="1:55" s="11" customFormat="1" x14ac:dyDescent="0.15">
      <c r="B10" s="11" t="s">
        <v>1793</v>
      </c>
      <c r="C10" s="11" t="str">
        <f t="shared" si="0"/>
        <v>DuskS01S04_Name</v>
      </c>
      <c r="E10" s="11" t="s">
        <v>1478</v>
      </c>
      <c r="F10" s="11" t="s">
        <v>703</v>
      </c>
      <c r="G10" s="11" t="s">
        <v>1497</v>
      </c>
      <c r="H10" s="11" t="s">
        <v>1501</v>
      </c>
      <c r="I10" s="11" t="s">
        <v>4410</v>
      </c>
      <c r="J10" s="11" t="s">
        <v>1794</v>
      </c>
      <c r="N10" s="11" t="s">
        <v>4415</v>
      </c>
      <c r="O10" s="11" t="s">
        <v>701</v>
      </c>
      <c r="P10" s="11" t="s">
        <v>700</v>
      </c>
    </row>
    <row r="11" spans="1:55" s="11" customFormat="1" x14ac:dyDescent="0.15">
      <c r="B11" s="11" t="s">
        <v>4407</v>
      </c>
      <c r="C11" s="11" t="str">
        <f t="shared" si="0"/>
        <v>DuskS01S05_Name</v>
      </c>
      <c r="E11" s="11" t="s">
        <v>1478</v>
      </c>
      <c r="F11" s="11" t="s">
        <v>703</v>
      </c>
      <c r="G11" s="11" t="s">
        <v>1504</v>
      </c>
      <c r="H11" s="11" t="s">
        <v>1508</v>
      </c>
      <c r="I11" s="11" t="s">
        <v>444</v>
      </c>
      <c r="J11" s="11" t="s">
        <v>1794</v>
      </c>
      <c r="N11" s="11" t="s">
        <v>4416</v>
      </c>
      <c r="O11" s="11" t="s">
        <v>701</v>
      </c>
      <c r="P11" s="11" t="s">
        <v>700</v>
      </c>
    </row>
    <row r="12" spans="1:55" s="11" customFormat="1" x14ac:dyDescent="0.15">
      <c r="B12" s="11" t="s">
        <v>1795</v>
      </c>
      <c r="C12" s="11" t="str">
        <f t="shared" ref="C12:C15" si="1">B12&amp;"_Name"</f>
        <v>DuskS02S01_Name</v>
      </c>
      <c r="E12" s="11" t="s">
        <v>1480</v>
      </c>
      <c r="F12" s="11" t="s">
        <v>704</v>
      </c>
      <c r="G12" s="11" t="s">
        <v>444</v>
      </c>
      <c r="H12" s="11" t="s">
        <v>235</v>
      </c>
      <c r="I12" s="11" t="s">
        <v>1522</v>
      </c>
      <c r="J12" s="11" t="s">
        <v>1789</v>
      </c>
      <c r="N12" s="11" t="s">
        <v>4417</v>
      </c>
      <c r="O12" s="11" t="s">
        <v>701</v>
      </c>
      <c r="P12" s="11" t="s">
        <v>700</v>
      </c>
    </row>
    <row r="13" spans="1:55" s="11" customFormat="1" x14ac:dyDescent="0.15">
      <c r="B13" s="11" t="s">
        <v>1796</v>
      </c>
      <c r="C13" s="11" t="str">
        <f t="shared" si="1"/>
        <v>DuskS02S02_Name</v>
      </c>
      <c r="E13" s="11" t="s">
        <v>1480</v>
      </c>
      <c r="F13" s="11" t="s">
        <v>703</v>
      </c>
      <c r="G13" s="11" t="s">
        <v>1513</v>
      </c>
      <c r="H13" s="11" t="s">
        <v>1514</v>
      </c>
      <c r="I13" s="11" t="s">
        <v>1529</v>
      </c>
      <c r="J13" s="11" t="s">
        <v>1790</v>
      </c>
      <c r="N13" s="11" t="s">
        <v>4418</v>
      </c>
      <c r="O13" s="11" t="s">
        <v>701</v>
      </c>
      <c r="P13" s="11" t="s">
        <v>700</v>
      </c>
    </row>
    <row r="14" spans="1:55" s="11" customFormat="1" x14ac:dyDescent="0.15">
      <c r="B14" s="11" t="s">
        <v>1797</v>
      </c>
      <c r="C14" s="11" t="str">
        <f t="shared" si="1"/>
        <v>DuskS02S03_Name</v>
      </c>
      <c r="E14" s="11" t="s">
        <v>1480</v>
      </c>
      <c r="F14" s="11" t="s">
        <v>702</v>
      </c>
      <c r="G14" s="11" t="s">
        <v>1525</v>
      </c>
      <c r="H14" s="11" t="s">
        <v>1522</v>
      </c>
      <c r="I14" s="11" t="s">
        <v>1536</v>
      </c>
      <c r="J14" s="11" t="s">
        <v>1792</v>
      </c>
      <c r="N14" s="11" t="s">
        <v>4419</v>
      </c>
      <c r="O14" s="11" t="s">
        <v>701</v>
      </c>
      <c r="P14" s="11" t="s">
        <v>700</v>
      </c>
    </row>
    <row r="15" spans="1:55" s="11" customFormat="1" x14ac:dyDescent="0.15">
      <c r="B15" s="11" t="s">
        <v>1798</v>
      </c>
      <c r="C15" s="11" t="str">
        <f t="shared" si="1"/>
        <v>DuskS02S04_Name</v>
      </c>
      <c r="E15" s="11" t="s">
        <v>1480</v>
      </c>
      <c r="F15" s="11" t="s">
        <v>703</v>
      </c>
      <c r="G15" s="11" t="s">
        <v>1532</v>
      </c>
      <c r="H15" s="11" t="s">
        <v>1529</v>
      </c>
      <c r="I15" s="11" t="s">
        <v>444</v>
      </c>
      <c r="J15" s="11" t="s">
        <v>1794</v>
      </c>
      <c r="N15" s="11" t="s">
        <v>4420</v>
      </c>
      <c r="O15" s="11" t="s">
        <v>701</v>
      </c>
      <c r="P15" s="11" t="s">
        <v>700</v>
      </c>
    </row>
  </sheetData>
  <phoneticPr fontId="11" type="noConversion"/>
  <pageMargins left="0.7" right="0.7" top="0.75" bottom="0.75" header="0.3" footer="0.3"/>
  <legacy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AE9AAB-C064-486D-AA58-A1E10144ACC5}">
  <sheetPr codeName="Sheet31">
    <tabColor theme="2"/>
  </sheetPr>
  <dimension ref="A1:BQ43"/>
  <sheetViews>
    <sheetView workbookViewId="0">
      <pane xSplit="2" ySplit="6" topLeftCell="X7" activePane="bottomRight" state="frozen"/>
      <selection pane="topRight" activeCell="C1" sqref="C1"/>
      <selection pane="bottomLeft" activeCell="A7" sqref="A7"/>
      <selection pane="bottomRight"/>
    </sheetView>
  </sheetViews>
  <sheetFormatPr defaultRowHeight="13.5" x14ac:dyDescent="0.15"/>
  <cols>
    <col min="1" max="1" width="15.375" bestFit="1" customWidth="1"/>
    <col min="2" max="2" width="21.625" bestFit="1" customWidth="1"/>
    <col min="3" max="3" width="24.875" bestFit="1" customWidth="1"/>
    <col min="15" max="15" width="42.875" bestFit="1" customWidth="1"/>
    <col min="32" max="32" width="102.25" bestFit="1" customWidth="1"/>
  </cols>
  <sheetData>
    <row r="1" spans="1:69" x14ac:dyDescent="0.15">
      <c r="A1" t="s">
        <v>395</v>
      </c>
      <c r="B1" t="s">
        <v>394</v>
      </c>
    </row>
    <row r="2" spans="1:69" ht="14.25" x14ac:dyDescent="0.15">
      <c r="A2" s="40" t="s">
        <v>70</v>
      </c>
      <c r="B2" s="16" t="s">
        <v>123</v>
      </c>
      <c r="C2" s="16" t="s">
        <v>393</v>
      </c>
      <c r="D2" s="39" t="s">
        <v>241</v>
      </c>
      <c r="E2" s="16" t="s">
        <v>392</v>
      </c>
      <c r="F2" s="16" t="s">
        <v>391</v>
      </c>
      <c r="G2" s="16" t="s">
        <v>390</v>
      </c>
      <c r="H2" s="16" t="s">
        <v>240</v>
      </c>
      <c r="I2" s="16" t="s">
        <v>239</v>
      </c>
      <c r="J2" s="16" t="s">
        <v>389</v>
      </c>
      <c r="K2" s="16" t="s">
        <v>388</v>
      </c>
      <c r="L2" s="16" t="s">
        <v>387</v>
      </c>
      <c r="M2" s="38" t="s">
        <v>386</v>
      </c>
      <c r="N2" s="16" t="s">
        <v>385</v>
      </c>
      <c r="O2" s="16" t="s">
        <v>384</v>
      </c>
      <c r="P2" s="38" t="s">
        <v>383</v>
      </c>
      <c r="Q2" s="16" t="s">
        <v>382</v>
      </c>
      <c r="R2" s="16" t="s">
        <v>381</v>
      </c>
      <c r="S2" s="38" t="s">
        <v>380</v>
      </c>
      <c r="T2" s="38" t="s">
        <v>379</v>
      </c>
      <c r="U2" s="16" t="s">
        <v>378</v>
      </c>
      <c r="V2" s="16" t="s">
        <v>377</v>
      </c>
      <c r="W2" s="16" t="s">
        <v>376</v>
      </c>
      <c r="X2" s="16" t="s">
        <v>375</v>
      </c>
      <c r="Y2" s="16" t="s">
        <v>374</v>
      </c>
      <c r="Z2" s="16" t="s">
        <v>373</v>
      </c>
      <c r="AA2" s="16" t="s">
        <v>372</v>
      </c>
      <c r="AB2" s="16" t="s">
        <v>371</v>
      </c>
      <c r="AC2" s="16" t="s">
        <v>370</v>
      </c>
      <c r="AD2" s="16" t="s">
        <v>369</v>
      </c>
      <c r="AE2" s="16" t="s">
        <v>368</v>
      </c>
      <c r="AF2" s="16" t="s">
        <v>367</v>
      </c>
      <c r="AG2" s="16" t="s">
        <v>366</v>
      </c>
      <c r="AH2" s="38" t="s">
        <v>365</v>
      </c>
      <c r="AI2" s="16" t="s">
        <v>364</v>
      </c>
      <c r="AJ2" s="16" t="s">
        <v>363</v>
      </c>
      <c r="AK2" s="16" t="s">
        <v>362</v>
      </c>
      <c r="AL2" s="16" t="s">
        <v>361</v>
      </c>
      <c r="AM2" s="16" t="s">
        <v>360</v>
      </c>
      <c r="AN2" s="16" t="s">
        <v>359</v>
      </c>
      <c r="AO2" s="16" t="s">
        <v>358</v>
      </c>
      <c r="AP2" s="16" t="s">
        <v>357</v>
      </c>
      <c r="AQ2" s="16" t="s">
        <v>356</v>
      </c>
      <c r="AR2" s="16" t="s">
        <v>355</v>
      </c>
      <c r="AS2" s="16" t="s">
        <v>354</v>
      </c>
      <c r="AT2" s="16" t="s">
        <v>353</v>
      </c>
      <c r="AU2" s="16" t="s">
        <v>352</v>
      </c>
      <c r="AV2" s="16" t="s">
        <v>351</v>
      </c>
      <c r="AW2" s="16" t="s">
        <v>350</v>
      </c>
      <c r="AX2" s="16" t="s">
        <v>349</v>
      </c>
      <c r="AY2" s="16" t="s">
        <v>348</v>
      </c>
      <c r="AZ2" s="16" t="s">
        <v>347</v>
      </c>
      <c r="BA2" s="16" t="s">
        <v>346</v>
      </c>
      <c r="BB2" s="16" t="s">
        <v>345</v>
      </c>
      <c r="BC2" s="16" t="s">
        <v>344</v>
      </c>
      <c r="BD2" s="16" t="s">
        <v>343</v>
      </c>
      <c r="BE2" s="16" t="s">
        <v>342</v>
      </c>
      <c r="BF2" s="16" t="s">
        <v>341</v>
      </c>
      <c r="BG2" s="16" t="s">
        <v>340</v>
      </c>
      <c r="BH2" s="16" t="s">
        <v>339</v>
      </c>
      <c r="BI2" s="16" t="s">
        <v>338</v>
      </c>
      <c r="BJ2" s="16" t="s">
        <v>337</v>
      </c>
      <c r="BK2" s="16" t="s">
        <v>336</v>
      </c>
      <c r="BL2" s="16" t="s">
        <v>335</v>
      </c>
      <c r="BM2" s="16" t="s">
        <v>334</v>
      </c>
      <c r="BN2" s="16" t="s">
        <v>333</v>
      </c>
      <c r="BO2" s="16" t="s">
        <v>332</v>
      </c>
      <c r="BP2" s="16" t="s">
        <v>331</v>
      </c>
      <c r="BQ2" s="16" t="s">
        <v>767</v>
      </c>
    </row>
    <row r="3" spans="1:69" x14ac:dyDescent="0.15">
      <c r="B3" s="15" t="s">
        <v>72</v>
      </c>
      <c r="C3" s="15" t="s">
        <v>72</v>
      </c>
      <c r="D3" s="15" t="s">
        <v>74</v>
      </c>
      <c r="E3" s="15" t="s">
        <v>73</v>
      </c>
      <c r="F3" s="15" t="s">
        <v>72</v>
      </c>
      <c r="G3" s="15" t="s">
        <v>72</v>
      </c>
      <c r="H3" s="15" t="s">
        <v>72</v>
      </c>
      <c r="I3" s="15" t="s">
        <v>72</v>
      </c>
      <c r="J3" s="15" t="s">
        <v>72</v>
      </c>
      <c r="K3" s="15" t="s">
        <v>72</v>
      </c>
      <c r="L3" s="15" t="s">
        <v>72</v>
      </c>
      <c r="M3" s="36" t="s">
        <v>72</v>
      </c>
      <c r="N3" s="15" t="s">
        <v>72</v>
      </c>
      <c r="O3" s="36" t="s">
        <v>72</v>
      </c>
      <c r="P3" s="36" t="s">
        <v>72</v>
      </c>
      <c r="Q3" s="15" t="s">
        <v>74</v>
      </c>
      <c r="R3" s="15" t="s">
        <v>72</v>
      </c>
      <c r="S3" s="36" t="s">
        <v>74</v>
      </c>
      <c r="T3" s="36" t="s">
        <v>74</v>
      </c>
      <c r="U3" s="15" t="s">
        <v>72</v>
      </c>
      <c r="V3" s="15" t="s">
        <v>72</v>
      </c>
      <c r="W3" s="15" t="s">
        <v>72</v>
      </c>
      <c r="X3" s="15" t="s">
        <v>72</v>
      </c>
      <c r="Y3" s="15" t="s">
        <v>72</v>
      </c>
      <c r="Z3" s="15" t="s">
        <v>72</v>
      </c>
      <c r="AA3" s="15" t="s">
        <v>72</v>
      </c>
      <c r="AB3" s="15" t="s">
        <v>72</v>
      </c>
      <c r="AC3" s="15" t="s">
        <v>72</v>
      </c>
      <c r="AD3" s="15" t="s">
        <v>72</v>
      </c>
      <c r="AE3" s="15" t="s">
        <v>72</v>
      </c>
      <c r="AF3" s="15" t="s">
        <v>72</v>
      </c>
      <c r="AG3" s="15" t="s">
        <v>72</v>
      </c>
      <c r="AH3" s="36" t="s">
        <v>72</v>
      </c>
      <c r="AI3" s="15" t="s">
        <v>74</v>
      </c>
      <c r="AJ3" s="15" t="s">
        <v>74</v>
      </c>
      <c r="AK3" s="15" t="s">
        <v>74</v>
      </c>
      <c r="AL3" s="15" t="s">
        <v>72</v>
      </c>
      <c r="AM3" s="15" t="s">
        <v>72</v>
      </c>
      <c r="AN3" s="15" t="s">
        <v>72</v>
      </c>
      <c r="AO3" s="15" t="s">
        <v>72</v>
      </c>
      <c r="AP3" s="15" t="s">
        <v>72</v>
      </c>
      <c r="AQ3" s="15" t="s">
        <v>72</v>
      </c>
      <c r="AR3" s="15" t="s">
        <v>72</v>
      </c>
      <c r="AS3" s="15" t="s">
        <v>72</v>
      </c>
      <c r="AT3" s="15" t="s">
        <v>72</v>
      </c>
      <c r="AU3" s="15" t="s">
        <v>72</v>
      </c>
      <c r="AV3" s="15" t="s">
        <v>72</v>
      </c>
      <c r="AW3" s="15" t="s">
        <v>72</v>
      </c>
      <c r="AX3" s="15" t="s">
        <v>72</v>
      </c>
      <c r="AY3" s="15" t="s">
        <v>72</v>
      </c>
      <c r="AZ3" s="15" t="s">
        <v>72</v>
      </c>
      <c r="BA3" s="15" t="s">
        <v>72</v>
      </c>
      <c r="BB3" s="15" t="s">
        <v>72</v>
      </c>
      <c r="BC3" s="15" t="s">
        <v>72</v>
      </c>
      <c r="BD3" s="15" t="s">
        <v>72</v>
      </c>
      <c r="BE3" s="15" t="s">
        <v>72</v>
      </c>
      <c r="BF3" s="15" t="s">
        <v>72</v>
      </c>
      <c r="BG3" s="15" t="s">
        <v>72</v>
      </c>
      <c r="BH3" s="15" t="s">
        <v>72</v>
      </c>
      <c r="BI3" s="15" t="s">
        <v>72</v>
      </c>
      <c r="BJ3" s="15" t="s">
        <v>72</v>
      </c>
      <c r="BK3" s="15" t="s">
        <v>72</v>
      </c>
      <c r="BL3" s="15" t="s">
        <v>72</v>
      </c>
      <c r="BM3" s="15" t="s">
        <v>74</v>
      </c>
      <c r="BN3" s="15" t="s">
        <v>72</v>
      </c>
      <c r="BO3" s="15" t="s">
        <v>72</v>
      </c>
      <c r="BP3" s="15" t="s">
        <v>74</v>
      </c>
      <c r="BQ3" s="15" t="s">
        <v>74</v>
      </c>
    </row>
    <row r="4" spans="1:69" x14ac:dyDescent="0.15">
      <c r="B4" s="14" t="s">
        <v>75</v>
      </c>
      <c r="C4" s="14" t="s">
        <v>75</v>
      </c>
      <c r="D4" s="14" t="s">
        <v>75</v>
      </c>
      <c r="E4" s="14" t="s">
        <v>73</v>
      </c>
      <c r="F4" s="14" t="s">
        <v>76</v>
      </c>
      <c r="G4" s="14" t="s">
        <v>76</v>
      </c>
      <c r="H4" s="14" t="s">
        <v>75</v>
      </c>
      <c r="I4" s="14" t="s">
        <v>76</v>
      </c>
      <c r="J4" s="14" t="s">
        <v>76</v>
      </c>
      <c r="K4" s="14" t="s">
        <v>76</v>
      </c>
      <c r="L4" s="14" t="s">
        <v>238</v>
      </c>
      <c r="M4" s="37" t="s">
        <v>238</v>
      </c>
      <c r="N4" s="14" t="s">
        <v>80</v>
      </c>
      <c r="O4" s="37" t="s">
        <v>80</v>
      </c>
      <c r="P4" s="37" t="s">
        <v>76</v>
      </c>
      <c r="Q4" s="14" t="s">
        <v>80</v>
      </c>
      <c r="R4" s="14" t="s">
        <v>76</v>
      </c>
      <c r="S4" s="37" t="s">
        <v>75</v>
      </c>
      <c r="T4" s="37" t="s">
        <v>80</v>
      </c>
      <c r="U4" s="14" t="s">
        <v>238</v>
      </c>
      <c r="V4" s="14" t="s">
        <v>75</v>
      </c>
      <c r="W4" s="14" t="s">
        <v>76</v>
      </c>
      <c r="X4" s="14" t="s">
        <v>75</v>
      </c>
      <c r="Y4" s="14" t="s">
        <v>75</v>
      </c>
      <c r="Z4" s="14" t="s">
        <v>75</v>
      </c>
      <c r="AA4" s="14" t="s">
        <v>75</v>
      </c>
      <c r="AB4" s="14" t="s">
        <v>75</v>
      </c>
      <c r="AC4" s="14" t="s">
        <v>75</v>
      </c>
      <c r="AD4" s="14" t="s">
        <v>75</v>
      </c>
      <c r="AE4" s="14" t="s">
        <v>75</v>
      </c>
      <c r="AF4" s="14" t="s">
        <v>238</v>
      </c>
      <c r="AG4" s="14" t="s">
        <v>75</v>
      </c>
      <c r="AH4" s="37" t="s">
        <v>330</v>
      </c>
      <c r="AI4" s="14" t="s">
        <v>238</v>
      </c>
      <c r="AJ4" s="14" t="s">
        <v>330</v>
      </c>
      <c r="AK4" s="14" t="s">
        <v>249</v>
      </c>
      <c r="AL4" s="14" t="s">
        <v>119</v>
      </c>
      <c r="AM4" s="14" t="s">
        <v>330</v>
      </c>
      <c r="AN4" s="14" t="s">
        <v>330</v>
      </c>
      <c r="AO4" s="14" t="s">
        <v>330</v>
      </c>
      <c r="AP4" s="14" t="s">
        <v>330</v>
      </c>
      <c r="AQ4" s="14" t="s">
        <v>330</v>
      </c>
      <c r="AR4" s="14" t="s">
        <v>330</v>
      </c>
      <c r="AS4" s="14" t="s">
        <v>330</v>
      </c>
      <c r="AT4" s="14" t="s">
        <v>330</v>
      </c>
      <c r="AU4" s="14" t="s">
        <v>330</v>
      </c>
      <c r="AV4" s="14" t="s">
        <v>330</v>
      </c>
      <c r="AW4" s="14" t="s">
        <v>330</v>
      </c>
      <c r="AX4" s="14" t="s">
        <v>330</v>
      </c>
      <c r="AY4" s="14" t="s">
        <v>330</v>
      </c>
      <c r="AZ4" s="14" t="s">
        <v>330</v>
      </c>
      <c r="BA4" s="14" t="s">
        <v>330</v>
      </c>
      <c r="BB4" s="14" t="s">
        <v>330</v>
      </c>
      <c r="BC4" s="14" t="s">
        <v>330</v>
      </c>
      <c r="BD4" s="14" t="s">
        <v>330</v>
      </c>
      <c r="BE4" s="14" t="s">
        <v>330</v>
      </c>
      <c r="BF4" s="14" t="s">
        <v>330</v>
      </c>
      <c r="BG4" s="14" t="s">
        <v>330</v>
      </c>
      <c r="BH4" s="14" t="s">
        <v>330</v>
      </c>
      <c r="BI4" s="14" t="s">
        <v>330</v>
      </c>
      <c r="BJ4" s="14" t="s">
        <v>330</v>
      </c>
      <c r="BK4" s="14" t="s">
        <v>330</v>
      </c>
      <c r="BL4" s="14" t="s">
        <v>330</v>
      </c>
      <c r="BM4" s="14" t="s">
        <v>75</v>
      </c>
      <c r="BN4" s="14" t="s">
        <v>75</v>
      </c>
      <c r="BO4" s="14" t="s">
        <v>80</v>
      </c>
      <c r="BP4" s="14" t="s">
        <v>329</v>
      </c>
      <c r="BQ4" s="14" t="s">
        <v>76</v>
      </c>
    </row>
    <row r="5" spans="1:69" x14ac:dyDescent="0.15">
      <c r="B5" s="15" t="s">
        <v>81</v>
      </c>
      <c r="C5" s="15" t="s">
        <v>328</v>
      </c>
      <c r="D5" s="15" t="s">
        <v>194</v>
      </c>
      <c r="E5" s="15" t="s">
        <v>73</v>
      </c>
      <c r="F5" s="15" t="s">
        <v>327</v>
      </c>
      <c r="G5" s="15" t="s">
        <v>326</v>
      </c>
      <c r="H5" s="15" t="s">
        <v>82</v>
      </c>
      <c r="I5" s="15" t="s">
        <v>236</v>
      </c>
      <c r="J5" s="15" t="s">
        <v>325</v>
      </c>
      <c r="K5" s="15" t="s">
        <v>324</v>
      </c>
      <c r="L5" s="15" t="s">
        <v>323</v>
      </c>
      <c r="M5" s="36" t="s">
        <v>322</v>
      </c>
      <c r="N5" s="15" t="s">
        <v>321</v>
      </c>
      <c r="O5" s="36" t="s">
        <v>320</v>
      </c>
      <c r="P5" s="36" t="s">
        <v>319</v>
      </c>
      <c r="Q5" s="15" t="s">
        <v>318</v>
      </c>
      <c r="R5" s="15" t="s">
        <v>317</v>
      </c>
      <c r="S5" s="36" t="s">
        <v>316</v>
      </c>
      <c r="T5" s="36" t="s">
        <v>315</v>
      </c>
      <c r="U5" s="15" t="s">
        <v>314</v>
      </c>
      <c r="V5" s="15" t="s">
        <v>313</v>
      </c>
      <c r="W5" s="15" t="s">
        <v>312</v>
      </c>
      <c r="X5" s="15" t="s">
        <v>311</v>
      </c>
      <c r="Y5" s="15" t="s">
        <v>310</v>
      </c>
      <c r="Z5" s="15" t="s">
        <v>309</v>
      </c>
      <c r="AA5" s="15" t="s">
        <v>308</v>
      </c>
      <c r="AB5" s="15" t="s">
        <v>307</v>
      </c>
      <c r="AC5" s="15" t="s">
        <v>306</v>
      </c>
      <c r="AD5" s="15" t="s">
        <v>305</v>
      </c>
      <c r="AE5" s="15" t="s">
        <v>304</v>
      </c>
      <c r="AF5" s="15" t="s">
        <v>303</v>
      </c>
      <c r="AG5" s="15" t="s">
        <v>302</v>
      </c>
      <c r="AH5" s="36" t="s">
        <v>301</v>
      </c>
      <c r="AI5" s="15" t="s">
        <v>300</v>
      </c>
      <c r="AJ5" s="15" t="s">
        <v>299</v>
      </c>
      <c r="AK5" s="15" t="s">
        <v>298</v>
      </c>
      <c r="AL5" s="15" t="s">
        <v>297</v>
      </c>
      <c r="AM5" s="15" t="s">
        <v>296</v>
      </c>
      <c r="AN5" s="15" t="s">
        <v>295</v>
      </c>
      <c r="AO5" s="15" t="s">
        <v>294</v>
      </c>
      <c r="AP5" s="15" t="s">
        <v>293</v>
      </c>
      <c r="AQ5" s="15" t="s">
        <v>292</v>
      </c>
      <c r="AR5" s="15" t="s">
        <v>291</v>
      </c>
      <c r="AS5" s="15" t="s">
        <v>290</v>
      </c>
      <c r="AT5" s="15" t="s">
        <v>289</v>
      </c>
      <c r="AU5" s="15" t="s">
        <v>288</v>
      </c>
      <c r="AV5" s="15" t="s">
        <v>287</v>
      </c>
      <c r="AW5" s="15" t="s">
        <v>286</v>
      </c>
      <c r="AX5" s="15" t="s">
        <v>285</v>
      </c>
      <c r="AY5" s="15" t="s">
        <v>284</v>
      </c>
      <c r="AZ5" s="15" t="s">
        <v>283</v>
      </c>
      <c r="BA5" s="15" t="s">
        <v>282</v>
      </c>
      <c r="BB5" s="15" t="s">
        <v>281</v>
      </c>
      <c r="BC5" s="15" t="s">
        <v>280</v>
      </c>
      <c r="BD5" s="15" t="s">
        <v>279</v>
      </c>
      <c r="BE5" s="15" t="s">
        <v>278</v>
      </c>
      <c r="BF5" s="15" t="s">
        <v>277</v>
      </c>
      <c r="BG5" s="15" t="s">
        <v>276</v>
      </c>
      <c r="BH5" s="15" t="s">
        <v>275</v>
      </c>
      <c r="BI5" s="15" t="s">
        <v>274</v>
      </c>
      <c r="BJ5" s="15" t="s">
        <v>273</v>
      </c>
      <c r="BK5" s="15" t="s">
        <v>272</v>
      </c>
      <c r="BL5" s="15" t="s">
        <v>271</v>
      </c>
      <c r="BM5" s="15" t="s">
        <v>270</v>
      </c>
      <c r="BN5" s="15" t="s">
        <v>269</v>
      </c>
      <c r="BO5" s="15" t="s">
        <v>268</v>
      </c>
      <c r="BP5" s="15" t="s">
        <v>267</v>
      </c>
      <c r="BQ5" s="15" t="s">
        <v>768</v>
      </c>
    </row>
    <row r="6" spans="1:69" x14ac:dyDescent="0.15">
      <c r="B6" s="14" t="s">
        <v>77</v>
      </c>
      <c r="C6" s="14" t="s">
        <v>266</v>
      </c>
      <c r="D6" s="14" t="s">
        <v>78</v>
      </c>
      <c r="E6" s="14"/>
      <c r="F6" s="14" t="s">
        <v>265</v>
      </c>
      <c r="G6" s="14" t="s">
        <v>264</v>
      </c>
      <c r="H6" s="14" t="s">
        <v>263</v>
      </c>
      <c r="I6" s="14"/>
      <c r="J6" s="14"/>
      <c r="K6" s="14"/>
      <c r="L6" s="14" t="s">
        <v>262</v>
      </c>
      <c r="M6" s="37"/>
      <c r="N6" s="14"/>
      <c r="O6" s="37"/>
      <c r="P6" s="37"/>
      <c r="Q6" s="37"/>
      <c r="R6" s="14"/>
      <c r="S6" s="14" t="s">
        <v>78</v>
      </c>
      <c r="T6" s="14"/>
      <c r="U6" s="14" t="s">
        <v>261</v>
      </c>
      <c r="V6" s="14" t="s">
        <v>260</v>
      </c>
      <c r="W6" s="14"/>
      <c r="X6" s="14" t="s">
        <v>259</v>
      </c>
      <c r="Y6" s="14" t="s">
        <v>259</v>
      </c>
      <c r="Z6" s="14" t="s">
        <v>259</v>
      </c>
      <c r="AA6" s="14" t="s">
        <v>259</v>
      </c>
      <c r="AB6" s="14" t="s">
        <v>259</v>
      </c>
      <c r="AC6" s="14" t="s">
        <v>259</v>
      </c>
      <c r="AD6" s="14" t="s">
        <v>259</v>
      </c>
      <c r="AE6" s="14" t="s">
        <v>259</v>
      </c>
      <c r="AF6" s="14" t="s">
        <v>259</v>
      </c>
      <c r="AG6" s="14"/>
      <c r="AH6" s="37"/>
      <c r="AI6" s="14"/>
      <c r="AJ6" s="14"/>
      <c r="AK6" s="14"/>
      <c r="AL6" s="14"/>
      <c r="AM6" s="14"/>
      <c r="AN6" s="14"/>
      <c r="AO6" s="14"/>
      <c r="AP6" s="14"/>
      <c r="AQ6" s="14"/>
      <c r="AR6" s="14"/>
      <c r="AS6" s="14"/>
      <c r="AT6" s="14"/>
      <c r="AU6" s="14"/>
      <c r="AV6" s="14"/>
      <c r="AW6" s="14"/>
      <c r="AX6" s="14"/>
      <c r="AY6" s="14"/>
      <c r="AZ6" s="14"/>
      <c r="BA6" s="14"/>
      <c r="BB6" s="14"/>
      <c r="BC6" s="14"/>
      <c r="BD6" s="14"/>
      <c r="BE6" s="14"/>
      <c r="BF6" s="14"/>
      <c r="BG6" s="14"/>
      <c r="BH6" s="14"/>
      <c r="BI6" s="14"/>
      <c r="BJ6" s="14"/>
      <c r="BK6" s="14"/>
      <c r="BL6" s="14"/>
      <c r="BM6" s="14"/>
      <c r="BN6" s="14" t="s">
        <v>259</v>
      </c>
      <c r="BO6" s="14"/>
      <c r="BP6" s="14"/>
      <c r="BQ6" s="14"/>
    </row>
    <row r="7" spans="1:69" s="13" customFormat="1" x14ac:dyDescent="0.15">
      <c r="B7" s="13" t="s">
        <v>1550</v>
      </c>
      <c r="C7" s="19" t="s">
        <v>2245</v>
      </c>
      <c r="E7" s="13" t="s">
        <v>2246</v>
      </c>
      <c r="F7" s="13">
        <v>1</v>
      </c>
      <c r="G7" s="13">
        <v>14</v>
      </c>
      <c r="I7" s="13">
        <v>10</v>
      </c>
      <c r="J7" s="13">
        <v>2</v>
      </c>
      <c r="K7" s="13">
        <v>1</v>
      </c>
      <c r="L7" s="13" t="s">
        <v>235</v>
      </c>
      <c r="M7" s="13" t="s">
        <v>255</v>
      </c>
      <c r="O7" s="13" t="s">
        <v>258</v>
      </c>
      <c r="P7" s="13">
        <v>800</v>
      </c>
      <c r="R7" s="13">
        <v>24566.726519999997</v>
      </c>
      <c r="U7" s="13" t="s">
        <v>254</v>
      </c>
      <c r="V7" s="13" t="s">
        <v>253</v>
      </c>
      <c r="W7" s="13">
        <v>5</v>
      </c>
      <c r="X7" s="13" t="s">
        <v>2247</v>
      </c>
      <c r="Z7" s="11" t="s">
        <v>3317</v>
      </c>
      <c r="AF7" s="162" t="s">
        <v>3183</v>
      </c>
      <c r="AH7" s="163">
        <v>0</v>
      </c>
      <c r="AI7" s="163" t="s">
        <v>235</v>
      </c>
      <c r="AJ7" s="163">
        <v>0</v>
      </c>
      <c r="AK7" s="163" t="s">
        <v>252</v>
      </c>
      <c r="AM7" s="13">
        <v>24566.726519999997</v>
      </c>
      <c r="AN7" s="13">
        <v>5233.8399119999995</v>
      </c>
      <c r="AO7" s="13">
        <v>565845</v>
      </c>
      <c r="AP7" s="13">
        <v>1</v>
      </c>
      <c r="AQ7" s="13">
        <v>1</v>
      </c>
      <c r="AR7" s="13">
        <v>0</v>
      </c>
      <c r="AS7" s="13">
        <v>0</v>
      </c>
      <c r="AT7" s="13">
        <v>0</v>
      </c>
      <c r="AU7" s="13">
        <v>0</v>
      </c>
      <c r="AV7" s="13">
        <v>0</v>
      </c>
      <c r="AW7" s="13">
        <v>0</v>
      </c>
      <c r="AX7" s="13">
        <v>0</v>
      </c>
      <c r="AY7" s="13">
        <v>0</v>
      </c>
      <c r="AZ7" s="13">
        <v>0</v>
      </c>
      <c r="BA7" s="13">
        <v>0</v>
      </c>
      <c r="BB7" s="13">
        <v>0</v>
      </c>
      <c r="BC7" s="13">
        <v>0</v>
      </c>
      <c r="BD7" s="13">
        <v>0</v>
      </c>
      <c r="BE7" s="13">
        <v>0</v>
      </c>
      <c r="BF7" s="13">
        <v>0</v>
      </c>
      <c r="BG7" s="13">
        <v>0</v>
      </c>
      <c r="BH7" s="13">
        <v>0</v>
      </c>
      <c r="BI7" s="13">
        <v>0</v>
      </c>
      <c r="BJ7" s="13">
        <v>0</v>
      </c>
      <c r="BK7" s="13">
        <v>0</v>
      </c>
      <c r="BL7" s="13">
        <v>1</v>
      </c>
      <c r="BM7" s="13" t="s">
        <v>2249</v>
      </c>
      <c r="BP7" s="13" t="s">
        <v>410</v>
      </c>
    </row>
    <row r="8" spans="1:69" s="13" customFormat="1" x14ac:dyDescent="0.15">
      <c r="B8" s="13" t="s">
        <v>1559</v>
      </c>
      <c r="C8" s="19" t="s">
        <v>2245</v>
      </c>
      <c r="E8" s="13" t="s">
        <v>2246</v>
      </c>
      <c r="F8" s="13">
        <v>1</v>
      </c>
      <c r="G8" s="13">
        <v>14</v>
      </c>
      <c r="I8" s="13">
        <v>10</v>
      </c>
      <c r="J8" s="13">
        <v>2</v>
      </c>
      <c r="K8" s="13">
        <v>1</v>
      </c>
      <c r="L8" s="13" t="s">
        <v>235</v>
      </c>
      <c r="M8" s="13" t="s">
        <v>255</v>
      </c>
      <c r="O8" s="11" t="s">
        <v>258</v>
      </c>
      <c r="P8" s="13">
        <v>0</v>
      </c>
      <c r="R8" s="13">
        <v>24566.726519999997</v>
      </c>
      <c r="U8" s="13" t="s">
        <v>254</v>
      </c>
      <c r="V8" s="13" t="s">
        <v>253</v>
      </c>
      <c r="W8" s="13">
        <v>5</v>
      </c>
      <c r="X8" s="13" t="s">
        <v>2247</v>
      </c>
      <c r="Z8" s="11" t="s">
        <v>3317</v>
      </c>
      <c r="AC8" s="11"/>
      <c r="AF8" s="162" t="s">
        <v>3183</v>
      </c>
      <c r="AH8" s="163">
        <v>0</v>
      </c>
      <c r="AI8" s="163" t="s">
        <v>235</v>
      </c>
      <c r="AJ8" s="163">
        <v>0</v>
      </c>
      <c r="AK8" s="163" t="s">
        <v>252</v>
      </c>
      <c r="AM8" s="13">
        <v>24566.726519999997</v>
      </c>
      <c r="AN8" s="13">
        <v>5233.8399119999995</v>
      </c>
      <c r="AO8" s="13">
        <v>565845</v>
      </c>
      <c r="AP8" s="13">
        <v>1</v>
      </c>
      <c r="AQ8" s="13">
        <v>1</v>
      </c>
      <c r="AR8" s="13">
        <v>0</v>
      </c>
      <c r="AS8" s="13">
        <v>0</v>
      </c>
      <c r="AT8" s="13">
        <v>0</v>
      </c>
      <c r="AU8" s="13">
        <v>0</v>
      </c>
      <c r="AV8" s="13">
        <v>0</v>
      </c>
      <c r="AW8" s="13">
        <v>0</v>
      </c>
      <c r="AX8" s="13">
        <v>0</v>
      </c>
      <c r="AY8" s="13">
        <v>0</v>
      </c>
      <c r="AZ8" s="13">
        <v>0</v>
      </c>
      <c r="BA8" s="13">
        <v>0</v>
      </c>
      <c r="BB8" s="13">
        <v>0</v>
      </c>
      <c r="BC8" s="13">
        <v>0</v>
      </c>
      <c r="BD8" s="13">
        <v>0</v>
      </c>
      <c r="BE8" s="13">
        <v>0</v>
      </c>
      <c r="BF8" s="13">
        <v>0</v>
      </c>
      <c r="BG8" s="13">
        <v>0</v>
      </c>
      <c r="BH8" s="13">
        <v>0</v>
      </c>
      <c r="BI8" s="13">
        <v>0</v>
      </c>
      <c r="BJ8" s="13">
        <v>0</v>
      </c>
      <c r="BK8" s="13">
        <v>0</v>
      </c>
      <c r="BL8" s="13">
        <v>1</v>
      </c>
      <c r="BM8" s="13" t="s">
        <v>2249</v>
      </c>
      <c r="BP8" s="13" t="s">
        <v>410</v>
      </c>
    </row>
    <row r="9" spans="1:69" s="13" customFormat="1" x14ac:dyDescent="0.15">
      <c r="B9" s="13" t="s">
        <v>1566</v>
      </c>
      <c r="C9" s="19" t="s">
        <v>2250</v>
      </c>
      <c r="E9" s="13" t="s">
        <v>2251</v>
      </c>
      <c r="F9" s="13">
        <v>1</v>
      </c>
      <c r="G9" s="13">
        <v>13</v>
      </c>
      <c r="I9" s="13">
        <v>10</v>
      </c>
      <c r="J9" s="13">
        <v>2</v>
      </c>
      <c r="K9" s="13">
        <v>1</v>
      </c>
      <c r="L9" s="13" t="s">
        <v>235</v>
      </c>
      <c r="M9" s="13" t="s">
        <v>255</v>
      </c>
      <c r="O9" s="11" t="s">
        <v>855</v>
      </c>
      <c r="P9" s="13">
        <v>0</v>
      </c>
      <c r="R9" s="13">
        <v>16459.706768399996</v>
      </c>
      <c r="U9" s="13" t="s">
        <v>254</v>
      </c>
      <c r="V9" s="13" t="s">
        <v>253</v>
      </c>
      <c r="W9" s="13">
        <v>5</v>
      </c>
      <c r="X9" s="13" t="s">
        <v>2252</v>
      </c>
      <c r="Z9" s="13" t="s">
        <v>2253</v>
      </c>
      <c r="AC9" s="11"/>
      <c r="AF9" s="162" t="s">
        <v>2254</v>
      </c>
      <c r="AH9" s="163">
        <v>0</v>
      </c>
      <c r="AI9" s="163" t="s">
        <v>235</v>
      </c>
      <c r="AJ9" s="163">
        <v>0</v>
      </c>
      <c r="AK9" s="163" t="s">
        <v>252</v>
      </c>
      <c r="AM9" s="13">
        <v>16459.706768399996</v>
      </c>
      <c r="AN9" s="13">
        <v>5233.8399119999995</v>
      </c>
      <c r="AO9" s="13">
        <v>643608.9</v>
      </c>
      <c r="AP9" s="13">
        <v>1</v>
      </c>
      <c r="AQ9" s="13">
        <v>1</v>
      </c>
      <c r="AR9" s="13">
        <v>0</v>
      </c>
      <c r="AS9" s="13">
        <v>0</v>
      </c>
      <c r="AT9" s="13">
        <v>0</v>
      </c>
      <c r="AU9" s="13">
        <v>0</v>
      </c>
      <c r="AV9" s="13">
        <v>0</v>
      </c>
      <c r="AW9" s="13">
        <v>0</v>
      </c>
      <c r="AX9" s="13">
        <v>0</v>
      </c>
      <c r="AY9" s="13">
        <v>0</v>
      </c>
      <c r="AZ9" s="13">
        <v>0</v>
      </c>
      <c r="BA9" s="13">
        <v>0</v>
      </c>
      <c r="BB9" s="13">
        <v>0</v>
      </c>
      <c r="BC9" s="13">
        <v>0</v>
      </c>
      <c r="BD9" s="13">
        <v>0</v>
      </c>
      <c r="BE9" s="13">
        <v>0</v>
      </c>
      <c r="BF9" s="13">
        <v>0</v>
      </c>
      <c r="BG9" s="13">
        <v>0</v>
      </c>
      <c r="BH9" s="13">
        <v>0</v>
      </c>
      <c r="BI9" s="13">
        <v>0</v>
      </c>
      <c r="BJ9" s="13">
        <v>0</v>
      </c>
      <c r="BK9" s="13">
        <v>0</v>
      </c>
      <c r="BL9" s="13">
        <v>1</v>
      </c>
      <c r="BM9" s="13" t="s">
        <v>2255</v>
      </c>
      <c r="BP9" s="13" t="s">
        <v>410</v>
      </c>
    </row>
    <row r="10" spans="1:69" s="13" customFormat="1" x14ac:dyDescent="0.15">
      <c r="B10" s="13" t="s">
        <v>1573</v>
      </c>
      <c r="C10" s="19" t="s">
        <v>2250</v>
      </c>
      <c r="E10" s="13" t="s">
        <v>2251</v>
      </c>
      <c r="F10" s="13">
        <v>1</v>
      </c>
      <c r="G10" s="13">
        <v>13</v>
      </c>
      <c r="I10" s="13">
        <v>10</v>
      </c>
      <c r="J10" s="13">
        <v>2</v>
      </c>
      <c r="K10" s="13">
        <v>1</v>
      </c>
      <c r="L10" s="13" t="s">
        <v>235</v>
      </c>
      <c r="M10" s="13" t="s">
        <v>255</v>
      </c>
      <c r="O10" s="11" t="s">
        <v>258</v>
      </c>
      <c r="P10" s="13">
        <v>0</v>
      </c>
      <c r="R10" s="13">
        <v>21130.119245289596</v>
      </c>
      <c r="U10" s="13" t="s">
        <v>254</v>
      </c>
      <c r="V10" s="13" t="s">
        <v>253</v>
      </c>
      <c r="W10" s="13">
        <v>5</v>
      </c>
      <c r="X10" s="13" t="s">
        <v>2252</v>
      </c>
      <c r="Z10" s="11" t="s">
        <v>2253</v>
      </c>
      <c r="AC10" s="11"/>
      <c r="AF10" s="162" t="s">
        <v>3065</v>
      </c>
      <c r="AH10" s="163">
        <v>0</v>
      </c>
      <c r="AI10" s="163" t="s">
        <v>235</v>
      </c>
      <c r="AJ10" s="163">
        <v>0</v>
      </c>
      <c r="AK10" s="163" t="s">
        <v>252</v>
      </c>
      <c r="AM10" s="13">
        <v>21130.119245289596</v>
      </c>
      <c r="AN10" s="13">
        <v>6741.1174914719995</v>
      </c>
      <c r="AO10" s="13">
        <v>643608.9</v>
      </c>
      <c r="AP10" s="13">
        <v>1</v>
      </c>
      <c r="AQ10" s="13">
        <v>1</v>
      </c>
      <c r="AR10" s="13">
        <v>0</v>
      </c>
      <c r="AS10" s="13">
        <v>0</v>
      </c>
      <c r="AT10" s="13">
        <v>0</v>
      </c>
      <c r="AU10" s="13">
        <v>0</v>
      </c>
      <c r="AV10" s="13">
        <v>0</v>
      </c>
      <c r="AW10" s="13">
        <v>0</v>
      </c>
      <c r="AX10" s="13">
        <v>0</v>
      </c>
      <c r="AY10" s="13">
        <v>0</v>
      </c>
      <c r="AZ10" s="13">
        <v>0</v>
      </c>
      <c r="BA10" s="13">
        <v>0</v>
      </c>
      <c r="BB10" s="13">
        <v>0</v>
      </c>
      <c r="BC10" s="13">
        <v>0</v>
      </c>
      <c r="BD10" s="13">
        <v>0</v>
      </c>
      <c r="BE10" s="13">
        <v>0</v>
      </c>
      <c r="BF10" s="13">
        <v>0</v>
      </c>
      <c r="BG10" s="13">
        <v>0</v>
      </c>
      <c r="BH10" s="13">
        <v>0</v>
      </c>
      <c r="BI10" s="13">
        <v>0</v>
      </c>
      <c r="BJ10" s="13">
        <v>0</v>
      </c>
      <c r="BK10" s="13">
        <v>0</v>
      </c>
      <c r="BL10" s="13">
        <v>1</v>
      </c>
      <c r="BM10" s="13" t="s">
        <v>2255</v>
      </c>
      <c r="BP10" s="13" t="s">
        <v>410</v>
      </c>
    </row>
    <row r="11" spans="1:69" s="13" customFormat="1" x14ac:dyDescent="0.15">
      <c r="B11" s="13" t="s">
        <v>1580</v>
      </c>
      <c r="C11" s="19" t="s">
        <v>2256</v>
      </c>
      <c r="E11" s="13" t="s">
        <v>2257</v>
      </c>
      <c r="F11" s="13">
        <v>0</v>
      </c>
      <c r="G11" s="13">
        <v>14</v>
      </c>
      <c r="I11" s="13">
        <v>10</v>
      </c>
      <c r="J11" s="13">
        <v>2</v>
      </c>
      <c r="K11" s="13">
        <v>1</v>
      </c>
      <c r="L11" s="13" t="s">
        <v>235</v>
      </c>
      <c r="M11" s="13" t="s">
        <v>255</v>
      </c>
      <c r="O11" s="11" t="s">
        <v>3066</v>
      </c>
      <c r="P11" s="13">
        <v>0</v>
      </c>
      <c r="R11" s="13">
        <v>32089.397510570405</v>
      </c>
      <c r="U11" s="13" t="s">
        <v>254</v>
      </c>
      <c r="V11" s="13" t="s">
        <v>253</v>
      </c>
      <c r="W11" s="13">
        <v>5</v>
      </c>
      <c r="X11" s="11" t="s">
        <v>2258</v>
      </c>
      <c r="Z11" s="13" t="s">
        <v>3316</v>
      </c>
      <c r="AC11" s="11"/>
      <c r="AF11" s="162" t="s">
        <v>3067</v>
      </c>
      <c r="AH11" s="163">
        <v>0</v>
      </c>
      <c r="AI11" s="163" t="s">
        <v>235</v>
      </c>
      <c r="AJ11" s="163">
        <v>0</v>
      </c>
      <c r="AK11" s="163" t="s">
        <v>252</v>
      </c>
      <c r="AM11" s="13">
        <v>32089.397510570405</v>
      </c>
      <c r="AN11" s="13">
        <v>8220.874989599999</v>
      </c>
      <c r="AO11" s="13">
        <v>643608.9</v>
      </c>
      <c r="AP11" s="13">
        <v>1</v>
      </c>
      <c r="AQ11" s="13">
        <v>1</v>
      </c>
      <c r="AR11" s="13">
        <v>0</v>
      </c>
      <c r="AS11" s="13">
        <v>0</v>
      </c>
      <c r="AT11" s="13">
        <v>0</v>
      </c>
      <c r="AU11" s="13">
        <v>0</v>
      </c>
      <c r="AV11" s="13">
        <v>0</v>
      </c>
      <c r="AW11" s="13">
        <v>0</v>
      </c>
      <c r="AX11" s="13">
        <v>0</v>
      </c>
      <c r="AY11" s="13">
        <v>0</v>
      </c>
      <c r="AZ11" s="13">
        <v>0</v>
      </c>
      <c r="BA11" s="13">
        <v>0</v>
      </c>
      <c r="BB11" s="13">
        <v>0</v>
      </c>
      <c r="BC11" s="13">
        <v>0</v>
      </c>
      <c r="BD11" s="13">
        <v>0</v>
      </c>
      <c r="BE11" s="13">
        <v>0</v>
      </c>
      <c r="BF11" s="13">
        <v>0</v>
      </c>
      <c r="BG11" s="13">
        <v>0</v>
      </c>
      <c r="BH11" s="13">
        <v>0</v>
      </c>
      <c r="BI11" s="13">
        <v>0</v>
      </c>
      <c r="BJ11" s="13">
        <v>0</v>
      </c>
      <c r="BK11" s="13">
        <v>0</v>
      </c>
      <c r="BL11" s="13">
        <v>1</v>
      </c>
      <c r="BM11" s="13" t="s">
        <v>2261</v>
      </c>
      <c r="BP11" s="13" t="s">
        <v>410</v>
      </c>
    </row>
    <row r="12" spans="1:69" s="13" customFormat="1" x14ac:dyDescent="0.15">
      <c r="B12" s="13" t="s">
        <v>1586</v>
      </c>
      <c r="C12" s="13" t="s">
        <v>2250</v>
      </c>
      <c r="E12" s="13" t="s">
        <v>2251</v>
      </c>
      <c r="F12" s="13">
        <v>1</v>
      </c>
      <c r="G12" s="13">
        <v>13</v>
      </c>
      <c r="I12" s="13">
        <v>10</v>
      </c>
      <c r="J12" s="13">
        <v>2</v>
      </c>
      <c r="K12" s="13">
        <v>1</v>
      </c>
      <c r="L12" s="13" t="s">
        <v>235</v>
      </c>
      <c r="M12" s="13" t="s">
        <v>255</v>
      </c>
      <c r="O12" s="11" t="s">
        <v>258</v>
      </c>
      <c r="P12" s="13">
        <v>0</v>
      </c>
      <c r="R12" s="13">
        <v>21130.119245289596</v>
      </c>
      <c r="U12" s="13" t="s">
        <v>254</v>
      </c>
      <c r="V12" s="13" t="s">
        <v>253</v>
      </c>
      <c r="W12" s="13">
        <v>5</v>
      </c>
      <c r="X12" s="11" t="s">
        <v>2252</v>
      </c>
      <c r="Z12" s="13" t="s">
        <v>2253</v>
      </c>
      <c r="AC12" s="11"/>
      <c r="AF12" s="162" t="s">
        <v>2254</v>
      </c>
      <c r="AH12" s="163">
        <v>0</v>
      </c>
      <c r="AI12" s="163" t="s">
        <v>235</v>
      </c>
      <c r="AJ12" s="163">
        <v>0</v>
      </c>
      <c r="AK12" s="163" t="s">
        <v>252</v>
      </c>
      <c r="AM12" s="13">
        <v>21130.119245289596</v>
      </c>
      <c r="AN12" s="13">
        <v>6741.1174914719995</v>
      </c>
      <c r="AO12" s="13">
        <v>643608.9</v>
      </c>
      <c r="AP12" s="13">
        <v>1</v>
      </c>
      <c r="AQ12" s="13">
        <v>1</v>
      </c>
      <c r="AR12" s="13">
        <v>0</v>
      </c>
      <c r="AS12" s="13">
        <v>0</v>
      </c>
      <c r="AT12" s="13">
        <v>0</v>
      </c>
      <c r="AU12" s="13">
        <v>0</v>
      </c>
      <c r="AV12" s="13">
        <v>0</v>
      </c>
      <c r="AW12" s="13">
        <v>0</v>
      </c>
      <c r="AX12" s="13">
        <v>0</v>
      </c>
      <c r="AY12" s="13">
        <v>0</v>
      </c>
      <c r="AZ12" s="13">
        <v>0</v>
      </c>
      <c r="BA12" s="13">
        <v>0</v>
      </c>
      <c r="BB12" s="13">
        <v>0</v>
      </c>
      <c r="BC12" s="13">
        <v>0</v>
      </c>
      <c r="BD12" s="13">
        <v>0</v>
      </c>
      <c r="BE12" s="13">
        <v>0</v>
      </c>
      <c r="BF12" s="13">
        <v>0</v>
      </c>
      <c r="BG12" s="13">
        <v>0</v>
      </c>
      <c r="BH12" s="13">
        <v>0</v>
      </c>
      <c r="BI12" s="13">
        <v>0</v>
      </c>
      <c r="BJ12" s="13">
        <v>0</v>
      </c>
      <c r="BK12" s="13">
        <v>0</v>
      </c>
      <c r="BL12" s="13">
        <v>1</v>
      </c>
      <c r="BM12" s="13" t="s">
        <v>2261</v>
      </c>
      <c r="BP12" s="13" t="s">
        <v>410</v>
      </c>
    </row>
    <row r="13" spans="1:69" s="13" customFormat="1" x14ac:dyDescent="0.15">
      <c r="B13" s="13" t="s">
        <v>1590</v>
      </c>
      <c r="C13" s="11" t="s">
        <v>2245</v>
      </c>
      <c r="E13" s="13" t="s">
        <v>2246</v>
      </c>
      <c r="F13" s="13">
        <v>1</v>
      </c>
      <c r="G13" s="13">
        <v>14</v>
      </c>
      <c r="I13" s="13">
        <v>10</v>
      </c>
      <c r="J13" s="13">
        <v>2</v>
      </c>
      <c r="K13" s="13">
        <v>1</v>
      </c>
      <c r="L13" s="13" t="s">
        <v>235</v>
      </c>
      <c r="M13" s="13" t="s">
        <v>255</v>
      </c>
      <c r="O13" s="11" t="s">
        <v>258</v>
      </c>
      <c r="P13" s="13">
        <v>0</v>
      </c>
      <c r="R13" s="13">
        <v>33546.674568959999</v>
      </c>
      <c r="U13" s="13" t="s">
        <v>254</v>
      </c>
      <c r="V13" s="13" t="s">
        <v>253</v>
      </c>
      <c r="W13" s="13">
        <v>5</v>
      </c>
      <c r="X13" s="11" t="s">
        <v>2247</v>
      </c>
      <c r="Z13" s="11" t="s">
        <v>3317</v>
      </c>
      <c r="AC13" s="11"/>
      <c r="AF13" s="162" t="s">
        <v>3182</v>
      </c>
      <c r="AH13" s="163">
        <v>0</v>
      </c>
      <c r="AI13" s="163" t="s">
        <v>235</v>
      </c>
      <c r="AJ13" s="163">
        <v>0</v>
      </c>
      <c r="AK13" s="163" t="s">
        <v>252</v>
      </c>
      <c r="AM13" s="13">
        <v>33546.674568959999</v>
      </c>
      <c r="AN13" s="13">
        <v>7181.7485271839987</v>
      </c>
      <c r="AO13" s="13">
        <v>789883.65</v>
      </c>
      <c r="AP13" s="13">
        <v>1</v>
      </c>
      <c r="AQ13" s="13">
        <v>1</v>
      </c>
      <c r="AR13" s="13">
        <v>0</v>
      </c>
      <c r="AS13" s="13">
        <v>0</v>
      </c>
      <c r="AT13" s="13">
        <v>0</v>
      </c>
      <c r="AU13" s="13">
        <v>0</v>
      </c>
      <c r="AV13" s="13">
        <v>0</v>
      </c>
      <c r="AW13" s="13">
        <v>0</v>
      </c>
      <c r="AX13" s="13">
        <v>0</v>
      </c>
      <c r="AY13" s="13">
        <v>0</v>
      </c>
      <c r="AZ13" s="13">
        <v>0</v>
      </c>
      <c r="BA13" s="13">
        <v>0</v>
      </c>
      <c r="BB13" s="13">
        <v>0</v>
      </c>
      <c r="BC13" s="13">
        <v>0</v>
      </c>
      <c r="BD13" s="13">
        <v>0</v>
      </c>
      <c r="BE13" s="13">
        <v>0</v>
      </c>
      <c r="BF13" s="13">
        <v>0</v>
      </c>
      <c r="BG13" s="13">
        <v>0</v>
      </c>
      <c r="BH13" s="13">
        <v>0</v>
      </c>
      <c r="BI13" s="13">
        <v>0</v>
      </c>
      <c r="BJ13" s="13">
        <v>0</v>
      </c>
      <c r="BK13" s="13">
        <v>0</v>
      </c>
      <c r="BL13" s="13">
        <v>1</v>
      </c>
      <c r="BM13" s="13" t="s">
        <v>2255</v>
      </c>
      <c r="BP13" s="13" t="s">
        <v>410</v>
      </c>
    </row>
    <row r="14" spans="1:69" s="13" customFormat="1" x14ac:dyDescent="0.15">
      <c r="B14" s="13" t="s">
        <v>1596</v>
      </c>
      <c r="C14" s="13" t="s">
        <v>2256</v>
      </c>
      <c r="E14" s="13" t="s">
        <v>2257</v>
      </c>
      <c r="F14" s="13">
        <v>0</v>
      </c>
      <c r="G14" s="13">
        <v>14</v>
      </c>
      <c r="I14" s="13">
        <v>10</v>
      </c>
      <c r="J14" s="13">
        <v>2</v>
      </c>
      <c r="K14" s="13">
        <v>1</v>
      </c>
      <c r="L14" s="13" t="s">
        <v>235</v>
      </c>
      <c r="M14" s="13" t="s">
        <v>255</v>
      </c>
      <c r="O14" s="11" t="s">
        <v>258</v>
      </c>
      <c r="P14" s="13">
        <v>0</v>
      </c>
      <c r="R14" s="13">
        <v>34133.741373916804</v>
      </c>
      <c r="U14" s="13" t="s">
        <v>254</v>
      </c>
      <c r="V14" s="13" t="s">
        <v>253</v>
      </c>
      <c r="W14" s="13">
        <v>5</v>
      </c>
      <c r="X14" s="13" t="s">
        <v>2258</v>
      </c>
      <c r="Z14" s="11" t="s">
        <v>2259</v>
      </c>
      <c r="AC14" s="11"/>
      <c r="AF14" s="162" t="s">
        <v>3067</v>
      </c>
      <c r="AH14" s="163">
        <v>0</v>
      </c>
      <c r="AI14" s="163" t="s">
        <v>235</v>
      </c>
      <c r="AJ14" s="163">
        <v>0</v>
      </c>
      <c r="AK14" s="163" t="s">
        <v>252</v>
      </c>
      <c r="AM14" s="13">
        <v>34133.741373916804</v>
      </c>
      <c r="AN14" s="13">
        <v>8758.2299112000001</v>
      </c>
      <c r="AO14" s="13">
        <v>513424.37250000006</v>
      </c>
      <c r="AP14" s="13">
        <v>1</v>
      </c>
      <c r="AQ14" s="13">
        <v>1</v>
      </c>
      <c r="AR14" s="13">
        <v>0</v>
      </c>
      <c r="AS14" s="13">
        <v>0</v>
      </c>
      <c r="AT14" s="13">
        <v>0</v>
      </c>
      <c r="AU14" s="13">
        <v>0</v>
      </c>
      <c r="AV14" s="13">
        <v>0</v>
      </c>
      <c r="AW14" s="13">
        <v>0</v>
      </c>
      <c r="AX14" s="13">
        <v>0</v>
      </c>
      <c r="AY14" s="13">
        <v>0</v>
      </c>
      <c r="AZ14" s="13">
        <v>0</v>
      </c>
      <c r="BA14" s="13">
        <v>0</v>
      </c>
      <c r="BB14" s="13">
        <v>0</v>
      </c>
      <c r="BC14" s="13">
        <v>0</v>
      </c>
      <c r="BD14" s="13">
        <v>0</v>
      </c>
      <c r="BE14" s="13">
        <v>0</v>
      </c>
      <c r="BF14" s="13">
        <v>0</v>
      </c>
      <c r="BG14" s="13">
        <v>0</v>
      </c>
      <c r="BH14" s="13">
        <v>0</v>
      </c>
      <c r="BI14" s="13">
        <v>0</v>
      </c>
      <c r="BJ14" s="13">
        <v>0</v>
      </c>
      <c r="BK14" s="13">
        <v>0</v>
      </c>
      <c r="BL14" s="13">
        <v>1</v>
      </c>
      <c r="BM14" s="13" t="s">
        <v>2249</v>
      </c>
      <c r="BP14" s="13" t="s">
        <v>251</v>
      </c>
    </row>
    <row r="15" spans="1:69" s="13" customFormat="1" x14ac:dyDescent="0.15">
      <c r="B15" s="13" t="s">
        <v>1603</v>
      </c>
      <c r="C15" s="13" t="s">
        <v>2245</v>
      </c>
      <c r="E15" s="13" t="s">
        <v>2246</v>
      </c>
      <c r="F15" s="13">
        <v>1</v>
      </c>
      <c r="G15" s="13">
        <v>14</v>
      </c>
      <c r="I15" s="13">
        <v>10</v>
      </c>
      <c r="J15" s="13">
        <v>2</v>
      </c>
      <c r="K15" s="13">
        <v>1</v>
      </c>
      <c r="L15" s="13" t="s">
        <v>235</v>
      </c>
      <c r="M15" s="13" t="s">
        <v>255</v>
      </c>
      <c r="O15" s="11" t="s">
        <v>258</v>
      </c>
      <c r="P15" s="13">
        <v>0</v>
      </c>
      <c r="R15" s="13">
        <v>30661.247148479997</v>
      </c>
      <c r="U15" s="13" t="s">
        <v>254</v>
      </c>
      <c r="V15" s="13" t="s">
        <v>253</v>
      </c>
      <c r="W15" s="13">
        <v>5</v>
      </c>
      <c r="X15" s="11" t="s">
        <v>2247</v>
      </c>
      <c r="Z15" s="11" t="s">
        <v>3317</v>
      </c>
      <c r="AC15" s="11"/>
      <c r="AF15" s="162" t="s">
        <v>3183</v>
      </c>
      <c r="AH15" s="163">
        <v>0</v>
      </c>
      <c r="AI15" s="163" t="s">
        <v>235</v>
      </c>
      <c r="AJ15" s="163">
        <v>0</v>
      </c>
      <c r="AK15" s="163" t="s">
        <v>252</v>
      </c>
      <c r="AM15" s="13">
        <v>30661.247148479997</v>
      </c>
      <c r="AN15" s="13">
        <v>6583.9411769040007</v>
      </c>
      <c r="AO15" s="13">
        <v>877648.5</v>
      </c>
      <c r="AP15" s="13">
        <v>1</v>
      </c>
      <c r="AQ15" s="13">
        <v>1</v>
      </c>
      <c r="AR15" s="13">
        <v>0</v>
      </c>
      <c r="AS15" s="13">
        <v>0</v>
      </c>
      <c r="AT15" s="13">
        <v>0</v>
      </c>
      <c r="AU15" s="13">
        <v>0</v>
      </c>
      <c r="AV15" s="13">
        <v>0</v>
      </c>
      <c r="AW15" s="13">
        <v>0</v>
      </c>
      <c r="AX15" s="13">
        <v>0</v>
      </c>
      <c r="AY15" s="13">
        <v>0</v>
      </c>
      <c r="AZ15" s="13">
        <v>0</v>
      </c>
      <c r="BA15" s="13">
        <v>0</v>
      </c>
      <c r="BB15" s="13">
        <v>0</v>
      </c>
      <c r="BC15" s="13">
        <v>0</v>
      </c>
      <c r="BD15" s="13">
        <v>0</v>
      </c>
      <c r="BE15" s="13">
        <v>0</v>
      </c>
      <c r="BF15" s="13">
        <v>0</v>
      </c>
      <c r="BG15" s="13">
        <v>0</v>
      </c>
      <c r="BH15" s="13">
        <v>0</v>
      </c>
      <c r="BI15" s="13">
        <v>0</v>
      </c>
      <c r="BJ15" s="13">
        <v>0</v>
      </c>
      <c r="BK15" s="13">
        <v>0</v>
      </c>
      <c r="BL15" s="13">
        <v>1</v>
      </c>
      <c r="BM15" s="13" t="s">
        <v>2249</v>
      </c>
      <c r="BP15" s="13" t="s">
        <v>410</v>
      </c>
    </row>
    <row r="16" spans="1:69" s="11" customFormat="1" x14ac:dyDescent="0.15">
      <c r="B16" s="11" t="s">
        <v>1611</v>
      </c>
      <c r="C16" s="19" t="s">
        <v>2245</v>
      </c>
      <c r="E16" s="11" t="s">
        <v>2246</v>
      </c>
      <c r="F16" s="11">
        <v>1</v>
      </c>
      <c r="G16" s="11">
        <v>14</v>
      </c>
      <c r="I16" s="11">
        <v>10</v>
      </c>
      <c r="J16" s="11">
        <v>2</v>
      </c>
      <c r="K16" s="11">
        <v>1</v>
      </c>
      <c r="L16" s="11" t="s">
        <v>235</v>
      </c>
      <c r="M16" s="11" t="s">
        <v>255</v>
      </c>
      <c r="O16" s="11" t="s">
        <v>258</v>
      </c>
      <c r="P16" s="11">
        <v>0</v>
      </c>
      <c r="R16" s="11">
        <v>30661.247148479997</v>
      </c>
      <c r="U16" s="11" t="s">
        <v>254</v>
      </c>
      <c r="V16" s="11" t="s">
        <v>253</v>
      </c>
      <c r="W16" s="11">
        <v>5</v>
      </c>
      <c r="X16" s="11" t="s">
        <v>2247</v>
      </c>
      <c r="Z16" s="11" t="s">
        <v>3317</v>
      </c>
      <c r="AF16" s="162" t="s">
        <v>3183</v>
      </c>
      <c r="AH16" s="11">
        <v>0</v>
      </c>
      <c r="AI16" s="11" t="s">
        <v>235</v>
      </c>
      <c r="AJ16" s="11">
        <v>0</v>
      </c>
      <c r="AK16" s="11" t="s">
        <v>252</v>
      </c>
      <c r="AM16" s="11">
        <v>30661.247148479997</v>
      </c>
      <c r="AN16" s="11">
        <v>6583.9411769040007</v>
      </c>
      <c r="AO16" s="11">
        <v>877648.5</v>
      </c>
      <c r="AP16" s="13">
        <v>1</v>
      </c>
      <c r="AQ16" s="13">
        <v>1</v>
      </c>
      <c r="AR16" s="13">
        <v>0</v>
      </c>
      <c r="AS16" s="13">
        <v>0</v>
      </c>
      <c r="AT16" s="13">
        <v>0</v>
      </c>
      <c r="AU16" s="13">
        <v>0</v>
      </c>
      <c r="AV16" s="13">
        <v>0</v>
      </c>
      <c r="AW16" s="13">
        <v>0</v>
      </c>
      <c r="AX16" s="13">
        <v>0</v>
      </c>
      <c r="AY16" s="13">
        <v>0</v>
      </c>
      <c r="AZ16" s="13">
        <v>0</v>
      </c>
      <c r="BA16" s="13">
        <v>0</v>
      </c>
      <c r="BB16" s="13">
        <v>0</v>
      </c>
      <c r="BC16" s="13">
        <v>0</v>
      </c>
      <c r="BD16" s="13">
        <v>0</v>
      </c>
      <c r="BE16" s="13">
        <v>0</v>
      </c>
      <c r="BF16" s="13">
        <v>0</v>
      </c>
      <c r="BG16" s="13">
        <v>0</v>
      </c>
      <c r="BH16" s="13">
        <v>0</v>
      </c>
      <c r="BI16" s="13">
        <v>0</v>
      </c>
      <c r="BJ16" s="13">
        <v>0</v>
      </c>
      <c r="BK16" s="13">
        <v>0</v>
      </c>
      <c r="BL16" s="13">
        <v>1</v>
      </c>
      <c r="BM16" s="11" t="s">
        <v>2249</v>
      </c>
      <c r="BP16" s="13" t="s">
        <v>410</v>
      </c>
    </row>
    <row r="17" spans="1:68" s="13" customFormat="1" x14ac:dyDescent="0.15">
      <c r="B17" s="13" t="s">
        <v>1618</v>
      </c>
      <c r="C17" s="19" t="s">
        <v>2245</v>
      </c>
      <c r="E17" s="13" t="s">
        <v>2246</v>
      </c>
      <c r="F17" s="13">
        <v>1</v>
      </c>
      <c r="G17" s="13">
        <v>14</v>
      </c>
      <c r="I17" s="13">
        <v>10</v>
      </c>
      <c r="J17" s="13">
        <v>2</v>
      </c>
      <c r="K17" s="13">
        <v>1</v>
      </c>
      <c r="L17" s="13" t="s">
        <v>235</v>
      </c>
      <c r="M17" s="13" t="s">
        <v>255</v>
      </c>
      <c r="O17" s="11" t="s">
        <v>258</v>
      </c>
      <c r="P17" s="13">
        <v>0</v>
      </c>
      <c r="R17" s="13">
        <v>30661.247148479997</v>
      </c>
      <c r="U17" s="13" t="s">
        <v>254</v>
      </c>
      <c r="V17" s="13" t="s">
        <v>253</v>
      </c>
      <c r="W17" s="13">
        <v>5</v>
      </c>
      <c r="X17" s="11" t="s">
        <v>2247</v>
      </c>
      <c r="Z17" s="11" t="s">
        <v>3317</v>
      </c>
      <c r="AC17" s="11"/>
      <c r="AF17" s="162" t="s">
        <v>3183</v>
      </c>
      <c r="AH17" s="163">
        <v>0</v>
      </c>
      <c r="AI17" s="163" t="s">
        <v>235</v>
      </c>
      <c r="AJ17" s="163">
        <v>0</v>
      </c>
      <c r="AK17" s="163" t="s">
        <v>252</v>
      </c>
      <c r="AM17" s="13">
        <v>30661.247148479997</v>
      </c>
      <c r="AN17" s="13">
        <v>6583.9411769040007</v>
      </c>
      <c r="AO17" s="13">
        <v>877648.5</v>
      </c>
      <c r="AP17" s="13">
        <v>1</v>
      </c>
      <c r="AQ17" s="13">
        <v>1</v>
      </c>
      <c r="AR17" s="13">
        <v>0</v>
      </c>
      <c r="AS17" s="13">
        <v>0</v>
      </c>
      <c r="AT17" s="13">
        <v>0</v>
      </c>
      <c r="AU17" s="13">
        <v>0</v>
      </c>
      <c r="AV17" s="13">
        <v>0</v>
      </c>
      <c r="AW17" s="13">
        <v>0</v>
      </c>
      <c r="AX17" s="13">
        <v>0</v>
      </c>
      <c r="AY17" s="13">
        <v>0</v>
      </c>
      <c r="AZ17" s="13">
        <v>0</v>
      </c>
      <c r="BA17" s="13">
        <v>0</v>
      </c>
      <c r="BB17" s="13">
        <v>0</v>
      </c>
      <c r="BC17" s="13">
        <v>0</v>
      </c>
      <c r="BD17" s="13">
        <v>0</v>
      </c>
      <c r="BE17" s="13">
        <v>0</v>
      </c>
      <c r="BF17" s="13">
        <v>0</v>
      </c>
      <c r="BG17" s="13">
        <v>0</v>
      </c>
      <c r="BH17" s="13">
        <v>0</v>
      </c>
      <c r="BI17" s="13">
        <v>0</v>
      </c>
      <c r="BJ17" s="13">
        <v>0</v>
      </c>
      <c r="BK17" s="13">
        <v>0</v>
      </c>
      <c r="BL17" s="13">
        <v>1</v>
      </c>
      <c r="BM17" s="13" t="s">
        <v>2249</v>
      </c>
      <c r="BP17" s="13" t="s">
        <v>410</v>
      </c>
    </row>
    <row r="18" spans="1:68" s="13" customFormat="1" x14ac:dyDescent="0.15">
      <c r="A18" s="11"/>
      <c r="B18" s="13" t="s">
        <v>1625</v>
      </c>
      <c r="C18" s="13" t="s">
        <v>2250</v>
      </c>
      <c r="E18" s="13" t="s">
        <v>2251</v>
      </c>
      <c r="F18" s="13">
        <v>1</v>
      </c>
      <c r="G18" s="13">
        <v>13</v>
      </c>
      <c r="I18" s="13">
        <v>10</v>
      </c>
      <c r="J18" s="13">
        <v>2</v>
      </c>
      <c r="K18" s="13">
        <v>1</v>
      </c>
      <c r="L18" s="13" t="s">
        <v>235</v>
      </c>
      <c r="M18" s="13" t="s">
        <v>255</v>
      </c>
      <c r="O18" s="11" t="s">
        <v>258</v>
      </c>
      <c r="P18" s="13">
        <v>0</v>
      </c>
      <c r="R18" s="13">
        <v>24577.824170591997</v>
      </c>
      <c r="U18" s="13" t="s">
        <v>254</v>
      </c>
      <c r="V18" s="13" t="s">
        <v>253</v>
      </c>
      <c r="W18" s="13">
        <v>5</v>
      </c>
      <c r="X18" s="11" t="s">
        <v>2252</v>
      </c>
      <c r="Z18" s="13" t="s">
        <v>2253</v>
      </c>
      <c r="AC18" s="11"/>
      <c r="AF18" s="162" t="s">
        <v>2254</v>
      </c>
      <c r="AH18" s="163">
        <v>0</v>
      </c>
      <c r="AI18" s="163" t="s">
        <v>235</v>
      </c>
      <c r="AJ18" s="163">
        <v>0</v>
      </c>
      <c r="AK18" s="163" t="s">
        <v>252</v>
      </c>
      <c r="AM18" s="13">
        <v>24577.824170591997</v>
      </c>
      <c r="AN18" s="13">
        <v>7899.8825767679982</v>
      </c>
      <c r="AO18" s="13">
        <v>980260.79999999993</v>
      </c>
      <c r="AP18" s="13">
        <v>1</v>
      </c>
      <c r="AQ18" s="13">
        <v>1</v>
      </c>
      <c r="AR18" s="13">
        <v>0</v>
      </c>
      <c r="AS18" s="13">
        <v>0</v>
      </c>
      <c r="AT18" s="13">
        <v>0</v>
      </c>
      <c r="AU18" s="13">
        <v>0</v>
      </c>
      <c r="AV18" s="13">
        <v>0</v>
      </c>
      <c r="AW18" s="13">
        <v>0</v>
      </c>
      <c r="AX18" s="13">
        <v>0</v>
      </c>
      <c r="AY18" s="13">
        <v>0</v>
      </c>
      <c r="AZ18" s="13">
        <v>0</v>
      </c>
      <c r="BA18" s="13">
        <v>0</v>
      </c>
      <c r="BB18" s="13">
        <v>0</v>
      </c>
      <c r="BC18" s="13">
        <v>0</v>
      </c>
      <c r="BD18" s="13">
        <v>0</v>
      </c>
      <c r="BE18" s="13">
        <v>0</v>
      </c>
      <c r="BF18" s="13">
        <v>0</v>
      </c>
      <c r="BG18" s="13">
        <v>0</v>
      </c>
      <c r="BH18" s="13">
        <v>0</v>
      </c>
      <c r="BI18" s="13">
        <v>0</v>
      </c>
      <c r="BJ18" s="13">
        <v>0</v>
      </c>
      <c r="BK18" s="13">
        <v>0</v>
      </c>
      <c r="BL18" s="13">
        <v>1</v>
      </c>
      <c r="BM18" s="13" t="s">
        <v>2255</v>
      </c>
      <c r="BP18" s="13" t="s">
        <v>410</v>
      </c>
    </row>
    <row r="19" spans="1:68" s="13" customFormat="1" x14ac:dyDescent="0.15">
      <c r="A19" s="11"/>
      <c r="B19" s="13" t="s">
        <v>1632</v>
      </c>
      <c r="C19" s="13" t="s">
        <v>2250</v>
      </c>
      <c r="E19" s="13" t="s">
        <v>2251</v>
      </c>
      <c r="F19" s="13">
        <v>1</v>
      </c>
      <c r="G19" s="13">
        <v>13</v>
      </c>
      <c r="I19" s="13">
        <v>10</v>
      </c>
      <c r="J19" s="13">
        <v>2</v>
      </c>
      <c r="K19" s="13">
        <v>1</v>
      </c>
      <c r="L19" s="13" t="s">
        <v>235</v>
      </c>
      <c r="M19" s="13" t="s">
        <v>255</v>
      </c>
      <c r="O19" s="11" t="s">
        <v>258</v>
      </c>
      <c r="P19" s="13">
        <v>0</v>
      </c>
      <c r="R19" s="13">
        <v>24577.824170591997</v>
      </c>
      <c r="U19" s="13" t="s">
        <v>254</v>
      </c>
      <c r="V19" s="13" t="s">
        <v>253</v>
      </c>
      <c r="W19" s="13">
        <v>5</v>
      </c>
      <c r="X19" s="11" t="s">
        <v>2252</v>
      </c>
      <c r="Z19" s="11" t="s">
        <v>2253</v>
      </c>
      <c r="AC19" s="11"/>
      <c r="AF19" s="162" t="s">
        <v>3065</v>
      </c>
      <c r="AH19" s="163">
        <v>0</v>
      </c>
      <c r="AI19" s="163" t="s">
        <v>235</v>
      </c>
      <c r="AJ19" s="163">
        <v>0</v>
      </c>
      <c r="AK19" s="163" t="s">
        <v>252</v>
      </c>
      <c r="AM19" s="13">
        <v>24577.824170591997</v>
      </c>
      <c r="AN19" s="13">
        <v>7899.8825767679982</v>
      </c>
      <c r="AO19" s="13">
        <v>980260.79999999993</v>
      </c>
      <c r="AP19" s="13">
        <v>1</v>
      </c>
      <c r="AQ19" s="13">
        <v>1</v>
      </c>
      <c r="AR19" s="13">
        <v>0</v>
      </c>
      <c r="AS19" s="13">
        <v>0</v>
      </c>
      <c r="AT19" s="13">
        <v>0</v>
      </c>
      <c r="AU19" s="13">
        <v>0</v>
      </c>
      <c r="AV19" s="13">
        <v>0</v>
      </c>
      <c r="AW19" s="13">
        <v>0</v>
      </c>
      <c r="AX19" s="13">
        <v>0</v>
      </c>
      <c r="AY19" s="13">
        <v>0</v>
      </c>
      <c r="AZ19" s="13">
        <v>0</v>
      </c>
      <c r="BA19" s="13">
        <v>0</v>
      </c>
      <c r="BB19" s="13">
        <v>0</v>
      </c>
      <c r="BC19" s="13">
        <v>0</v>
      </c>
      <c r="BD19" s="13">
        <v>0</v>
      </c>
      <c r="BE19" s="13">
        <v>0</v>
      </c>
      <c r="BF19" s="13">
        <v>0</v>
      </c>
      <c r="BG19" s="13">
        <v>0</v>
      </c>
      <c r="BH19" s="13">
        <v>0</v>
      </c>
      <c r="BI19" s="13">
        <v>0</v>
      </c>
      <c r="BJ19" s="13">
        <v>0</v>
      </c>
      <c r="BK19" s="13">
        <v>0</v>
      </c>
      <c r="BL19" s="13">
        <v>1</v>
      </c>
      <c r="BM19" s="13" t="s">
        <v>2255</v>
      </c>
      <c r="BP19" s="13" t="s">
        <v>410</v>
      </c>
    </row>
    <row r="20" spans="1:68" s="13" customFormat="1" x14ac:dyDescent="0.15">
      <c r="A20" s="11"/>
      <c r="B20" s="13" t="s">
        <v>1639</v>
      </c>
      <c r="C20" s="13" t="s">
        <v>2256</v>
      </c>
      <c r="E20" s="13" t="s">
        <v>2257</v>
      </c>
      <c r="F20" s="13">
        <v>0</v>
      </c>
      <c r="G20" s="13">
        <v>14</v>
      </c>
      <c r="I20" s="13">
        <v>10</v>
      </c>
      <c r="J20" s="13">
        <v>2</v>
      </c>
      <c r="K20" s="13">
        <v>1</v>
      </c>
      <c r="L20" s="13" t="s">
        <v>235</v>
      </c>
      <c r="M20" s="13" t="s">
        <v>255</v>
      </c>
      <c r="O20" s="11" t="s">
        <v>3171</v>
      </c>
      <c r="P20" s="13">
        <v>0</v>
      </c>
      <c r="R20" s="13">
        <v>37325.277751608002</v>
      </c>
      <c r="U20" s="13" t="s">
        <v>254</v>
      </c>
      <c r="V20" s="13" t="s">
        <v>253</v>
      </c>
      <c r="W20" s="13">
        <v>5</v>
      </c>
      <c r="X20" s="11" t="s">
        <v>2258</v>
      </c>
      <c r="Z20" s="13" t="s">
        <v>2259</v>
      </c>
      <c r="AC20" s="11"/>
      <c r="AF20" s="162" t="s">
        <v>3067</v>
      </c>
      <c r="AH20" s="163">
        <v>0</v>
      </c>
      <c r="AI20" s="163" t="s">
        <v>235</v>
      </c>
      <c r="AJ20" s="163">
        <v>0</v>
      </c>
      <c r="AK20" s="163" t="s">
        <v>252</v>
      </c>
      <c r="AM20" s="13">
        <v>37325.277751608002</v>
      </c>
      <c r="AN20" s="13">
        <v>9634.003142399999</v>
      </c>
      <c r="AO20" s="13">
        <v>617564.304</v>
      </c>
      <c r="AP20" s="13">
        <v>1</v>
      </c>
      <c r="AQ20" s="13">
        <v>1</v>
      </c>
      <c r="AR20" s="13">
        <v>0</v>
      </c>
      <c r="AS20" s="13">
        <v>0</v>
      </c>
      <c r="AT20" s="13">
        <v>0</v>
      </c>
      <c r="AU20" s="13">
        <v>0</v>
      </c>
      <c r="AV20" s="13">
        <v>0</v>
      </c>
      <c r="AW20" s="13">
        <v>0</v>
      </c>
      <c r="AX20" s="13">
        <v>0</v>
      </c>
      <c r="AY20" s="13">
        <v>0</v>
      </c>
      <c r="AZ20" s="13">
        <v>0</v>
      </c>
      <c r="BA20" s="13">
        <v>0</v>
      </c>
      <c r="BB20" s="13">
        <v>0</v>
      </c>
      <c r="BC20" s="13">
        <v>0</v>
      </c>
      <c r="BD20" s="13">
        <v>0</v>
      </c>
      <c r="BE20" s="13">
        <v>0</v>
      </c>
      <c r="BF20" s="13">
        <v>0</v>
      </c>
      <c r="BG20" s="13">
        <v>0</v>
      </c>
      <c r="BH20" s="13">
        <v>0</v>
      </c>
      <c r="BI20" s="13">
        <v>0</v>
      </c>
      <c r="BJ20" s="13">
        <v>0</v>
      </c>
      <c r="BK20" s="13">
        <v>0</v>
      </c>
      <c r="BL20" s="13">
        <v>1</v>
      </c>
      <c r="BM20" s="13" t="s">
        <v>2261</v>
      </c>
      <c r="BP20" s="13" t="s">
        <v>410</v>
      </c>
    </row>
    <row r="21" spans="1:68" s="13" customFormat="1" x14ac:dyDescent="0.15">
      <c r="A21" s="11"/>
      <c r="B21" s="13" t="s">
        <v>1646</v>
      </c>
      <c r="C21" s="13" t="s">
        <v>2256</v>
      </c>
      <c r="E21" s="13" t="s">
        <v>2257</v>
      </c>
      <c r="F21" s="13">
        <v>0</v>
      </c>
      <c r="G21" s="13">
        <v>14</v>
      </c>
      <c r="I21" s="13">
        <v>10</v>
      </c>
      <c r="J21" s="13">
        <v>2</v>
      </c>
      <c r="K21" s="13">
        <v>1</v>
      </c>
      <c r="L21" s="13" t="s">
        <v>235</v>
      </c>
      <c r="M21" s="13" t="s">
        <v>255</v>
      </c>
      <c r="O21" s="13" t="s">
        <v>258</v>
      </c>
      <c r="P21" s="13">
        <v>0</v>
      </c>
      <c r="R21" s="13">
        <v>45864.848873566807</v>
      </c>
      <c r="U21" s="13" t="s">
        <v>254</v>
      </c>
      <c r="V21" s="13" t="s">
        <v>253</v>
      </c>
      <c r="W21" s="13">
        <v>5</v>
      </c>
      <c r="X21" s="13" t="s">
        <v>2258</v>
      </c>
      <c r="Z21" s="11" t="s">
        <v>2259</v>
      </c>
      <c r="AC21" s="11"/>
      <c r="AF21" s="162" t="s">
        <v>3165</v>
      </c>
      <c r="AH21" s="163">
        <v>0</v>
      </c>
      <c r="AI21" s="163" t="s">
        <v>235</v>
      </c>
      <c r="AJ21" s="163">
        <v>0</v>
      </c>
      <c r="AK21" s="163" t="s">
        <v>252</v>
      </c>
      <c r="AM21" s="13">
        <v>29812.151767818428</v>
      </c>
      <c r="AN21" s="13">
        <v>10930.888180800002</v>
      </c>
      <c r="AO21" s="13">
        <v>714058.72649999987</v>
      </c>
      <c r="AP21" s="13">
        <v>1</v>
      </c>
      <c r="AQ21" s="13">
        <v>1</v>
      </c>
      <c r="AR21" s="13">
        <v>0</v>
      </c>
      <c r="AS21" s="13">
        <v>0</v>
      </c>
      <c r="AT21" s="13">
        <v>0</v>
      </c>
      <c r="AU21" s="13">
        <v>0</v>
      </c>
      <c r="AV21" s="13">
        <v>0</v>
      </c>
      <c r="AW21" s="13">
        <v>0</v>
      </c>
      <c r="AX21" s="13">
        <v>0</v>
      </c>
      <c r="AY21" s="13">
        <v>0</v>
      </c>
      <c r="AZ21" s="13">
        <v>0</v>
      </c>
      <c r="BA21" s="13">
        <v>0</v>
      </c>
      <c r="BB21" s="13">
        <v>0</v>
      </c>
      <c r="BC21" s="13">
        <v>0</v>
      </c>
      <c r="BD21" s="13">
        <v>0</v>
      </c>
      <c r="BE21" s="13">
        <v>0</v>
      </c>
      <c r="BF21" s="13">
        <v>0</v>
      </c>
      <c r="BG21" s="13">
        <v>0</v>
      </c>
      <c r="BH21" s="13">
        <v>0</v>
      </c>
      <c r="BI21" s="13">
        <v>0</v>
      </c>
      <c r="BJ21" s="13">
        <v>0</v>
      </c>
      <c r="BK21" s="13">
        <v>0</v>
      </c>
      <c r="BL21" s="13">
        <v>1</v>
      </c>
      <c r="BM21" s="13" t="s">
        <v>2261</v>
      </c>
      <c r="BP21" s="13" t="s">
        <v>410</v>
      </c>
    </row>
    <row r="22" spans="1:68" s="13" customFormat="1" x14ac:dyDescent="0.15">
      <c r="B22" s="13" t="s">
        <v>1652</v>
      </c>
      <c r="C22" s="13" t="s">
        <v>2256</v>
      </c>
      <c r="E22" s="13" t="s">
        <v>2257</v>
      </c>
      <c r="F22" s="13">
        <v>0</v>
      </c>
      <c r="G22" s="13">
        <v>14</v>
      </c>
      <c r="I22" s="13">
        <v>10</v>
      </c>
      <c r="J22" s="13">
        <v>2</v>
      </c>
      <c r="K22" s="13">
        <v>1</v>
      </c>
      <c r="L22" s="13" t="s">
        <v>235</v>
      </c>
      <c r="M22" s="13" t="s">
        <v>255</v>
      </c>
      <c r="O22" s="11" t="s">
        <v>258</v>
      </c>
      <c r="P22" s="13">
        <v>0</v>
      </c>
      <c r="R22" s="13">
        <v>45864.848873566807</v>
      </c>
      <c r="U22" s="13" t="s">
        <v>254</v>
      </c>
      <c r="V22" s="13" t="s">
        <v>253</v>
      </c>
      <c r="W22" s="13">
        <v>5</v>
      </c>
      <c r="X22" s="11" t="s">
        <v>2258</v>
      </c>
      <c r="Z22" s="11" t="s">
        <v>2259</v>
      </c>
      <c r="AC22" s="11"/>
      <c r="AF22" s="162" t="s">
        <v>3165</v>
      </c>
      <c r="AH22" s="163">
        <v>0</v>
      </c>
      <c r="AI22" s="163" t="s">
        <v>235</v>
      </c>
      <c r="AJ22" s="163">
        <v>0</v>
      </c>
      <c r="AK22" s="163" t="s">
        <v>252</v>
      </c>
      <c r="AM22" s="13">
        <v>29812.151767818428</v>
      </c>
      <c r="AN22" s="13">
        <v>10930.888180800002</v>
      </c>
      <c r="AO22" s="13">
        <v>714058.72649999987</v>
      </c>
      <c r="AP22" s="13">
        <v>1</v>
      </c>
      <c r="AQ22" s="13">
        <v>1</v>
      </c>
      <c r="AR22" s="13">
        <v>0</v>
      </c>
      <c r="AS22" s="13">
        <v>0</v>
      </c>
      <c r="AT22" s="13">
        <v>0</v>
      </c>
      <c r="AU22" s="13">
        <v>0</v>
      </c>
      <c r="AV22" s="13">
        <v>0</v>
      </c>
      <c r="AW22" s="13">
        <v>0</v>
      </c>
      <c r="AX22" s="13">
        <v>0</v>
      </c>
      <c r="AY22" s="13">
        <v>0</v>
      </c>
      <c r="AZ22" s="13">
        <v>0</v>
      </c>
      <c r="BA22" s="13">
        <v>0</v>
      </c>
      <c r="BB22" s="13">
        <v>0</v>
      </c>
      <c r="BC22" s="13">
        <v>0</v>
      </c>
      <c r="BD22" s="13">
        <v>0</v>
      </c>
      <c r="BE22" s="13">
        <v>0</v>
      </c>
      <c r="BF22" s="13">
        <v>0</v>
      </c>
      <c r="BG22" s="13">
        <v>0</v>
      </c>
      <c r="BH22" s="13">
        <v>0</v>
      </c>
      <c r="BI22" s="13">
        <v>0</v>
      </c>
      <c r="BJ22" s="13">
        <v>0</v>
      </c>
      <c r="BK22" s="13">
        <v>0</v>
      </c>
      <c r="BL22" s="13">
        <v>1</v>
      </c>
      <c r="BM22" s="13" t="s">
        <v>2261</v>
      </c>
      <c r="BP22" s="13" t="s">
        <v>251</v>
      </c>
    </row>
    <row r="23" spans="1:68" s="13" customFormat="1" x14ac:dyDescent="0.15">
      <c r="B23" s="13" t="s">
        <v>1659</v>
      </c>
      <c r="C23" s="19" t="s">
        <v>2245</v>
      </c>
      <c r="E23" s="13" t="s">
        <v>2246</v>
      </c>
      <c r="F23" s="13">
        <v>1</v>
      </c>
      <c r="G23" s="13">
        <v>14</v>
      </c>
      <c r="I23" s="13">
        <v>10</v>
      </c>
      <c r="J23" s="13">
        <v>2</v>
      </c>
      <c r="K23" s="13">
        <v>1</v>
      </c>
      <c r="L23" s="13" t="s">
        <v>235</v>
      </c>
      <c r="M23" s="13" t="s">
        <v>255</v>
      </c>
      <c r="O23" s="13" t="s">
        <v>258</v>
      </c>
      <c r="P23" s="13">
        <v>800</v>
      </c>
      <c r="R23" s="13">
        <v>24566.726519999997</v>
      </c>
      <c r="U23" s="13" t="s">
        <v>254</v>
      </c>
      <c r="V23" s="13" t="s">
        <v>253</v>
      </c>
      <c r="W23" s="13">
        <v>5</v>
      </c>
      <c r="X23" s="13" t="s">
        <v>2247</v>
      </c>
      <c r="Z23" s="11" t="s">
        <v>3317</v>
      </c>
      <c r="AF23" s="162" t="s">
        <v>3183</v>
      </c>
      <c r="AH23" s="163">
        <v>0</v>
      </c>
      <c r="AI23" s="163" t="s">
        <v>235</v>
      </c>
      <c r="AJ23" s="163">
        <v>0</v>
      </c>
      <c r="AK23" s="163" t="s">
        <v>252</v>
      </c>
      <c r="AM23" s="13">
        <v>38295.162491039999</v>
      </c>
      <c r="AN23" s="13">
        <v>8279.6846237279988</v>
      </c>
      <c r="AO23" s="13">
        <v>1010893.95</v>
      </c>
      <c r="AP23" s="13">
        <v>1</v>
      </c>
      <c r="AQ23" s="13">
        <v>1</v>
      </c>
      <c r="AR23" s="13">
        <v>0</v>
      </c>
      <c r="AS23" s="13">
        <v>0</v>
      </c>
      <c r="AT23" s="13">
        <v>0</v>
      </c>
      <c r="AU23" s="13">
        <v>0</v>
      </c>
      <c r="AV23" s="13">
        <v>0</v>
      </c>
      <c r="AW23" s="13">
        <v>0</v>
      </c>
      <c r="AX23" s="13">
        <v>0</v>
      </c>
      <c r="AY23" s="13">
        <v>0</v>
      </c>
      <c r="AZ23" s="13">
        <v>0</v>
      </c>
      <c r="BA23" s="13">
        <v>0</v>
      </c>
      <c r="BB23" s="13">
        <v>0</v>
      </c>
      <c r="BC23" s="13">
        <v>0</v>
      </c>
      <c r="BD23" s="13">
        <v>0</v>
      </c>
      <c r="BE23" s="13">
        <v>0</v>
      </c>
      <c r="BF23" s="13">
        <v>0</v>
      </c>
      <c r="BG23" s="13">
        <v>0</v>
      </c>
      <c r="BH23" s="13">
        <v>0</v>
      </c>
      <c r="BI23" s="13">
        <v>0</v>
      </c>
      <c r="BJ23" s="13">
        <v>0</v>
      </c>
      <c r="BK23" s="13">
        <v>0</v>
      </c>
      <c r="BL23" s="13">
        <v>1</v>
      </c>
      <c r="BM23" s="13" t="s">
        <v>2249</v>
      </c>
      <c r="BP23" s="13" t="s">
        <v>410</v>
      </c>
    </row>
    <row r="24" spans="1:68" s="13" customFormat="1" x14ac:dyDescent="0.15">
      <c r="A24" s="11"/>
      <c r="B24" s="13" t="s">
        <v>1666</v>
      </c>
      <c r="C24" s="19" t="s">
        <v>2245</v>
      </c>
      <c r="E24" s="13" t="s">
        <v>2246</v>
      </c>
      <c r="F24" s="13">
        <v>1</v>
      </c>
      <c r="G24" s="13">
        <v>14</v>
      </c>
      <c r="I24" s="13">
        <v>10</v>
      </c>
      <c r="J24" s="13">
        <v>2</v>
      </c>
      <c r="K24" s="13">
        <v>1</v>
      </c>
      <c r="L24" s="13" t="s">
        <v>235</v>
      </c>
      <c r="M24" s="13" t="s">
        <v>255</v>
      </c>
      <c r="O24" s="11" t="s">
        <v>258</v>
      </c>
      <c r="P24" s="13">
        <v>0</v>
      </c>
      <c r="R24" s="13">
        <v>24566.726519999997</v>
      </c>
      <c r="U24" s="13" t="s">
        <v>254</v>
      </c>
      <c r="V24" s="13" t="s">
        <v>253</v>
      </c>
      <c r="W24" s="13">
        <v>5</v>
      </c>
      <c r="X24" s="13" t="s">
        <v>2247</v>
      </c>
      <c r="Z24" s="11" t="s">
        <v>3317</v>
      </c>
      <c r="AC24" s="11"/>
      <c r="AF24" s="162" t="s">
        <v>3183</v>
      </c>
      <c r="AH24" s="163">
        <v>0</v>
      </c>
      <c r="AI24" s="163" t="s">
        <v>235</v>
      </c>
      <c r="AJ24" s="163">
        <v>0</v>
      </c>
      <c r="AK24" s="163" t="s">
        <v>252</v>
      </c>
      <c r="AM24" s="13">
        <v>38295.162491039999</v>
      </c>
      <c r="AN24" s="13">
        <v>8279.6846237279988</v>
      </c>
      <c r="AO24" s="11">
        <v>1010893.95</v>
      </c>
      <c r="AP24" s="13">
        <v>1</v>
      </c>
      <c r="AQ24" s="13">
        <v>1</v>
      </c>
      <c r="AR24" s="13">
        <v>0</v>
      </c>
      <c r="AS24" s="13">
        <v>0</v>
      </c>
      <c r="AT24" s="13">
        <v>0</v>
      </c>
      <c r="AU24" s="13">
        <v>0</v>
      </c>
      <c r="AV24" s="13">
        <v>0</v>
      </c>
      <c r="AW24" s="13">
        <v>0</v>
      </c>
      <c r="AX24" s="13">
        <v>0</v>
      </c>
      <c r="AY24" s="13">
        <v>0</v>
      </c>
      <c r="AZ24" s="13">
        <v>0</v>
      </c>
      <c r="BA24" s="13">
        <v>0</v>
      </c>
      <c r="BB24" s="13">
        <v>0</v>
      </c>
      <c r="BC24" s="13">
        <v>0</v>
      </c>
      <c r="BD24" s="13">
        <v>0</v>
      </c>
      <c r="BE24" s="13">
        <v>0</v>
      </c>
      <c r="BF24" s="13">
        <v>0</v>
      </c>
      <c r="BG24" s="13">
        <v>0</v>
      </c>
      <c r="BH24" s="13">
        <v>0</v>
      </c>
      <c r="BI24" s="13">
        <v>0</v>
      </c>
      <c r="BJ24" s="13">
        <v>0</v>
      </c>
      <c r="BK24" s="13">
        <v>0</v>
      </c>
      <c r="BL24" s="13">
        <v>1</v>
      </c>
      <c r="BM24" s="13" t="s">
        <v>2249</v>
      </c>
      <c r="BP24" s="13" t="s">
        <v>410</v>
      </c>
    </row>
    <row r="25" spans="1:68" s="13" customFormat="1" x14ac:dyDescent="0.15">
      <c r="A25" s="11"/>
      <c r="B25" s="13" t="s">
        <v>1673</v>
      </c>
      <c r="C25" s="19" t="s">
        <v>2250</v>
      </c>
      <c r="E25" s="13" t="s">
        <v>2251</v>
      </c>
      <c r="F25" s="13">
        <v>1</v>
      </c>
      <c r="G25" s="13">
        <v>13</v>
      </c>
      <c r="I25" s="13">
        <v>10</v>
      </c>
      <c r="J25" s="13">
        <v>2</v>
      </c>
      <c r="K25" s="13">
        <v>1</v>
      </c>
      <c r="L25" s="13" t="s">
        <v>235</v>
      </c>
      <c r="M25" s="13" t="s">
        <v>255</v>
      </c>
      <c r="O25" s="11" t="s">
        <v>855</v>
      </c>
      <c r="P25" s="13">
        <v>0</v>
      </c>
      <c r="R25" s="13">
        <v>16459.706768399996</v>
      </c>
      <c r="U25" s="13" t="s">
        <v>254</v>
      </c>
      <c r="V25" s="13" t="s">
        <v>253</v>
      </c>
      <c r="W25" s="13">
        <v>5</v>
      </c>
      <c r="X25" s="13" t="s">
        <v>2252</v>
      </c>
      <c r="Z25" s="13" t="s">
        <v>2253</v>
      </c>
      <c r="AC25" s="11"/>
      <c r="AF25" s="162" t="s">
        <v>2254</v>
      </c>
      <c r="AH25" s="163">
        <v>0</v>
      </c>
      <c r="AI25" s="163" t="s">
        <v>235</v>
      </c>
      <c r="AJ25" s="163">
        <v>0</v>
      </c>
      <c r="AK25" s="163" t="s">
        <v>252</v>
      </c>
      <c r="AM25" s="13">
        <v>25657.7588689968</v>
      </c>
      <c r="AN25" s="13">
        <v>8279.6846237279988</v>
      </c>
      <c r="AO25" s="13">
        <v>1072160.25</v>
      </c>
      <c r="AP25" s="13">
        <v>1</v>
      </c>
      <c r="AQ25" s="13">
        <v>1</v>
      </c>
      <c r="AR25" s="13">
        <v>0</v>
      </c>
      <c r="AS25" s="13">
        <v>0</v>
      </c>
      <c r="AT25" s="13">
        <v>0</v>
      </c>
      <c r="AU25" s="13">
        <v>0</v>
      </c>
      <c r="AV25" s="13">
        <v>0</v>
      </c>
      <c r="AW25" s="13">
        <v>0</v>
      </c>
      <c r="AX25" s="13">
        <v>0</v>
      </c>
      <c r="AY25" s="13">
        <v>0</v>
      </c>
      <c r="AZ25" s="13">
        <v>0</v>
      </c>
      <c r="BA25" s="13">
        <v>0</v>
      </c>
      <c r="BB25" s="13">
        <v>0</v>
      </c>
      <c r="BC25" s="13">
        <v>0</v>
      </c>
      <c r="BD25" s="13">
        <v>0</v>
      </c>
      <c r="BE25" s="13">
        <v>0</v>
      </c>
      <c r="BF25" s="13">
        <v>0</v>
      </c>
      <c r="BG25" s="13">
        <v>0</v>
      </c>
      <c r="BH25" s="13">
        <v>0</v>
      </c>
      <c r="BI25" s="13">
        <v>0</v>
      </c>
      <c r="BJ25" s="13">
        <v>0</v>
      </c>
      <c r="BK25" s="13">
        <v>0</v>
      </c>
      <c r="BL25" s="13">
        <v>1</v>
      </c>
      <c r="BM25" s="13" t="s">
        <v>2255</v>
      </c>
      <c r="BP25" s="13" t="s">
        <v>410</v>
      </c>
    </row>
    <row r="26" spans="1:68" s="13" customFormat="1" x14ac:dyDescent="0.15">
      <c r="A26" s="11"/>
      <c r="B26" s="13" t="s">
        <v>1680</v>
      </c>
      <c r="C26" s="19" t="s">
        <v>2250</v>
      </c>
      <c r="E26" s="13" t="s">
        <v>2251</v>
      </c>
      <c r="F26" s="13">
        <v>1</v>
      </c>
      <c r="G26" s="13">
        <v>13</v>
      </c>
      <c r="I26" s="13">
        <v>10</v>
      </c>
      <c r="J26" s="13">
        <v>2</v>
      </c>
      <c r="K26" s="13">
        <v>1</v>
      </c>
      <c r="L26" s="13" t="s">
        <v>235</v>
      </c>
      <c r="M26" s="13" t="s">
        <v>255</v>
      </c>
      <c r="O26" s="11" t="s">
        <v>258</v>
      </c>
      <c r="P26" s="13">
        <v>0</v>
      </c>
      <c r="R26" s="13">
        <v>21130.119245289596</v>
      </c>
      <c r="U26" s="13" t="s">
        <v>254</v>
      </c>
      <c r="V26" s="13" t="s">
        <v>253</v>
      </c>
      <c r="W26" s="13">
        <v>5</v>
      </c>
      <c r="X26" s="13" t="s">
        <v>2252</v>
      </c>
      <c r="Z26" s="11" t="s">
        <v>2253</v>
      </c>
      <c r="AC26" s="11"/>
      <c r="AF26" s="162" t="s">
        <v>3065</v>
      </c>
      <c r="AH26" s="163">
        <v>0</v>
      </c>
      <c r="AI26" s="163" t="s">
        <v>235</v>
      </c>
      <c r="AJ26" s="163">
        <v>0</v>
      </c>
      <c r="AK26" s="163" t="s">
        <v>252</v>
      </c>
      <c r="AM26" s="13">
        <v>27727.978514342401</v>
      </c>
      <c r="AN26" s="13">
        <v>8980.2083992319967</v>
      </c>
      <c r="AO26" s="13">
        <v>1072160.25</v>
      </c>
      <c r="AP26" s="13">
        <v>1</v>
      </c>
      <c r="AQ26" s="13">
        <v>1</v>
      </c>
      <c r="AR26" s="13">
        <v>0</v>
      </c>
      <c r="AS26" s="13">
        <v>0</v>
      </c>
      <c r="AT26" s="13">
        <v>0</v>
      </c>
      <c r="AU26" s="13">
        <v>0</v>
      </c>
      <c r="AV26" s="13">
        <v>0</v>
      </c>
      <c r="AW26" s="13">
        <v>0</v>
      </c>
      <c r="AX26" s="13">
        <v>0</v>
      </c>
      <c r="AY26" s="13">
        <v>0</v>
      </c>
      <c r="AZ26" s="13">
        <v>0</v>
      </c>
      <c r="BA26" s="13">
        <v>0</v>
      </c>
      <c r="BB26" s="13">
        <v>0</v>
      </c>
      <c r="BC26" s="13">
        <v>0</v>
      </c>
      <c r="BD26" s="13">
        <v>0</v>
      </c>
      <c r="BE26" s="13">
        <v>0</v>
      </c>
      <c r="BF26" s="13">
        <v>0</v>
      </c>
      <c r="BG26" s="13">
        <v>0</v>
      </c>
      <c r="BH26" s="13">
        <v>0</v>
      </c>
      <c r="BI26" s="13">
        <v>0</v>
      </c>
      <c r="BJ26" s="13">
        <v>0</v>
      </c>
      <c r="BK26" s="13">
        <v>0</v>
      </c>
      <c r="BL26" s="13">
        <v>1</v>
      </c>
      <c r="BM26" s="13" t="s">
        <v>2255</v>
      </c>
      <c r="BP26" s="13" t="s">
        <v>410</v>
      </c>
    </row>
    <row r="27" spans="1:68" s="13" customFormat="1" x14ac:dyDescent="0.15">
      <c r="A27" s="11"/>
      <c r="B27" s="13" t="s">
        <v>1687</v>
      </c>
      <c r="C27" s="19" t="s">
        <v>2256</v>
      </c>
      <c r="E27" s="13" t="s">
        <v>2257</v>
      </c>
      <c r="F27" s="13">
        <v>0</v>
      </c>
      <c r="G27" s="13">
        <v>14</v>
      </c>
      <c r="I27" s="13">
        <v>10</v>
      </c>
      <c r="J27" s="13">
        <v>2</v>
      </c>
      <c r="K27" s="13">
        <v>1</v>
      </c>
      <c r="L27" s="13" t="s">
        <v>235</v>
      </c>
      <c r="M27" s="13" t="s">
        <v>255</v>
      </c>
      <c r="O27" s="11" t="s">
        <v>3066</v>
      </c>
      <c r="P27" s="13">
        <v>0</v>
      </c>
      <c r="R27" s="13">
        <v>32089.397510570405</v>
      </c>
      <c r="U27" s="13" t="s">
        <v>254</v>
      </c>
      <c r="V27" s="13" t="s">
        <v>253</v>
      </c>
      <c r="W27" s="13">
        <v>5</v>
      </c>
      <c r="X27" s="11" t="s">
        <v>2258</v>
      </c>
      <c r="Z27" s="13" t="s">
        <v>2259</v>
      </c>
      <c r="AC27" s="11"/>
      <c r="AF27" s="162" t="s">
        <v>3067</v>
      </c>
      <c r="AH27" s="163">
        <v>0</v>
      </c>
      <c r="AI27" s="163" t="s">
        <v>235</v>
      </c>
      <c r="AJ27" s="163">
        <v>0</v>
      </c>
      <c r="AK27" s="163" t="s">
        <v>252</v>
      </c>
      <c r="AM27" s="13">
        <v>42109.280803497611</v>
      </c>
      <c r="AN27" s="13">
        <v>10951.473657599998</v>
      </c>
      <c r="AO27" s="13">
        <v>1072160.25</v>
      </c>
      <c r="AP27" s="13">
        <v>1</v>
      </c>
      <c r="AQ27" s="13">
        <v>1</v>
      </c>
      <c r="AR27" s="13">
        <v>0</v>
      </c>
      <c r="AS27" s="13">
        <v>0</v>
      </c>
      <c r="AT27" s="13">
        <v>0</v>
      </c>
      <c r="AU27" s="13">
        <v>0</v>
      </c>
      <c r="AV27" s="13">
        <v>0</v>
      </c>
      <c r="AW27" s="13">
        <v>0</v>
      </c>
      <c r="AX27" s="13">
        <v>0</v>
      </c>
      <c r="AY27" s="13">
        <v>0</v>
      </c>
      <c r="AZ27" s="13">
        <v>0</v>
      </c>
      <c r="BA27" s="13">
        <v>0</v>
      </c>
      <c r="BB27" s="13">
        <v>0</v>
      </c>
      <c r="BC27" s="13">
        <v>0</v>
      </c>
      <c r="BD27" s="13">
        <v>0</v>
      </c>
      <c r="BE27" s="13">
        <v>0</v>
      </c>
      <c r="BF27" s="13">
        <v>0</v>
      </c>
      <c r="BG27" s="13">
        <v>0</v>
      </c>
      <c r="BH27" s="13">
        <v>0</v>
      </c>
      <c r="BI27" s="13">
        <v>0</v>
      </c>
      <c r="BJ27" s="13">
        <v>0</v>
      </c>
      <c r="BK27" s="13">
        <v>0</v>
      </c>
      <c r="BL27" s="13">
        <v>1</v>
      </c>
      <c r="BM27" s="13" t="s">
        <v>2261</v>
      </c>
      <c r="BP27" s="13" t="s">
        <v>410</v>
      </c>
    </row>
    <row r="28" spans="1:68" s="13" customFormat="1" x14ac:dyDescent="0.15">
      <c r="A28" s="11"/>
      <c r="B28" s="13" t="s">
        <v>1694</v>
      </c>
      <c r="C28" s="13" t="s">
        <v>2250</v>
      </c>
      <c r="E28" s="13" t="s">
        <v>2251</v>
      </c>
      <c r="F28" s="13">
        <v>1</v>
      </c>
      <c r="G28" s="13">
        <v>13</v>
      </c>
      <c r="I28" s="13">
        <v>10</v>
      </c>
      <c r="J28" s="13">
        <v>2</v>
      </c>
      <c r="K28" s="13">
        <v>1</v>
      </c>
      <c r="L28" s="13" t="s">
        <v>235</v>
      </c>
      <c r="M28" s="13" t="s">
        <v>255</v>
      </c>
      <c r="O28" s="11" t="s">
        <v>258</v>
      </c>
      <c r="P28" s="13">
        <v>0</v>
      </c>
      <c r="R28" s="13">
        <v>21130.119245289596</v>
      </c>
      <c r="U28" s="13" t="s">
        <v>254</v>
      </c>
      <c r="V28" s="13" t="s">
        <v>253</v>
      </c>
      <c r="W28" s="13">
        <v>5</v>
      </c>
      <c r="X28" s="11" t="s">
        <v>2252</v>
      </c>
      <c r="Z28" s="13" t="s">
        <v>2253</v>
      </c>
      <c r="AC28" s="11"/>
      <c r="AF28" s="162" t="s">
        <v>2254</v>
      </c>
      <c r="AH28" s="163">
        <v>0</v>
      </c>
      <c r="AI28" s="163" t="s">
        <v>235</v>
      </c>
      <c r="AJ28" s="163">
        <v>0</v>
      </c>
      <c r="AK28" s="163" t="s">
        <v>252</v>
      </c>
      <c r="AM28" s="13">
        <v>42109.280803497611</v>
      </c>
      <c r="AN28" s="13">
        <v>10951.473657599998</v>
      </c>
      <c r="AO28" s="13">
        <v>1072160.25</v>
      </c>
      <c r="AP28" s="13">
        <v>1</v>
      </c>
      <c r="AQ28" s="13">
        <v>1</v>
      </c>
      <c r="AR28" s="13">
        <v>0</v>
      </c>
      <c r="AS28" s="13">
        <v>0</v>
      </c>
      <c r="AT28" s="13">
        <v>0</v>
      </c>
      <c r="AU28" s="13">
        <v>0</v>
      </c>
      <c r="AV28" s="13">
        <v>0</v>
      </c>
      <c r="AW28" s="13">
        <v>0</v>
      </c>
      <c r="AX28" s="13">
        <v>0</v>
      </c>
      <c r="AY28" s="13">
        <v>0</v>
      </c>
      <c r="AZ28" s="13">
        <v>0</v>
      </c>
      <c r="BA28" s="13">
        <v>0</v>
      </c>
      <c r="BB28" s="13">
        <v>0</v>
      </c>
      <c r="BC28" s="13">
        <v>0</v>
      </c>
      <c r="BD28" s="13">
        <v>0</v>
      </c>
      <c r="BE28" s="13">
        <v>0</v>
      </c>
      <c r="BF28" s="13">
        <v>0</v>
      </c>
      <c r="BG28" s="13">
        <v>0</v>
      </c>
      <c r="BH28" s="13">
        <v>0</v>
      </c>
      <c r="BI28" s="13">
        <v>0</v>
      </c>
      <c r="BJ28" s="13">
        <v>0</v>
      </c>
      <c r="BK28" s="13">
        <v>0</v>
      </c>
      <c r="BL28" s="13">
        <v>1</v>
      </c>
      <c r="BM28" s="13" t="s">
        <v>2261</v>
      </c>
      <c r="BP28" s="13" t="s">
        <v>410</v>
      </c>
    </row>
    <row r="29" spans="1:68" s="11" customFormat="1" x14ac:dyDescent="0.15">
      <c r="B29" s="11" t="s">
        <v>1701</v>
      </c>
      <c r="C29" s="11" t="s">
        <v>2245</v>
      </c>
      <c r="D29" s="13"/>
      <c r="E29" s="13" t="s">
        <v>2246</v>
      </c>
      <c r="F29" s="13">
        <v>1</v>
      </c>
      <c r="G29" s="13">
        <v>14</v>
      </c>
      <c r="H29" s="13"/>
      <c r="I29" s="13">
        <v>10</v>
      </c>
      <c r="J29" s="13">
        <v>2</v>
      </c>
      <c r="K29" s="13">
        <v>1</v>
      </c>
      <c r="L29" s="13" t="s">
        <v>235</v>
      </c>
      <c r="M29" s="13" t="s">
        <v>255</v>
      </c>
      <c r="N29" s="13"/>
      <c r="O29" s="11" t="s">
        <v>258</v>
      </c>
      <c r="P29" s="13">
        <v>0</v>
      </c>
      <c r="Q29" s="13"/>
      <c r="R29" s="13">
        <v>33546.674568959999</v>
      </c>
      <c r="S29" s="13"/>
      <c r="T29" s="13"/>
      <c r="U29" s="13" t="s">
        <v>254</v>
      </c>
      <c r="V29" s="13" t="s">
        <v>253</v>
      </c>
      <c r="W29" s="13">
        <v>5</v>
      </c>
      <c r="X29" s="11" t="s">
        <v>2247</v>
      </c>
      <c r="Y29" s="13"/>
      <c r="Z29" s="11" t="s">
        <v>3317</v>
      </c>
      <c r="AA29" s="13"/>
      <c r="AB29" s="13"/>
      <c r="AD29" s="13"/>
      <c r="AE29" s="13"/>
      <c r="AF29" s="162" t="s">
        <v>3182</v>
      </c>
      <c r="AH29" s="11">
        <v>0</v>
      </c>
      <c r="AI29" s="11" t="s">
        <v>235</v>
      </c>
      <c r="AJ29" s="11">
        <v>0</v>
      </c>
      <c r="AK29" s="11" t="s">
        <v>252</v>
      </c>
      <c r="AM29" s="13">
        <v>34757.898256065593</v>
      </c>
      <c r="AN29" s="11">
        <v>10443.149617151999</v>
      </c>
      <c r="AO29" s="11">
        <v>1286592.2999999998</v>
      </c>
      <c r="AP29" s="13">
        <v>1</v>
      </c>
      <c r="AQ29" s="13">
        <v>1</v>
      </c>
      <c r="AR29" s="13">
        <v>0</v>
      </c>
      <c r="AS29" s="13">
        <v>0</v>
      </c>
      <c r="AT29" s="13">
        <v>0</v>
      </c>
      <c r="AU29" s="13">
        <v>0</v>
      </c>
      <c r="AV29" s="13">
        <v>0</v>
      </c>
      <c r="AW29" s="13">
        <v>0</v>
      </c>
      <c r="AX29" s="13">
        <v>0</v>
      </c>
      <c r="AY29" s="13">
        <v>0</v>
      </c>
      <c r="AZ29" s="13">
        <v>0</v>
      </c>
      <c r="BA29" s="13">
        <v>0</v>
      </c>
      <c r="BB29" s="13">
        <v>0</v>
      </c>
      <c r="BC29" s="13">
        <v>0</v>
      </c>
      <c r="BD29" s="13">
        <v>0</v>
      </c>
      <c r="BE29" s="13">
        <v>0</v>
      </c>
      <c r="BF29" s="13">
        <v>0</v>
      </c>
      <c r="BG29" s="13">
        <v>0</v>
      </c>
      <c r="BH29" s="13">
        <v>0</v>
      </c>
      <c r="BI29" s="13">
        <v>0</v>
      </c>
      <c r="BJ29" s="13">
        <v>0</v>
      </c>
      <c r="BK29" s="13">
        <v>0</v>
      </c>
      <c r="BL29" s="13">
        <v>1</v>
      </c>
      <c r="BM29" s="11" t="s">
        <v>2255</v>
      </c>
      <c r="BP29" s="13" t="s">
        <v>410</v>
      </c>
    </row>
    <row r="30" spans="1:68" s="11" customFormat="1" x14ac:dyDescent="0.15">
      <c r="B30" s="11" t="s">
        <v>1708</v>
      </c>
      <c r="C30" s="13" t="s">
        <v>2256</v>
      </c>
      <c r="D30" s="13"/>
      <c r="E30" s="13" t="s">
        <v>2257</v>
      </c>
      <c r="F30" s="13">
        <v>0</v>
      </c>
      <c r="G30" s="13">
        <v>14</v>
      </c>
      <c r="H30" s="13"/>
      <c r="I30" s="13">
        <v>10</v>
      </c>
      <c r="J30" s="13">
        <v>2</v>
      </c>
      <c r="K30" s="13">
        <v>1</v>
      </c>
      <c r="L30" s="13" t="s">
        <v>235</v>
      </c>
      <c r="M30" s="13" t="s">
        <v>255</v>
      </c>
      <c r="N30" s="13"/>
      <c r="O30" s="11" t="s">
        <v>258</v>
      </c>
      <c r="P30" s="13">
        <v>0</v>
      </c>
      <c r="Q30" s="13"/>
      <c r="R30" s="13">
        <v>34133.741373916804</v>
      </c>
      <c r="S30" s="13"/>
      <c r="T30" s="13"/>
      <c r="U30" s="13" t="s">
        <v>254</v>
      </c>
      <c r="V30" s="13" t="s">
        <v>253</v>
      </c>
      <c r="W30" s="13">
        <v>5</v>
      </c>
      <c r="X30" s="13" t="s">
        <v>2258</v>
      </c>
      <c r="Y30" s="13"/>
      <c r="Z30" s="11" t="s">
        <v>2259</v>
      </c>
      <c r="AA30" s="13"/>
      <c r="AB30" s="13"/>
      <c r="AD30" s="13"/>
      <c r="AE30" s="13"/>
      <c r="AF30" s="162" t="s">
        <v>3067</v>
      </c>
      <c r="AH30" s="11">
        <v>0</v>
      </c>
      <c r="AI30" s="11" t="s">
        <v>235</v>
      </c>
      <c r="AJ30" s="11">
        <v>0</v>
      </c>
      <c r="AK30" s="11" t="s">
        <v>252</v>
      </c>
      <c r="AM30" s="11">
        <v>51877.46008367998</v>
      </c>
      <c r="AN30" s="11">
        <v>10443.149617151999</v>
      </c>
      <c r="AO30" s="11">
        <v>836284.995</v>
      </c>
      <c r="AP30" s="13">
        <v>1</v>
      </c>
      <c r="AQ30" s="13">
        <v>1</v>
      </c>
      <c r="AR30" s="13">
        <v>0</v>
      </c>
      <c r="AS30" s="13">
        <v>0</v>
      </c>
      <c r="AT30" s="13">
        <v>0</v>
      </c>
      <c r="AU30" s="13">
        <v>0</v>
      </c>
      <c r="AV30" s="13">
        <v>0</v>
      </c>
      <c r="AW30" s="13">
        <v>0</v>
      </c>
      <c r="AX30" s="13">
        <v>0</v>
      </c>
      <c r="AY30" s="13">
        <v>0</v>
      </c>
      <c r="AZ30" s="13">
        <v>0</v>
      </c>
      <c r="BA30" s="13">
        <v>0</v>
      </c>
      <c r="BB30" s="13">
        <v>0</v>
      </c>
      <c r="BC30" s="13">
        <v>0</v>
      </c>
      <c r="BD30" s="13">
        <v>0</v>
      </c>
      <c r="BE30" s="13">
        <v>0</v>
      </c>
      <c r="BF30" s="13">
        <v>0</v>
      </c>
      <c r="BG30" s="13">
        <v>0</v>
      </c>
      <c r="BH30" s="13">
        <v>0</v>
      </c>
      <c r="BI30" s="13">
        <v>0</v>
      </c>
      <c r="BJ30" s="13">
        <v>0</v>
      </c>
      <c r="BK30" s="13">
        <v>0</v>
      </c>
      <c r="BL30" s="13">
        <v>1</v>
      </c>
      <c r="BM30" s="11" t="s">
        <v>2249</v>
      </c>
      <c r="BP30" s="13" t="s">
        <v>251</v>
      </c>
    </row>
    <row r="31" spans="1:68" s="11" customFormat="1" x14ac:dyDescent="0.15">
      <c r="B31" s="11" t="s">
        <v>1715</v>
      </c>
      <c r="C31" s="13" t="s">
        <v>2245</v>
      </c>
      <c r="E31" s="11" t="s">
        <v>2246</v>
      </c>
      <c r="F31" s="11">
        <v>1</v>
      </c>
      <c r="G31" s="11">
        <v>14</v>
      </c>
      <c r="I31" s="11">
        <v>10</v>
      </c>
      <c r="J31" s="11">
        <v>2</v>
      </c>
      <c r="K31" s="11">
        <v>1</v>
      </c>
      <c r="L31" s="11" t="s">
        <v>235</v>
      </c>
      <c r="M31" s="11" t="s">
        <v>255</v>
      </c>
      <c r="O31" s="11" t="s">
        <v>258</v>
      </c>
      <c r="P31" s="13">
        <v>0</v>
      </c>
      <c r="R31" s="13">
        <v>46687.861382399999</v>
      </c>
      <c r="U31" s="11" t="s">
        <v>254</v>
      </c>
      <c r="V31" s="11" t="s">
        <v>253</v>
      </c>
      <c r="W31" s="11">
        <v>5</v>
      </c>
      <c r="X31" s="11" t="s">
        <v>2247</v>
      </c>
      <c r="Z31" s="11" t="s">
        <v>3317</v>
      </c>
      <c r="AF31" s="162" t="s">
        <v>3183</v>
      </c>
      <c r="AH31" s="11">
        <v>0</v>
      </c>
      <c r="AI31" s="11" t="s">
        <v>235</v>
      </c>
      <c r="AJ31" s="11">
        <v>0</v>
      </c>
      <c r="AK31" s="11" t="s">
        <v>252</v>
      </c>
      <c r="AM31" s="13">
        <v>46687.861382399999</v>
      </c>
      <c r="AN31" s="13">
        <v>9343.1303552160007</v>
      </c>
      <c r="AO31" s="13">
        <v>1194692.8499999999</v>
      </c>
      <c r="AP31" s="13">
        <v>1</v>
      </c>
      <c r="AQ31" s="13">
        <v>1</v>
      </c>
      <c r="AR31" s="13">
        <v>0</v>
      </c>
      <c r="AS31" s="13">
        <v>0</v>
      </c>
      <c r="AT31" s="13">
        <v>0</v>
      </c>
      <c r="AU31" s="13">
        <v>0</v>
      </c>
      <c r="AV31" s="13">
        <v>0</v>
      </c>
      <c r="AW31" s="13">
        <v>0</v>
      </c>
      <c r="AX31" s="13">
        <v>0</v>
      </c>
      <c r="AY31" s="13">
        <v>0</v>
      </c>
      <c r="AZ31" s="13">
        <v>0</v>
      </c>
      <c r="BA31" s="13">
        <v>0.2</v>
      </c>
      <c r="BB31" s="13">
        <v>0.2</v>
      </c>
      <c r="BC31" s="13">
        <v>0</v>
      </c>
      <c r="BD31" s="13">
        <v>0</v>
      </c>
      <c r="BE31" s="13">
        <v>0</v>
      </c>
      <c r="BF31" s="13">
        <v>0</v>
      </c>
      <c r="BG31" s="13">
        <v>0</v>
      </c>
      <c r="BH31" s="13">
        <v>0</v>
      </c>
      <c r="BI31" s="13">
        <v>0</v>
      </c>
      <c r="BJ31" s="13">
        <v>0</v>
      </c>
      <c r="BK31" s="13">
        <v>0</v>
      </c>
      <c r="BL31" s="13">
        <v>1</v>
      </c>
      <c r="BM31" s="11" t="s">
        <v>2249</v>
      </c>
      <c r="BP31" s="13" t="s">
        <v>410</v>
      </c>
    </row>
    <row r="32" spans="1:68" s="11" customFormat="1" x14ac:dyDescent="0.15">
      <c r="B32" s="11" t="s">
        <v>1723</v>
      </c>
      <c r="C32" s="19" t="s">
        <v>2245</v>
      </c>
      <c r="E32" s="11" t="s">
        <v>2246</v>
      </c>
      <c r="F32" s="11">
        <v>1</v>
      </c>
      <c r="G32" s="11">
        <v>14</v>
      </c>
      <c r="I32" s="11">
        <v>10</v>
      </c>
      <c r="J32" s="11">
        <v>2</v>
      </c>
      <c r="K32" s="11">
        <v>1</v>
      </c>
      <c r="L32" s="11" t="s">
        <v>235</v>
      </c>
      <c r="M32" s="11" t="s">
        <v>255</v>
      </c>
      <c r="O32" s="11" t="s">
        <v>258</v>
      </c>
      <c r="P32" s="11">
        <v>0</v>
      </c>
      <c r="R32" s="13">
        <v>46687.861382399999</v>
      </c>
      <c r="U32" s="11" t="s">
        <v>254</v>
      </c>
      <c r="V32" s="11" t="s">
        <v>253</v>
      </c>
      <c r="W32" s="11">
        <v>5</v>
      </c>
      <c r="X32" s="11" t="s">
        <v>2247</v>
      </c>
      <c r="Z32" s="11" t="s">
        <v>3317</v>
      </c>
      <c r="AF32" s="162" t="s">
        <v>3183</v>
      </c>
      <c r="AH32" s="11">
        <v>0</v>
      </c>
      <c r="AI32" s="11" t="s">
        <v>235</v>
      </c>
      <c r="AJ32" s="11">
        <v>0</v>
      </c>
      <c r="AK32" s="11" t="s">
        <v>252</v>
      </c>
      <c r="AM32" s="13">
        <v>46687.861382399999</v>
      </c>
      <c r="AN32" s="11">
        <v>9343.1303552160007</v>
      </c>
      <c r="AO32" s="11">
        <v>1194692.8499999999</v>
      </c>
      <c r="AP32" s="13">
        <v>1</v>
      </c>
      <c r="AQ32" s="13">
        <v>1</v>
      </c>
      <c r="AR32" s="13">
        <v>0</v>
      </c>
      <c r="AS32" s="13">
        <v>0</v>
      </c>
      <c r="AT32" s="13">
        <v>0</v>
      </c>
      <c r="AU32" s="13">
        <v>0</v>
      </c>
      <c r="AV32" s="13">
        <v>0</v>
      </c>
      <c r="AW32" s="13">
        <v>0</v>
      </c>
      <c r="AX32" s="13">
        <v>0</v>
      </c>
      <c r="AY32" s="13">
        <v>0</v>
      </c>
      <c r="AZ32" s="13">
        <v>0</v>
      </c>
      <c r="BA32" s="13">
        <v>0.4</v>
      </c>
      <c r="BB32" s="13">
        <v>0.4</v>
      </c>
      <c r="BC32" s="13">
        <v>0</v>
      </c>
      <c r="BD32" s="13">
        <v>0</v>
      </c>
      <c r="BE32" s="13">
        <v>0</v>
      </c>
      <c r="BF32" s="13">
        <v>0</v>
      </c>
      <c r="BG32" s="13">
        <v>0</v>
      </c>
      <c r="BH32" s="13">
        <v>0</v>
      </c>
      <c r="BI32" s="13">
        <v>0</v>
      </c>
      <c r="BJ32" s="13">
        <v>0</v>
      </c>
      <c r="BK32" s="13">
        <v>0</v>
      </c>
      <c r="BL32" s="13">
        <v>1</v>
      </c>
      <c r="BM32" s="11" t="s">
        <v>2249</v>
      </c>
      <c r="BP32" s="13" t="s">
        <v>410</v>
      </c>
    </row>
    <row r="33" spans="2:68" s="11" customFormat="1" x14ac:dyDescent="0.15">
      <c r="B33" s="11" t="s">
        <v>1730</v>
      </c>
      <c r="C33" s="19" t="s">
        <v>2245</v>
      </c>
      <c r="E33" s="11" t="s">
        <v>2246</v>
      </c>
      <c r="F33" s="11">
        <v>1</v>
      </c>
      <c r="G33" s="11">
        <v>14</v>
      </c>
      <c r="I33" s="11">
        <v>10</v>
      </c>
      <c r="J33" s="11">
        <v>2</v>
      </c>
      <c r="K33" s="11">
        <v>1</v>
      </c>
      <c r="L33" s="11" t="s">
        <v>235</v>
      </c>
      <c r="M33" s="11" t="s">
        <v>255</v>
      </c>
      <c r="O33" s="11" t="s">
        <v>258</v>
      </c>
      <c r="P33" s="13">
        <v>0</v>
      </c>
      <c r="R33" s="11">
        <v>46687.861382399999</v>
      </c>
      <c r="U33" s="11" t="s">
        <v>254</v>
      </c>
      <c r="V33" s="11" t="s">
        <v>253</v>
      </c>
      <c r="W33" s="11">
        <v>5</v>
      </c>
      <c r="X33" s="11" t="s">
        <v>2247</v>
      </c>
      <c r="Z33" s="11" t="s">
        <v>3317</v>
      </c>
      <c r="AF33" s="162" t="s">
        <v>3183</v>
      </c>
      <c r="AH33" s="11">
        <v>0</v>
      </c>
      <c r="AI33" s="11" t="s">
        <v>235</v>
      </c>
      <c r="AJ33" s="11">
        <v>0</v>
      </c>
      <c r="AK33" s="11" t="s">
        <v>252</v>
      </c>
      <c r="AM33" s="11">
        <v>46687.861382399999</v>
      </c>
      <c r="AN33" s="11">
        <v>9343.1303552160007</v>
      </c>
      <c r="AO33" s="11">
        <v>1194692.8499999999</v>
      </c>
      <c r="AP33" s="13">
        <v>1</v>
      </c>
      <c r="AQ33" s="13">
        <v>1</v>
      </c>
      <c r="AR33" s="13">
        <v>0</v>
      </c>
      <c r="AS33" s="13">
        <v>0</v>
      </c>
      <c r="AT33" s="13">
        <v>0</v>
      </c>
      <c r="AU33" s="13">
        <v>0</v>
      </c>
      <c r="AV33" s="13">
        <v>0</v>
      </c>
      <c r="AW33" s="13">
        <v>0</v>
      </c>
      <c r="AX33" s="13">
        <v>0</v>
      </c>
      <c r="AY33" s="13">
        <v>0</v>
      </c>
      <c r="AZ33" s="13">
        <v>0</v>
      </c>
      <c r="BA33" s="13">
        <v>0.5</v>
      </c>
      <c r="BB33" s="13">
        <v>0.5</v>
      </c>
      <c r="BC33" s="13">
        <v>0</v>
      </c>
      <c r="BD33" s="13">
        <v>0</v>
      </c>
      <c r="BE33" s="13">
        <v>0</v>
      </c>
      <c r="BF33" s="13">
        <v>0</v>
      </c>
      <c r="BG33" s="13">
        <v>0</v>
      </c>
      <c r="BH33" s="13">
        <v>0</v>
      </c>
      <c r="BI33" s="13">
        <v>0</v>
      </c>
      <c r="BJ33" s="13">
        <v>0</v>
      </c>
      <c r="BK33" s="13">
        <v>0</v>
      </c>
      <c r="BL33" s="13">
        <v>1</v>
      </c>
      <c r="BM33" s="11" t="s">
        <v>2249</v>
      </c>
      <c r="BP33" s="13" t="s">
        <v>410</v>
      </c>
    </row>
    <row r="34" spans="2:68" s="11" customFormat="1" x14ac:dyDescent="0.15">
      <c r="B34" s="11" t="s">
        <v>1737</v>
      </c>
      <c r="C34" s="13" t="s">
        <v>2250</v>
      </c>
      <c r="E34" s="11" t="s">
        <v>2251</v>
      </c>
      <c r="F34" s="11">
        <v>1</v>
      </c>
      <c r="G34" s="11">
        <v>13</v>
      </c>
      <c r="I34" s="11">
        <v>10</v>
      </c>
      <c r="J34" s="11">
        <v>2</v>
      </c>
      <c r="K34" s="11">
        <v>1</v>
      </c>
      <c r="L34" s="11" t="s">
        <v>235</v>
      </c>
      <c r="M34" s="11" t="s">
        <v>255</v>
      </c>
      <c r="O34" s="11" t="s">
        <v>258</v>
      </c>
      <c r="P34" s="13">
        <v>0</v>
      </c>
      <c r="R34" s="11">
        <v>32771.732641433271</v>
      </c>
      <c r="U34" s="11" t="s">
        <v>254</v>
      </c>
      <c r="V34" s="11" t="s">
        <v>253</v>
      </c>
      <c r="W34" s="11">
        <v>5</v>
      </c>
      <c r="X34" s="11" t="s">
        <v>2252</v>
      </c>
      <c r="Z34" s="13" t="s">
        <v>2253</v>
      </c>
      <c r="AA34" s="13"/>
      <c r="AB34" s="13"/>
      <c r="AD34" s="13"/>
      <c r="AF34" s="162" t="s">
        <v>2254</v>
      </c>
      <c r="AH34" s="11">
        <v>0</v>
      </c>
      <c r="AI34" s="11" t="s">
        <v>235</v>
      </c>
      <c r="AJ34" s="11">
        <v>0</v>
      </c>
      <c r="AK34" s="11" t="s">
        <v>252</v>
      </c>
      <c r="AM34" s="13">
        <v>32771.732641433271</v>
      </c>
      <c r="AN34" s="11">
        <v>9846.3982104576007</v>
      </c>
      <c r="AO34" s="11">
        <v>1286592.2999999998</v>
      </c>
      <c r="AP34" s="13">
        <v>1</v>
      </c>
      <c r="AQ34" s="13">
        <v>1</v>
      </c>
      <c r="AR34" s="13">
        <v>0</v>
      </c>
      <c r="AS34" s="13">
        <v>0</v>
      </c>
      <c r="AT34" s="13">
        <v>0</v>
      </c>
      <c r="AU34" s="13">
        <v>0</v>
      </c>
      <c r="AV34" s="13">
        <v>0</v>
      </c>
      <c r="AW34" s="13">
        <v>0</v>
      </c>
      <c r="AX34" s="13">
        <v>0</v>
      </c>
      <c r="AY34" s="13">
        <v>0</v>
      </c>
      <c r="AZ34" s="13">
        <v>0</v>
      </c>
      <c r="BA34" s="13">
        <v>0.6</v>
      </c>
      <c r="BB34" s="13">
        <v>0.6</v>
      </c>
      <c r="BC34" s="13">
        <v>0</v>
      </c>
      <c r="BD34" s="13">
        <v>0</v>
      </c>
      <c r="BE34" s="13">
        <v>0</v>
      </c>
      <c r="BF34" s="13">
        <v>0</v>
      </c>
      <c r="BG34" s="13">
        <v>0</v>
      </c>
      <c r="BH34" s="13">
        <v>0</v>
      </c>
      <c r="BI34" s="13">
        <v>0</v>
      </c>
      <c r="BJ34" s="13">
        <v>0</v>
      </c>
      <c r="BK34" s="13">
        <v>0</v>
      </c>
      <c r="BL34" s="13">
        <v>1</v>
      </c>
      <c r="BM34" s="11" t="s">
        <v>2255</v>
      </c>
      <c r="BP34" s="11" t="s">
        <v>410</v>
      </c>
    </row>
    <row r="35" spans="2:68" s="11" customFormat="1" x14ac:dyDescent="0.15">
      <c r="B35" s="11" t="s">
        <v>1744</v>
      </c>
      <c r="C35" s="13" t="s">
        <v>2250</v>
      </c>
      <c r="E35" s="11" t="s">
        <v>2251</v>
      </c>
      <c r="F35" s="11">
        <v>1</v>
      </c>
      <c r="G35" s="11">
        <v>13</v>
      </c>
      <c r="I35" s="11">
        <v>10</v>
      </c>
      <c r="J35" s="11">
        <v>2</v>
      </c>
      <c r="K35" s="11">
        <v>1</v>
      </c>
      <c r="L35" s="11" t="s">
        <v>235</v>
      </c>
      <c r="M35" s="11" t="s">
        <v>255</v>
      </c>
      <c r="O35" s="11" t="s">
        <v>258</v>
      </c>
      <c r="P35" s="13">
        <v>0</v>
      </c>
      <c r="R35" s="11">
        <v>32771.732641433271</v>
      </c>
      <c r="U35" s="11" t="s">
        <v>254</v>
      </c>
      <c r="V35" s="11" t="s">
        <v>253</v>
      </c>
      <c r="W35" s="11">
        <v>5</v>
      </c>
      <c r="X35" s="11" t="s">
        <v>2252</v>
      </c>
      <c r="Z35" s="11" t="s">
        <v>2253</v>
      </c>
      <c r="AF35" s="162" t="s">
        <v>3065</v>
      </c>
      <c r="AH35" s="11">
        <v>0</v>
      </c>
      <c r="AI35" s="11" t="s">
        <v>235</v>
      </c>
      <c r="AJ35" s="11">
        <v>0</v>
      </c>
      <c r="AK35" s="11" t="s">
        <v>252</v>
      </c>
      <c r="AM35" s="11">
        <v>32771.732641433271</v>
      </c>
      <c r="AN35" s="11">
        <v>9846.3982104576007</v>
      </c>
      <c r="AO35" s="11">
        <v>1286592.2999999998</v>
      </c>
      <c r="AP35" s="13">
        <v>1</v>
      </c>
      <c r="AQ35" s="13">
        <v>1</v>
      </c>
      <c r="AR35" s="13">
        <v>0</v>
      </c>
      <c r="AS35" s="13">
        <v>0</v>
      </c>
      <c r="AT35" s="13">
        <v>0</v>
      </c>
      <c r="AU35" s="13">
        <v>0</v>
      </c>
      <c r="AV35" s="13">
        <v>0</v>
      </c>
      <c r="AW35" s="13">
        <v>0</v>
      </c>
      <c r="AX35" s="13">
        <v>0</v>
      </c>
      <c r="AY35" s="13">
        <v>0</v>
      </c>
      <c r="AZ35" s="13">
        <v>0</v>
      </c>
      <c r="BA35" s="13">
        <v>0.3</v>
      </c>
      <c r="BB35" s="13">
        <v>0.3</v>
      </c>
      <c r="BC35" s="13">
        <v>0</v>
      </c>
      <c r="BD35" s="13">
        <v>0</v>
      </c>
      <c r="BE35" s="13">
        <v>0</v>
      </c>
      <c r="BF35" s="13">
        <v>0</v>
      </c>
      <c r="BG35" s="13">
        <v>0</v>
      </c>
      <c r="BH35" s="13">
        <v>0</v>
      </c>
      <c r="BI35" s="13">
        <v>0</v>
      </c>
      <c r="BJ35" s="13">
        <v>0</v>
      </c>
      <c r="BK35" s="13">
        <v>0</v>
      </c>
      <c r="BL35" s="13">
        <v>1</v>
      </c>
      <c r="BM35" s="11" t="s">
        <v>2255</v>
      </c>
      <c r="BP35" s="11" t="s">
        <v>410</v>
      </c>
    </row>
    <row r="36" spans="2:68" s="11" customFormat="1" x14ac:dyDescent="0.15">
      <c r="B36" s="11" t="s">
        <v>1751</v>
      </c>
      <c r="C36" s="13" t="s">
        <v>2256</v>
      </c>
      <c r="E36" s="11" t="s">
        <v>2257</v>
      </c>
      <c r="F36" s="11">
        <v>0</v>
      </c>
      <c r="G36" s="11">
        <v>14</v>
      </c>
      <c r="I36" s="11">
        <v>10</v>
      </c>
      <c r="J36" s="11">
        <v>2</v>
      </c>
      <c r="K36" s="11">
        <v>1</v>
      </c>
      <c r="L36" s="11" t="s">
        <v>235</v>
      </c>
      <c r="M36" s="11" t="s">
        <v>255</v>
      </c>
      <c r="O36" s="11" t="s">
        <v>855</v>
      </c>
      <c r="P36" s="13">
        <v>0</v>
      </c>
      <c r="R36" s="11">
        <v>49769.01188456473</v>
      </c>
      <c r="U36" s="11" t="s">
        <v>254</v>
      </c>
      <c r="V36" s="11" t="s">
        <v>253</v>
      </c>
      <c r="W36" s="11">
        <v>5</v>
      </c>
      <c r="X36" s="11" t="s">
        <v>2258</v>
      </c>
      <c r="Z36" s="11" t="s">
        <v>2259</v>
      </c>
      <c r="AF36" s="162" t="s">
        <v>3067</v>
      </c>
      <c r="AH36" s="11">
        <v>0</v>
      </c>
      <c r="AI36" s="11" t="s">
        <v>235</v>
      </c>
      <c r="AJ36" s="11">
        <v>0</v>
      </c>
      <c r="AK36" s="11" t="s">
        <v>252</v>
      </c>
      <c r="AM36" s="11">
        <v>49769.01188456473</v>
      </c>
      <c r="AN36" s="11">
        <v>12007.80269568</v>
      </c>
      <c r="AO36" s="11">
        <v>810553.14899999998</v>
      </c>
      <c r="AP36" s="13">
        <v>1</v>
      </c>
      <c r="AQ36" s="13">
        <v>1</v>
      </c>
      <c r="AR36" s="13">
        <v>0</v>
      </c>
      <c r="AS36" s="13">
        <v>0</v>
      </c>
      <c r="AT36" s="13">
        <v>0</v>
      </c>
      <c r="AU36" s="13">
        <v>0</v>
      </c>
      <c r="AV36" s="13">
        <v>0</v>
      </c>
      <c r="AW36" s="13">
        <v>0</v>
      </c>
      <c r="AX36" s="13">
        <v>0</v>
      </c>
      <c r="AY36" s="13">
        <v>0</v>
      </c>
      <c r="AZ36" s="13">
        <v>0</v>
      </c>
      <c r="BA36" s="13">
        <v>0.3</v>
      </c>
      <c r="BB36" s="13">
        <v>0.3</v>
      </c>
      <c r="BC36" s="13">
        <v>0</v>
      </c>
      <c r="BD36" s="13">
        <v>0</v>
      </c>
      <c r="BE36" s="13">
        <v>0</v>
      </c>
      <c r="BF36" s="13">
        <v>0</v>
      </c>
      <c r="BG36" s="13">
        <v>0</v>
      </c>
      <c r="BH36" s="13">
        <v>0</v>
      </c>
      <c r="BI36" s="13">
        <v>0</v>
      </c>
      <c r="BJ36" s="13">
        <v>0</v>
      </c>
      <c r="BK36" s="13">
        <v>0</v>
      </c>
      <c r="BL36" s="13">
        <v>1</v>
      </c>
      <c r="BM36" s="11" t="s">
        <v>2261</v>
      </c>
      <c r="BP36" s="11" t="s">
        <v>410</v>
      </c>
    </row>
    <row r="37" spans="2:68" s="11" customFormat="1" x14ac:dyDescent="0.15">
      <c r="B37" s="11" t="s">
        <v>1758</v>
      </c>
      <c r="C37" s="13" t="s">
        <v>2256</v>
      </c>
      <c r="E37" s="11" t="s">
        <v>2257</v>
      </c>
      <c r="F37" s="11">
        <v>0</v>
      </c>
      <c r="G37" s="11">
        <v>14</v>
      </c>
      <c r="I37" s="11">
        <v>10</v>
      </c>
      <c r="J37" s="11">
        <v>2</v>
      </c>
      <c r="K37" s="11">
        <v>1</v>
      </c>
      <c r="L37" s="11" t="s">
        <v>235</v>
      </c>
      <c r="M37" s="11" t="s">
        <v>255</v>
      </c>
      <c r="O37" s="11" t="s">
        <v>258</v>
      </c>
      <c r="P37" s="11">
        <v>0</v>
      </c>
      <c r="R37" s="11">
        <v>57172.846079844021</v>
      </c>
      <c r="U37" s="11" t="s">
        <v>254</v>
      </c>
      <c r="V37" s="11" t="s">
        <v>253</v>
      </c>
      <c r="W37" s="11">
        <v>5</v>
      </c>
      <c r="X37" s="11" t="s">
        <v>2258</v>
      </c>
      <c r="Z37" s="11" t="s">
        <v>2259</v>
      </c>
      <c r="AF37" s="162" t="s">
        <v>3165</v>
      </c>
      <c r="AH37" s="11">
        <v>0</v>
      </c>
      <c r="AI37" s="11" t="s">
        <v>235</v>
      </c>
      <c r="AJ37" s="11">
        <v>0</v>
      </c>
      <c r="AK37" s="11" t="s">
        <v>252</v>
      </c>
      <c r="AM37" s="13">
        <v>37162.349951898614</v>
      </c>
      <c r="AN37" s="13">
        <v>13780.506326400002</v>
      </c>
      <c r="AO37" s="13">
        <v>907047.57149999996</v>
      </c>
      <c r="AP37" s="13">
        <v>1</v>
      </c>
      <c r="AQ37" s="13">
        <v>1</v>
      </c>
      <c r="AR37" s="13">
        <v>0</v>
      </c>
      <c r="AS37" s="13">
        <v>0</v>
      </c>
      <c r="AT37" s="13">
        <v>0</v>
      </c>
      <c r="AU37" s="13">
        <v>0</v>
      </c>
      <c r="AV37" s="13">
        <v>0</v>
      </c>
      <c r="AW37" s="13">
        <v>0</v>
      </c>
      <c r="AX37" s="13">
        <v>0</v>
      </c>
      <c r="AY37" s="13">
        <v>0</v>
      </c>
      <c r="AZ37" s="13">
        <v>0</v>
      </c>
      <c r="BA37" s="13">
        <v>0.5</v>
      </c>
      <c r="BB37" s="13">
        <v>0.5</v>
      </c>
      <c r="BC37" s="13">
        <v>0</v>
      </c>
      <c r="BD37" s="13">
        <v>0</v>
      </c>
      <c r="BE37" s="13">
        <v>0</v>
      </c>
      <c r="BF37" s="13">
        <v>0</v>
      </c>
      <c r="BG37" s="13">
        <v>0</v>
      </c>
      <c r="BH37" s="13">
        <v>0</v>
      </c>
      <c r="BI37" s="13">
        <v>0</v>
      </c>
      <c r="BJ37" s="13">
        <v>0</v>
      </c>
      <c r="BK37" s="13">
        <v>0</v>
      </c>
      <c r="BL37" s="13">
        <v>1</v>
      </c>
      <c r="BM37" s="11" t="s">
        <v>2261</v>
      </c>
      <c r="BP37" s="11" t="s">
        <v>410</v>
      </c>
    </row>
    <row r="38" spans="2:68" s="11" customFormat="1" x14ac:dyDescent="0.15">
      <c r="B38" s="11" t="s">
        <v>1765</v>
      </c>
      <c r="C38" s="13" t="s">
        <v>2256</v>
      </c>
      <c r="E38" s="11" t="s">
        <v>2257</v>
      </c>
      <c r="F38" s="11">
        <v>0</v>
      </c>
      <c r="G38" s="11">
        <v>14</v>
      </c>
      <c r="I38" s="11">
        <v>10</v>
      </c>
      <c r="J38" s="11">
        <v>2</v>
      </c>
      <c r="K38" s="11">
        <v>1</v>
      </c>
      <c r="L38" s="11" t="s">
        <v>235</v>
      </c>
      <c r="M38" s="11" t="s">
        <v>255</v>
      </c>
      <c r="O38" s="11" t="s">
        <v>258</v>
      </c>
      <c r="P38" s="11">
        <v>0</v>
      </c>
      <c r="R38" s="11">
        <v>57172.846079844021</v>
      </c>
      <c r="U38" s="11" t="s">
        <v>254</v>
      </c>
      <c r="V38" s="11" t="s">
        <v>253</v>
      </c>
      <c r="W38" s="11">
        <v>5</v>
      </c>
      <c r="X38" s="11" t="s">
        <v>2258</v>
      </c>
      <c r="Z38" s="11" t="s">
        <v>2259</v>
      </c>
      <c r="AF38" s="162" t="s">
        <v>3165</v>
      </c>
      <c r="AH38" s="11">
        <v>0</v>
      </c>
      <c r="AI38" s="11" t="s">
        <v>235</v>
      </c>
      <c r="AJ38" s="11">
        <v>0</v>
      </c>
      <c r="AK38" s="11" t="s">
        <v>252</v>
      </c>
      <c r="AM38" s="11">
        <v>37162.349951898614</v>
      </c>
      <c r="AN38" s="11">
        <v>13780.506326400002</v>
      </c>
      <c r="AO38" s="42">
        <v>907047.57149999996</v>
      </c>
      <c r="AP38" s="13">
        <v>1</v>
      </c>
      <c r="AQ38" s="13">
        <v>1</v>
      </c>
      <c r="AR38" s="13">
        <v>0</v>
      </c>
      <c r="AS38" s="13">
        <v>0</v>
      </c>
      <c r="AT38" s="13">
        <v>0</v>
      </c>
      <c r="AU38" s="13">
        <v>0</v>
      </c>
      <c r="AV38" s="13">
        <v>0</v>
      </c>
      <c r="AW38" s="13">
        <v>0</v>
      </c>
      <c r="AX38" s="13">
        <v>0</v>
      </c>
      <c r="AY38" s="13">
        <v>0</v>
      </c>
      <c r="AZ38" s="13">
        <v>0</v>
      </c>
      <c r="BA38" s="13">
        <v>0.5</v>
      </c>
      <c r="BB38" s="13">
        <v>0.5</v>
      </c>
      <c r="BC38" s="13">
        <v>0</v>
      </c>
      <c r="BD38" s="13">
        <v>0</v>
      </c>
      <c r="BE38" s="13">
        <v>0</v>
      </c>
      <c r="BF38" s="13">
        <v>0</v>
      </c>
      <c r="BG38" s="13">
        <v>0</v>
      </c>
      <c r="BH38" s="13">
        <v>0</v>
      </c>
      <c r="BI38" s="13">
        <v>0</v>
      </c>
      <c r="BJ38" s="13">
        <v>0</v>
      </c>
      <c r="BK38" s="13">
        <v>0</v>
      </c>
      <c r="BL38" s="13">
        <v>1</v>
      </c>
      <c r="BM38" s="11" t="s">
        <v>2261</v>
      </c>
      <c r="BP38" s="11" t="s">
        <v>251</v>
      </c>
    </row>
    <row r="39" spans="2:68" s="11" customFormat="1" x14ac:dyDescent="0.15">
      <c r="B39" s="11" t="s">
        <v>1771</v>
      </c>
      <c r="C39" s="11" t="s">
        <v>2256</v>
      </c>
      <c r="E39" s="11" t="s">
        <v>2257</v>
      </c>
      <c r="F39" s="11">
        <v>0</v>
      </c>
      <c r="G39" s="11">
        <v>14</v>
      </c>
      <c r="I39" s="11">
        <v>10</v>
      </c>
      <c r="J39" s="11">
        <v>2</v>
      </c>
      <c r="K39" s="11">
        <v>1</v>
      </c>
      <c r="L39" s="11" t="s">
        <v>235</v>
      </c>
      <c r="M39" s="11" t="s">
        <v>255</v>
      </c>
      <c r="O39" s="11" t="s">
        <v>258</v>
      </c>
      <c r="P39" s="11">
        <v>0</v>
      </c>
      <c r="R39" s="11">
        <v>57172.846079844021</v>
      </c>
      <c r="U39" s="11" t="s">
        <v>254</v>
      </c>
      <c r="V39" s="11" t="s">
        <v>253</v>
      </c>
      <c r="W39" s="11">
        <v>5</v>
      </c>
      <c r="X39" s="11" t="s">
        <v>2258</v>
      </c>
      <c r="Z39" s="11" t="s">
        <v>2259</v>
      </c>
      <c r="AF39" s="11" t="s">
        <v>2260</v>
      </c>
      <c r="AH39" s="11">
        <v>0</v>
      </c>
      <c r="AI39" s="11" t="s">
        <v>235</v>
      </c>
      <c r="AJ39" s="11">
        <v>0</v>
      </c>
      <c r="AK39" s="11" t="s">
        <v>252</v>
      </c>
      <c r="AM39" s="11">
        <v>57172.846079844021</v>
      </c>
      <c r="AN39" s="11">
        <v>13780.506326400002</v>
      </c>
      <c r="AO39" s="11">
        <v>907047.57149999996</v>
      </c>
      <c r="AP39" s="13">
        <v>1</v>
      </c>
      <c r="AQ39" s="13">
        <v>1</v>
      </c>
      <c r="AR39" s="13">
        <v>0</v>
      </c>
      <c r="AS39" s="13">
        <v>0</v>
      </c>
      <c r="AT39" s="13">
        <v>0</v>
      </c>
      <c r="AU39" s="13">
        <v>0</v>
      </c>
      <c r="AV39" s="13">
        <v>0</v>
      </c>
      <c r="AW39" s="13">
        <v>0</v>
      </c>
      <c r="AX39" s="13">
        <v>0</v>
      </c>
      <c r="AY39" s="13">
        <v>0</v>
      </c>
      <c r="AZ39" s="13">
        <v>0</v>
      </c>
      <c r="BA39" s="13">
        <v>1</v>
      </c>
      <c r="BB39" s="13">
        <v>1</v>
      </c>
      <c r="BC39" s="13">
        <v>0</v>
      </c>
      <c r="BD39" s="13">
        <v>0</v>
      </c>
      <c r="BE39" s="13">
        <v>0</v>
      </c>
      <c r="BF39" s="13">
        <v>0</v>
      </c>
      <c r="BG39" s="13">
        <v>0</v>
      </c>
      <c r="BH39" s="13">
        <v>0</v>
      </c>
      <c r="BI39" s="13">
        <v>0</v>
      </c>
      <c r="BJ39" s="13">
        <v>0</v>
      </c>
      <c r="BK39" s="13">
        <v>0</v>
      </c>
      <c r="BL39" s="13">
        <v>1</v>
      </c>
      <c r="BM39" s="11" t="s">
        <v>2261</v>
      </c>
      <c r="BP39" s="11" t="s">
        <v>410</v>
      </c>
    </row>
    <row r="40" spans="2:68" s="11" customFormat="1" x14ac:dyDescent="0.15">
      <c r="B40" s="11" t="s">
        <v>1777</v>
      </c>
      <c r="C40" s="11" t="s">
        <v>2256</v>
      </c>
      <c r="E40" s="11" t="s">
        <v>2257</v>
      </c>
      <c r="F40" s="11">
        <v>0</v>
      </c>
      <c r="G40" s="11">
        <v>14</v>
      </c>
      <c r="I40" s="11">
        <v>10</v>
      </c>
      <c r="J40" s="11">
        <v>2</v>
      </c>
      <c r="K40" s="11">
        <v>1</v>
      </c>
      <c r="L40" s="11" t="s">
        <v>235</v>
      </c>
      <c r="M40" s="11" t="s">
        <v>255</v>
      </c>
      <c r="O40" s="11" t="s">
        <v>258</v>
      </c>
      <c r="P40" s="11">
        <v>0</v>
      </c>
      <c r="R40" s="11">
        <v>57172.846079844021</v>
      </c>
      <c r="U40" s="11" t="s">
        <v>254</v>
      </c>
      <c r="V40" s="11" t="s">
        <v>253</v>
      </c>
      <c r="W40" s="11">
        <v>5</v>
      </c>
      <c r="X40" s="11" t="s">
        <v>2258</v>
      </c>
      <c r="Z40" s="11" t="s">
        <v>2259</v>
      </c>
      <c r="AF40" s="11" t="s">
        <v>2260</v>
      </c>
      <c r="AH40" s="11">
        <v>0</v>
      </c>
      <c r="AI40" s="11" t="s">
        <v>235</v>
      </c>
      <c r="AJ40" s="11">
        <v>0</v>
      </c>
      <c r="AK40" s="11" t="s">
        <v>252</v>
      </c>
      <c r="AM40" s="11">
        <v>57172.846079844021</v>
      </c>
      <c r="AN40" s="11">
        <v>13780.506326400002</v>
      </c>
      <c r="AO40" s="11">
        <v>907047.57149999996</v>
      </c>
      <c r="AP40" s="13">
        <v>1</v>
      </c>
      <c r="AQ40" s="13">
        <v>1</v>
      </c>
      <c r="AR40" s="13">
        <v>0</v>
      </c>
      <c r="AS40" s="13">
        <v>0</v>
      </c>
      <c r="AT40" s="13">
        <v>0</v>
      </c>
      <c r="AU40" s="13">
        <v>0</v>
      </c>
      <c r="AV40" s="13">
        <v>0</v>
      </c>
      <c r="AW40" s="13">
        <v>0</v>
      </c>
      <c r="AX40" s="13">
        <v>0</v>
      </c>
      <c r="AY40" s="13">
        <v>0</v>
      </c>
      <c r="AZ40" s="13">
        <v>0</v>
      </c>
      <c r="BA40" s="13">
        <v>1</v>
      </c>
      <c r="BB40" s="13">
        <v>1</v>
      </c>
      <c r="BC40" s="13">
        <v>0</v>
      </c>
      <c r="BD40" s="13">
        <v>0</v>
      </c>
      <c r="BE40" s="13">
        <v>0</v>
      </c>
      <c r="BF40" s="13">
        <v>0</v>
      </c>
      <c r="BG40" s="13">
        <v>0</v>
      </c>
      <c r="BH40" s="13">
        <v>0</v>
      </c>
      <c r="BI40" s="13">
        <v>0</v>
      </c>
      <c r="BJ40" s="13">
        <v>0</v>
      </c>
      <c r="BK40" s="13">
        <v>0</v>
      </c>
      <c r="BL40" s="13">
        <v>1</v>
      </c>
      <c r="BM40" s="11" t="s">
        <v>2261</v>
      </c>
      <c r="BP40" s="11" t="s">
        <v>410</v>
      </c>
    </row>
    <row r="41" spans="2:68" s="11" customFormat="1" x14ac:dyDescent="0.15">
      <c r="B41" s="11" t="s">
        <v>1783</v>
      </c>
      <c r="C41" s="11" t="s">
        <v>2256</v>
      </c>
      <c r="E41" s="11" t="s">
        <v>2257</v>
      </c>
      <c r="F41" s="11">
        <v>0</v>
      </c>
      <c r="G41" s="11">
        <v>14</v>
      </c>
      <c r="I41" s="11">
        <v>10</v>
      </c>
      <c r="J41" s="11">
        <v>2</v>
      </c>
      <c r="K41" s="11">
        <v>1</v>
      </c>
      <c r="L41" s="11" t="s">
        <v>235</v>
      </c>
      <c r="M41" s="11" t="s">
        <v>255</v>
      </c>
      <c r="O41" s="11" t="s">
        <v>258</v>
      </c>
      <c r="P41" s="11">
        <v>0</v>
      </c>
      <c r="R41" s="11">
        <v>57172.846079844021</v>
      </c>
      <c r="U41" s="11" t="s">
        <v>254</v>
      </c>
      <c r="V41" s="11" t="s">
        <v>253</v>
      </c>
      <c r="W41" s="11">
        <v>5</v>
      </c>
      <c r="X41" s="11" t="s">
        <v>2258</v>
      </c>
      <c r="Z41" s="11" t="s">
        <v>2259</v>
      </c>
      <c r="AF41" s="162" t="s">
        <v>3165</v>
      </c>
      <c r="AH41" s="11">
        <v>0</v>
      </c>
      <c r="AI41" s="11" t="s">
        <v>235</v>
      </c>
      <c r="AJ41" s="11">
        <v>0</v>
      </c>
      <c r="AK41" s="11" t="s">
        <v>252</v>
      </c>
      <c r="AM41" s="11">
        <v>57172.846079844021</v>
      </c>
      <c r="AN41" s="11">
        <v>13780.506326400002</v>
      </c>
      <c r="AO41" s="11">
        <v>907047.57149999996</v>
      </c>
      <c r="AP41" s="13">
        <v>1</v>
      </c>
      <c r="AQ41" s="13">
        <v>1</v>
      </c>
      <c r="AR41" s="13">
        <v>0</v>
      </c>
      <c r="AS41" s="13">
        <v>0</v>
      </c>
      <c r="AT41" s="13">
        <v>0</v>
      </c>
      <c r="AU41" s="13">
        <v>0</v>
      </c>
      <c r="AV41" s="13">
        <v>0</v>
      </c>
      <c r="AW41" s="13">
        <v>0</v>
      </c>
      <c r="AX41" s="13">
        <v>0</v>
      </c>
      <c r="AY41" s="13">
        <v>0</v>
      </c>
      <c r="AZ41" s="13">
        <v>0</v>
      </c>
      <c r="BA41" s="13">
        <v>0.5</v>
      </c>
      <c r="BB41" s="13">
        <v>0.5</v>
      </c>
      <c r="BC41" s="13">
        <v>0</v>
      </c>
      <c r="BD41" s="13">
        <v>0</v>
      </c>
      <c r="BE41" s="13">
        <v>0</v>
      </c>
      <c r="BF41" s="13">
        <v>0</v>
      </c>
      <c r="BG41" s="13">
        <v>0</v>
      </c>
      <c r="BH41" s="13">
        <v>0</v>
      </c>
      <c r="BI41" s="13">
        <v>0</v>
      </c>
      <c r="BJ41" s="13">
        <v>0</v>
      </c>
      <c r="BK41" s="13">
        <v>0</v>
      </c>
      <c r="BL41" s="13">
        <v>1</v>
      </c>
      <c r="BM41" s="11" t="s">
        <v>2261</v>
      </c>
      <c r="BP41" s="11" t="s">
        <v>251</v>
      </c>
    </row>
    <row r="42" spans="2:68" s="11" customFormat="1" x14ac:dyDescent="0.15">
      <c r="AP42" s="13"/>
      <c r="AQ42" s="13"/>
      <c r="AR42" s="13"/>
      <c r="AS42" s="13"/>
      <c r="AT42" s="13"/>
      <c r="AU42" s="13"/>
      <c r="AV42" s="13"/>
      <c r="AW42" s="13"/>
      <c r="AX42" s="13"/>
      <c r="AY42" s="13"/>
      <c r="AZ42" s="13"/>
      <c r="BA42" s="13"/>
      <c r="BB42" s="13"/>
      <c r="BC42" s="13"/>
      <c r="BD42" s="13"/>
      <c r="BE42" s="13"/>
      <c r="BF42" s="13"/>
      <c r="BG42" s="13"/>
      <c r="BH42" s="13"/>
      <c r="BI42" s="13"/>
      <c r="BJ42" s="13"/>
      <c r="BK42" s="13"/>
      <c r="BL42" s="13"/>
    </row>
    <row r="43" spans="2:68" s="11" customFormat="1" x14ac:dyDescent="0.15">
      <c r="H43" s="11" t="s">
        <v>1104</v>
      </c>
    </row>
  </sheetData>
  <autoFilter ref="A6:BQ41" xr:uid="{04AE9AAB-C064-486D-AA58-A1E10144ACC5}"/>
  <phoneticPr fontId="11" type="noConversion"/>
  <pageMargins left="0.7" right="0.7" top="0.75" bottom="0.75" header="0.3" footer="0.3"/>
  <pageSetup paperSize="9" orientation="portrait" verticalDpi="0" r:id="rId1"/>
  <legacy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0B2415-3D37-49B6-A53A-5361451ADC90}">
  <sheetPr codeName="Sheet2">
    <tabColor theme="2"/>
  </sheetPr>
  <dimension ref="A1:BS628"/>
  <sheetViews>
    <sheetView zoomScaleNormal="100" workbookViewId="0">
      <pane xSplit="5" ySplit="6" topLeftCell="F7" activePane="bottomRight" state="frozen"/>
      <selection activeCell="L32" sqref="L32"/>
      <selection pane="topRight" activeCell="L32" sqref="L32"/>
      <selection pane="bottomLeft" activeCell="L32" sqref="L32"/>
      <selection pane="bottomRight"/>
    </sheetView>
  </sheetViews>
  <sheetFormatPr defaultColWidth="10.875" defaultRowHeight="13.5" x14ac:dyDescent="0.15"/>
  <cols>
    <col min="1" max="1" width="20.5" style="41" bestFit="1" customWidth="1"/>
    <col min="2" max="2" width="21.625" style="41" bestFit="1" customWidth="1"/>
    <col min="3" max="3" width="13.625" style="41" customWidth="1"/>
    <col min="4" max="15" width="10.875" style="41"/>
    <col min="16" max="16" width="22.375" style="41" bestFit="1" customWidth="1"/>
    <col min="17" max="25" width="10.875" style="41"/>
    <col min="26" max="26" width="59.875" style="41" bestFit="1" customWidth="1"/>
    <col min="27" max="31" width="10.875" style="41"/>
    <col min="32" max="32" width="26" style="41" bestFit="1" customWidth="1"/>
    <col min="33" max="33" width="10.875" style="41"/>
    <col min="34" max="34" width="49.125" style="41" bestFit="1" customWidth="1"/>
    <col min="35" max="16384" width="10.875" style="41"/>
  </cols>
  <sheetData>
    <row r="1" spans="1:71" ht="17.25" x14ac:dyDescent="0.15">
      <c r="A1" s="79" t="s">
        <v>739</v>
      </c>
      <c r="B1" s="50" t="s">
        <v>3304</v>
      </c>
    </row>
    <row r="2" spans="1:71" s="40" customFormat="1" ht="14.25" x14ac:dyDescent="0.15">
      <c r="A2" s="40" t="s">
        <v>70</v>
      </c>
      <c r="B2" s="47" t="s">
        <v>123</v>
      </c>
      <c r="C2" s="47" t="s">
        <v>393</v>
      </c>
      <c r="D2" s="49" t="s">
        <v>241</v>
      </c>
      <c r="E2" s="47" t="s">
        <v>392</v>
      </c>
      <c r="F2" s="47" t="s">
        <v>443</v>
      </c>
      <c r="G2" s="47" t="s">
        <v>391</v>
      </c>
      <c r="H2" s="47" t="s">
        <v>390</v>
      </c>
      <c r="I2" s="16" t="s">
        <v>240</v>
      </c>
      <c r="J2" s="47" t="s">
        <v>239</v>
      </c>
      <c r="K2" s="47" t="s">
        <v>389</v>
      </c>
      <c r="L2" s="47" t="s">
        <v>388</v>
      </c>
      <c r="M2" s="47" t="s">
        <v>378</v>
      </c>
      <c r="N2" s="47" t="s">
        <v>377</v>
      </c>
      <c r="O2" s="47" t="s">
        <v>376</v>
      </c>
      <c r="P2" s="47" t="s">
        <v>442</v>
      </c>
      <c r="Q2" s="47" t="s">
        <v>375</v>
      </c>
      <c r="R2" s="47" t="s">
        <v>441</v>
      </c>
      <c r="S2" s="47" t="s">
        <v>374</v>
      </c>
      <c r="T2" s="47" t="s">
        <v>440</v>
      </c>
      <c r="U2" s="47" t="s">
        <v>439</v>
      </c>
      <c r="V2" s="47" t="s">
        <v>438</v>
      </c>
      <c r="W2" s="47" t="s">
        <v>370</v>
      </c>
      <c r="X2" s="47" t="s">
        <v>369</v>
      </c>
      <c r="Y2" s="47" t="s">
        <v>368</v>
      </c>
      <c r="Z2" s="47" t="s">
        <v>367</v>
      </c>
      <c r="AA2" s="47" t="s">
        <v>437</v>
      </c>
      <c r="AB2" s="48" t="s">
        <v>365</v>
      </c>
      <c r="AC2" s="47" t="s">
        <v>436</v>
      </c>
      <c r="AD2" s="47" t="s">
        <v>435</v>
      </c>
      <c r="AE2" s="47" t="s">
        <v>434</v>
      </c>
      <c r="AF2" s="48" t="s">
        <v>386</v>
      </c>
      <c r="AG2" s="47" t="s">
        <v>385</v>
      </c>
      <c r="AH2" s="47" t="s">
        <v>384</v>
      </c>
      <c r="AI2" s="48" t="s">
        <v>383</v>
      </c>
      <c r="AJ2" s="47" t="s">
        <v>433</v>
      </c>
      <c r="AK2" s="47" t="s">
        <v>381</v>
      </c>
      <c r="AL2" s="48" t="s">
        <v>380</v>
      </c>
      <c r="AM2" s="48" t="s">
        <v>379</v>
      </c>
      <c r="AN2" s="47" t="s">
        <v>364</v>
      </c>
      <c r="AO2" s="47" t="s">
        <v>363</v>
      </c>
      <c r="AP2" s="47" t="s">
        <v>362</v>
      </c>
      <c r="AQ2" s="47" t="s">
        <v>361</v>
      </c>
      <c r="AR2" s="47" t="s">
        <v>360</v>
      </c>
      <c r="AS2" s="47" t="s">
        <v>359</v>
      </c>
      <c r="AT2" s="47" t="s">
        <v>358</v>
      </c>
      <c r="AU2" s="47" t="s">
        <v>357</v>
      </c>
      <c r="AV2" s="47" t="s">
        <v>356</v>
      </c>
      <c r="AW2" s="47" t="s">
        <v>355</v>
      </c>
      <c r="AX2" s="47" t="s">
        <v>354</v>
      </c>
      <c r="AY2" s="47" t="s">
        <v>352</v>
      </c>
      <c r="AZ2" s="47" t="s">
        <v>351</v>
      </c>
      <c r="BA2" s="47" t="s">
        <v>350</v>
      </c>
      <c r="BB2" s="47" t="s">
        <v>349</v>
      </c>
      <c r="BC2" s="47" t="s">
        <v>348</v>
      </c>
      <c r="BD2" s="47" t="s">
        <v>347</v>
      </c>
      <c r="BE2" s="47" t="s">
        <v>346</v>
      </c>
      <c r="BF2" s="47" t="s">
        <v>345</v>
      </c>
      <c r="BG2" s="47" t="s">
        <v>344</v>
      </c>
      <c r="BH2" s="47" t="s">
        <v>343</v>
      </c>
      <c r="BI2" s="47" t="s">
        <v>342</v>
      </c>
      <c r="BJ2" s="47" t="s">
        <v>341</v>
      </c>
      <c r="BK2" s="47" t="s">
        <v>340</v>
      </c>
      <c r="BL2" s="47" t="s">
        <v>339</v>
      </c>
      <c r="BM2" s="47" t="s">
        <v>338</v>
      </c>
      <c r="BN2" s="47" t="s">
        <v>337</v>
      </c>
      <c r="BO2" s="47" t="s">
        <v>336</v>
      </c>
      <c r="BP2" s="47" t="s">
        <v>335</v>
      </c>
      <c r="BQ2" s="47" t="s">
        <v>366</v>
      </c>
      <c r="BR2" s="16" t="s">
        <v>769</v>
      </c>
      <c r="BS2" s="40" t="s">
        <v>767</v>
      </c>
    </row>
    <row r="3" spans="1:71" s="40" customFormat="1" ht="14.25" x14ac:dyDescent="0.15">
      <c r="B3" s="45" t="s">
        <v>72</v>
      </c>
      <c r="C3" s="45" t="s">
        <v>72</v>
      </c>
      <c r="D3" s="45" t="s">
        <v>74</v>
      </c>
      <c r="E3" s="45" t="s">
        <v>73</v>
      </c>
      <c r="F3" s="45" t="s">
        <v>73</v>
      </c>
      <c r="G3" s="45" t="s">
        <v>72</v>
      </c>
      <c r="H3" s="45" t="s">
        <v>72</v>
      </c>
      <c r="I3" s="15" t="s">
        <v>72</v>
      </c>
      <c r="J3" s="45" t="s">
        <v>72</v>
      </c>
      <c r="K3" s="45" t="s">
        <v>72</v>
      </c>
      <c r="L3" s="45" t="s">
        <v>72</v>
      </c>
      <c r="M3" s="45" t="s">
        <v>72</v>
      </c>
      <c r="N3" s="45" t="s">
        <v>72</v>
      </c>
      <c r="O3" s="45" t="s">
        <v>72</v>
      </c>
      <c r="P3" s="45" t="s">
        <v>72</v>
      </c>
      <c r="Q3" s="45" t="s">
        <v>72</v>
      </c>
      <c r="R3" s="45" t="s">
        <v>73</v>
      </c>
      <c r="S3" s="45" t="s">
        <v>72</v>
      </c>
      <c r="T3" s="45" t="s">
        <v>73</v>
      </c>
      <c r="U3" s="45" t="s">
        <v>72</v>
      </c>
      <c r="V3" s="45" t="s">
        <v>73</v>
      </c>
      <c r="W3" s="45" t="s">
        <v>72</v>
      </c>
      <c r="X3" s="45" t="s">
        <v>72</v>
      </c>
      <c r="Y3" s="45" t="s">
        <v>72</v>
      </c>
      <c r="Z3" s="45" t="s">
        <v>72</v>
      </c>
      <c r="AA3" s="45" t="s">
        <v>72</v>
      </c>
      <c r="AB3" s="46" t="s">
        <v>72</v>
      </c>
      <c r="AC3" s="45" t="s">
        <v>432</v>
      </c>
      <c r="AD3" s="45" t="s">
        <v>72</v>
      </c>
      <c r="AE3" s="45" t="s">
        <v>72</v>
      </c>
      <c r="AF3" s="46" t="s">
        <v>72</v>
      </c>
      <c r="AG3" s="45" t="s">
        <v>72</v>
      </c>
      <c r="AH3" s="46" t="s">
        <v>72</v>
      </c>
      <c r="AI3" s="46" t="s">
        <v>72</v>
      </c>
      <c r="AJ3" s="45" t="s">
        <v>74</v>
      </c>
      <c r="AK3" s="45" t="s">
        <v>72</v>
      </c>
      <c r="AL3" s="46" t="s">
        <v>74</v>
      </c>
      <c r="AM3" s="46" t="s">
        <v>74</v>
      </c>
      <c r="AN3" s="45" t="s">
        <v>74</v>
      </c>
      <c r="AO3" s="45" t="s">
        <v>74</v>
      </c>
      <c r="AP3" s="45" t="s">
        <v>74</v>
      </c>
      <c r="AQ3" s="45" t="s">
        <v>72</v>
      </c>
      <c r="AR3" s="45" t="s">
        <v>72</v>
      </c>
      <c r="AS3" s="45" t="s">
        <v>72</v>
      </c>
      <c r="AT3" s="45" t="s">
        <v>72</v>
      </c>
      <c r="AU3" s="45" t="s">
        <v>72</v>
      </c>
      <c r="AV3" s="45" t="s">
        <v>72</v>
      </c>
      <c r="AW3" s="45" t="s">
        <v>72</v>
      </c>
      <c r="AX3" s="45" t="s">
        <v>72</v>
      </c>
      <c r="AY3" s="45" t="s">
        <v>72</v>
      </c>
      <c r="AZ3" s="45" t="s">
        <v>72</v>
      </c>
      <c r="BA3" s="45" t="s">
        <v>72</v>
      </c>
      <c r="BB3" s="45" t="s">
        <v>72</v>
      </c>
      <c r="BC3" s="45" t="s">
        <v>72</v>
      </c>
      <c r="BD3" s="45" t="s">
        <v>72</v>
      </c>
      <c r="BE3" s="45" t="s">
        <v>72</v>
      </c>
      <c r="BF3" s="45" t="s">
        <v>72</v>
      </c>
      <c r="BG3" s="45" t="s">
        <v>72</v>
      </c>
      <c r="BH3" s="45" t="s">
        <v>72</v>
      </c>
      <c r="BI3" s="45" t="s">
        <v>72</v>
      </c>
      <c r="BJ3" s="45" t="s">
        <v>72</v>
      </c>
      <c r="BK3" s="45" t="s">
        <v>72</v>
      </c>
      <c r="BL3" s="45" t="s">
        <v>72</v>
      </c>
      <c r="BM3" s="45" t="s">
        <v>72</v>
      </c>
      <c r="BN3" s="45" t="s">
        <v>72</v>
      </c>
      <c r="BO3" s="45" t="s">
        <v>72</v>
      </c>
      <c r="BP3" s="45" t="s">
        <v>72</v>
      </c>
      <c r="BQ3" s="45" t="s">
        <v>72</v>
      </c>
      <c r="BR3" s="15" t="s">
        <v>72</v>
      </c>
      <c r="BS3" s="40" t="s">
        <v>74</v>
      </c>
    </row>
    <row r="4" spans="1:71" s="40" customFormat="1" ht="14.25" x14ac:dyDescent="0.15">
      <c r="B4" s="43" t="s">
        <v>75</v>
      </c>
      <c r="C4" s="43" t="s">
        <v>75</v>
      </c>
      <c r="D4" s="43" t="s">
        <v>75</v>
      </c>
      <c r="E4" s="43" t="s">
        <v>73</v>
      </c>
      <c r="F4" s="43" t="s">
        <v>73</v>
      </c>
      <c r="G4" s="43" t="s">
        <v>76</v>
      </c>
      <c r="H4" s="43" t="s">
        <v>76</v>
      </c>
      <c r="I4" s="14" t="s">
        <v>75</v>
      </c>
      <c r="J4" s="43" t="s">
        <v>76</v>
      </c>
      <c r="K4" s="43" t="s">
        <v>76</v>
      </c>
      <c r="L4" s="43" t="s">
        <v>76</v>
      </c>
      <c r="M4" s="43" t="s">
        <v>238</v>
      </c>
      <c r="N4" s="43" t="s">
        <v>75</v>
      </c>
      <c r="O4" s="43" t="s">
        <v>76</v>
      </c>
      <c r="P4" s="43" t="s">
        <v>75</v>
      </c>
      <c r="Q4" s="43" t="s">
        <v>75</v>
      </c>
      <c r="R4" s="43" t="s">
        <v>73</v>
      </c>
      <c r="S4" s="43" t="s">
        <v>75</v>
      </c>
      <c r="T4" s="43" t="s">
        <v>73</v>
      </c>
      <c r="U4" s="43" t="s">
        <v>75</v>
      </c>
      <c r="V4" s="43" t="s">
        <v>73</v>
      </c>
      <c r="W4" s="43" t="s">
        <v>75</v>
      </c>
      <c r="X4" s="43" t="s">
        <v>75</v>
      </c>
      <c r="Y4" s="43" t="s">
        <v>75</v>
      </c>
      <c r="Z4" s="43" t="s">
        <v>238</v>
      </c>
      <c r="AA4" s="43" t="s">
        <v>329</v>
      </c>
      <c r="AB4" s="44" t="s">
        <v>330</v>
      </c>
      <c r="AC4" s="43" t="s">
        <v>76</v>
      </c>
      <c r="AD4" s="43" t="s">
        <v>76</v>
      </c>
      <c r="AE4" s="43" t="s">
        <v>330</v>
      </c>
      <c r="AF4" s="44" t="s">
        <v>238</v>
      </c>
      <c r="AG4" s="43" t="s">
        <v>75</v>
      </c>
      <c r="AH4" s="44" t="s">
        <v>80</v>
      </c>
      <c r="AI4" s="44" t="s">
        <v>76</v>
      </c>
      <c r="AJ4" s="43" t="s">
        <v>75</v>
      </c>
      <c r="AK4" s="43" t="s">
        <v>76</v>
      </c>
      <c r="AL4" s="44" t="s">
        <v>75</v>
      </c>
      <c r="AM4" s="44" t="s">
        <v>80</v>
      </c>
      <c r="AN4" s="43" t="s">
        <v>238</v>
      </c>
      <c r="AO4" s="43" t="s">
        <v>330</v>
      </c>
      <c r="AP4" s="43" t="s">
        <v>249</v>
      </c>
      <c r="AQ4" s="43" t="s">
        <v>119</v>
      </c>
      <c r="AR4" s="43" t="s">
        <v>330</v>
      </c>
      <c r="AS4" s="43" t="s">
        <v>330</v>
      </c>
      <c r="AT4" s="43" t="s">
        <v>330</v>
      </c>
      <c r="AU4" s="43" t="s">
        <v>330</v>
      </c>
      <c r="AV4" s="43" t="s">
        <v>330</v>
      </c>
      <c r="AW4" s="43" t="s">
        <v>330</v>
      </c>
      <c r="AX4" s="43" t="s">
        <v>330</v>
      </c>
      <c r="AY4" s="43" t="s">
        <v>330</v>
      </c>
      <c r="AZ4" s="43" t="s">
        <v>330</v>
      </c>
      <c r="BA4" s="43" t="s">
        <v>330</v>
      </c>
      <c r="BB4" s="43" t="s">
        <v>330</v>
      </c>
      <c r="BC4" s="43" t="s">
        <v>330</v>
      </c>
      <c r="BD4" s="43" t="s">
        <v>330</v>
      </c>
      <c r="BE4" s="43" t="s">
        <v>330</v>
      </c>
      <c r="BF4" s="43" t="s">
        <v>330</v>
      </c>
      <c r="BG4" s="43" t="s">
        <v>330</v>
      </c>
      <c r="BH4" s="43" t="s">
        <v>330</v>
      </c>
      <c r="BI4" s="43" t="s">
        <v>330</v>
      </c>
      <c r="BJ4" s="43" t="s">
        <v>330</v>
      </c>
      <c r="BK4" s="43" t="s">
        <v>330</v>
      </c>
      <c r="BL4" s="43" t="s">
        <v>330</v>
      </c>
      <c r="BM4" s="43" t="s">
        <v>330</v>
      </c>
      <c r="BN4" s="43" t="s">
        <v>330</v>
      </c>
      <c r="BO4" s="43" t="s">
        <v>330</v>
      </c>
      <c r="BP4" s="43" t="s">
        <v>330</v>
      </c>
      <c r="BQ4" s="43" t="s">
        <v>75</v>
      </c>
      <c r="BR4" s="14" t="s">
        <v>76</v>
      </c>
      <c r="BS4" s="40" t="s">
        <v>76</v>
      </c>
    </row>
    <row r="5" spans="1:71" s="40" customFormat="1" ht="14.25" x14ac:dyDescent="0.15">
      <c r="B5" s="45" t="s">
        <v>81</v>
      </c>
      <c r="C5" s="45" t="s">
        <v>328</v>
      </c>
      <c r="D5" s="45" t="s">
        <v>194</v>
      </c>
      <c r="E5" s="45" t="s">
        <v>73</v>
      </c>
      <c r="F5" s="45" t="s">
        <v>73</v>
      </c>
      <c r="G5" s="45" t="s">
        <v>327</v>
      </c>
      <c r="H5" s="45" t="s">
        <v>326</v>
      </c>
      <c r="I5" s="15" t="s">
        <v>82</v>
      </c>
      <c r="J5" s="45" t="s">
        <v>236</v>
      </c>
      <c r="K5" s="45" t="s">
        <v>325</v>
      </c>
      <c r="L5" s="45" t="s">
        <v>324</v>
      </c>
      <c r="M5" s="45" t="s">
        <v>314</v>
      </c>
      <c r="N5" s="45" t="s">
        <v>313</v>
      </c>
      <c r="O5" s="45" t="s">
        <v>312</v>
      </c>
      <c r="P5" s="45" t="s">
        <v>431</v>
      </c>
      <c r="Q5" s="45" t="s">
        <v>311</v>
      </c>
      <c r="R5" s="45" t="s">
        <v>73</v>
      </c>
      <c r="S5" s="45" t="s">
        <v>310</v>
      </c>
      <c r="T5" s="45" t="s">
        <v>73</v>
      </c>
      <c r="U5" s="45" t="s">
        <v>430</v>
      </c>
      <c r="V5" s="45" t="s">
        <v>73</v>
      </c>
      <c r="W5" s="45" t="s">
        <v>306</v>
      </c>
      <c r="X5" s="45" t="s">
        <v>305</v>
      </c>
      <c r="Y5" s="45" t="s">
        <v>304</v>
      </c>
      <c r="Z5" s="45" t="s">
        <v>303</v>
      </c>
      <c r="AA5" s="45" t="s">
        <v>429</v>
      </c>
      <c r="AB5" s="46" t="s">
        <v>301</v>
      </c>
      <c r="AC5" s="45" t="s">
        <v>428</v>
      </c>
      <c r="AD5" s="45" t="s">
        <v>770</v>
      </c>
      <c r="AE5" s="45" t="s">
        <v>427</v>
      </c>
      <c r="AF5" s="46" t="s">
        <v>322</v>
      </c>
      <c r="AG5" s="45" t="s">
        <v>321</v>
      </c>
      <c r="AH5" s="46" t="s">
        <v>320</v>
      </c>
      <c r="AI5" s="46" t="s">
        <v>319</v>
      </c>
      <c r="AJ5" s="45" t="s">
        <v>318</v>
      </c>
      <c r="AK5" s="45" t="s">
        <v>317</v>
      </c>
      <c r="AL5" s="46" t="s">
        <v>316</v>
      </c>
      <c r="AM5" s="46" t="s">
        <v>315</v>
      </c>
      <c r="AN5" s="45" t="s">
        <v>300</v>
      </c>
      <c r="AO5" s="45" t="s">
        <v>299</v>
      </c>
      <c r="AP5" s="45" t="s">
        <v>298</v>
      </c>
      <c r="AQ5" s="45" t="s">
        <v>297</v>
      </c>
      <c r="AR5" s="45" t="s">
        <v>296</v>
      </c>
      <c r="AS5" s="45" t="s">
        <v>295</v>
      </c>
      <c r="AT5" s="45" t="s">
        <v>294</v>
      </c>
      <c r="AU5" s="45" t="s">
        <v>293</v>
      </c>
      <c r="AV5" s="45" t="s">
        <v>292</v>
      </c>
      <c r="AW5" s="45" t="s">
        <v>291</v>
      </c>
      <c r="AX5" s="45" t="s">
        <v>290</v>
      </c>
      <c r="AY5" s="45" t="s">
        <v>288</v>
      </c>
      <c r="AZ5" s="45" t="s">
        <v>287</v>
      </c>
      <c r="BA5" s="45" t="s">
        <v>286</v>
      </c>
      <c r="BB5" s="45" t="s">
        <v>285</v>
      </c>
      <c r="BC5" s="45" t="s">
        <v>284</v>
      </c>
      <c r="BD5" s="45" t="s">
        <v>283</v>
      </c>
      <c r="BE5" s="45" t="s">
        <v>282</v>
      </c>
      <c r="BF5" s="45" t="s">
        <v>281</v>
      </c>
      <c r="BG5" s="45" t="s">
        <v>280</v>
      </c>
      <c r="BH5" s="45" t="s">
        <v>279</v>
      </c>
      <c r="BI5" s="45" t="s">
        <v>278</v>
      </c>
      <c r="BJ5" s="45" t="s">
        <v>277</v>
      </c>
      <c r="BK5" s="45" t="s">
        <v>276</v>
      </c>
      <c r="BL5" s="45" t="s">
        <v>275</v>
      </c>
      <c r="BM5" s="45" t="s">
        <v>274</v>
      </c>
      <c r="BN5" s="45" t="s">
        <v>273</v>
      </c>
      <c r="BO5" s="45" t="s">
        <v>272</v>
      </c>
      <c r="BP5" s="45" t="s">
        <v>271</v>
      </c>
      <c r="BQ5" s="45" t="s">
        <v>302</v>
      </c>
      <c r="BR5" s="15" t="s">
        <v>771</v>
      </c>
      <c r="BS5" s="40" t="s">
        <v>768</v>
      </c>
    </row>
    <row r="6" spans="1:71" s="40" customFormat="1" ht="14.25" x14ac:dyDescent="0.15">
      <c r="B6" s="43" t="s">
        <v>77</v>
      </c>
      <c r="C6" s="43" t="s">
        <v>266</v>
      </c>
      <c r="D6" s="43" t="s">
        <v>78</v>
      </c>
      <c r="E6" s="43"/>
      <c r="F6" s="43"/>
      <c r="G6" s="43" t="s">
        <v>265</v>
      </c>
      <c r="H6" s="43" t="s">
        <v>264</v>
      </c>
      <c r="I6" s="14" t="s">
        <v>263</v>
      </c>
      <c r="J6" s="43" t="s">
        <v>426</v>
      </c>
      <c r="K6" s="43" t="s">
        <v>425</v>
      </c>
      <c r="L6" s="43"/>
      <c r="M6" s="43" t="s">
        <v>261</v>
      </c>
      <c r="N6" s="43" t="s">
        <v>260</v>
      </c>
      <c r="O6" s="43"/>
      <c r="P6" s="43" t="s">
        <v>424</v>
      </c>
      <c r="Q6" s="43" t="s">
        <v>259</v>
      </c>
      <c r="R6" s="43"/>
      <c r="S6" s="43" t="s">
        <v>259</v>
      </c>
      <c r="T6" s="43"/>
      <c r="U6" s="43" t="s">
        <v>259</v>
      </c>
      <c r="V6" s="43"/>
      <c r="W6" s="43" t="s">
        <v>259</v>
      </c>
      <c r="X6" s="43" t="s">
        <v>259</v>
      </c>
      <c r="Y6" s="43" t="s">
        <v>259</v>
      </c>
      <c r="Z6" s="43" t="s">
        <v>259</v>
      </c>
      <c r="AA6" s="43"/>
      <c r="AB6" s="44"/>
      <c r="AC6" s="43"/>
      <c r="AD6" s="43"/>
      <c r="AE6" s="43"/>
      <c r="AF6" s="44"/>
      <c r="AG6" s="43" t="s">
        <v>423</v>
      </c>
      <c r="AH6" s="44"/>
      <c r="AI6" s="44"/>
      <c r="AJ6" s="44" t="s">
        <v>423</v>
      </c>
      <c r="AK6" s="43"/>
      <c r="AL6" s="43" t="s">
        <v>78</v>
      </c>
      <c r="AM6" s="43" t="s">
        <v>78</v>
      </c>
      <c r="AN6" s="43"/>
      <c r="AO6" s="43"/>
      <c r="AP6" s="43"/>
      <c r="AQ6" s="43"/>
      <c r="AR6" s="43"/>
      <c r="AS6" s="43"/>
      <c r="AT6" s="43"/>
      <c r="AU6" s="43"/>
      <c r="AV6" s="43"/>
      <c r="AW6" s="43"/>
      <c r="AX6" s="43"/>
      <c r="AY6" s="43"/>
      <c r="AZ6" s="43"/>
      <c r="BA6" s="43"/>
      <c r="BB6" s="43"/>
      <c r="BC6" s="43"/>
      <c r="BD6" s="43"/>
      <c r="BE6" s="43"/>
      <c r="BF6" s="43"/>
      <c r="BG6" s="43"/>
      <c r="BH6" s="43"/>
      <c r="BI6" s="43"/>
      <c r="BJ6" s="43"/>
      <c r="BK6" s="43"/>
      <c r="BL6" s="43"/>
      <c r="BM6" s="43"/>
      <c r="BN6" s="43"/>
      <c r="BO6" s="43"/>
      <c r="BP6" s="43"/>
      <c r="BQ6" s="43"/>
      <c r="BR6" s="14"/>
    </row>
    <row r="7" spans="1:71" s="13" customFormat="1" x14ac:dyDescent="0.15">
      <c r="B7" s="13" t="s">
        <v>1799</v>
      </c>
      <c r="C7" s="13" t="s">
        <v>862</v>
      </c>
      <c r="E7" s="13" t="s">
        <v>863</v>
      </c>
      <c r="G7" s="13">
        <v>0</v>
      </c>
      <c r="H7" s="13">
        <v>13</v>
      </c>
      <c r="I7" s="13" t="s">
        <v>296</v>
      </c>
      <c r="K7" s="13">
        <v>3</v>
      </c>
      <c r="L7" s="13">
        <v>1</v>
      </c>
      <c r="M7" s="13" t="s">
        <v>254</v>
      </c>
      <c r="N7" s="13" t="s">
        <v>396</v>
      </c>
      <c r="O7" s="13">
        <v>0</v>
      </c>
      <c r="P7" s="13" t="s">
        <v>1800</v>
      </c>
      <c r="Q7" s="13" t="s">
        <v>864</v>
      </c>
      <c r="S7" s="13" t="s">
        <v>865</v>
      </c>
      <c r="U7" s="13" t="s">
        <v>866</v>
      </c>
      <c r="Y7" s="13" t="s">
        <v>250</v>
      </c>
      <c r="Z7" s="13" t="s">
        <v>867</v>
      </c>
      <c r="AA7" s="13" t="s">
        <v>251</v>
      </c>
      <c r="AB7" s="13">
        <v>0.15</v>
      </c>
      <c r="AC7" s="13">
        <v>0</v>
      </c>
      <c r="AD7" s="13">
        <v>20</v>
      </c>
      <c r="AE7" s="13">
        <v>1</v>
      </c>
      <c r="AF7" s="13" t="s">
        <v>1005</v>
      </c>
      <c r="AH7" s="13" t="s">
        <v>399</v>
      </c>
      <c r="AI7" s="13">
        <v>800</v>
      </c>
      <c r="AK7" s="13">
        <v>23338.390193999996</v>
      </c>
      <c r="AN7" s="163" t="s">
        <v>235</v>
      </c>
      <c r="AO7" s="163">
        <v>0</v>
      </c>
      <c r="AP7" s="163" t="s">
        <v>252</v>
      </c>
      <c r="AR7" s="13">
        <v>23338.390193999996</v>
      </c>
      <c r="AS7" s="13">
        <v>5233.8399119999995</v>
      </c>
      <c r="AT7" s="13">
        <v>54880.328769839987</v>
      </c>
      <c r="AU7" s="13">
        <v>1</v>
      </c>
      <c r="AV7" s="13">
        <v>1</v>
      </c>
      <c r="AW7" s="13">
        <v>0</v>
      </c>
      <c r="AX7" s="13">
        <v>0</v>
      </c>
      <c r="AY7" s="13">
        <v>0</v>
      </c>
      <c r="AZ7" s="13">
        <v>0</v>
      </c>
      <c r="BA7" s="13">
        <v>0</v>
      </c>
      <c r="BB7" s="13">
        <v>0</v>
      </c>
      <c r="BC7" s="13">
        <v>0</v>
      </c>
      <c r="BD7" s="13">
        <v>0</v>
      </c>
      <c r="BE7" s="13">
        <v>0</v>
      </c>
      <c r="BF7" s="13">
        <v>0</v>
      </c>
      <c r="BG7" s="13">
        <v>0</v>
      </c>
      <c r="BH7" s="13">
        <v>0</v>
      </c>
      <c r="BI7" s="13">
        <v>0</v>
      </c>
      <c r="BJ7" s="13">
        <v>0</v>
      </c>
      <c r="BK7" s="13">
        <v>0</v>
      </c>
      <c r="BL7" s="13">
        <v>0</v>
      </c>
      <c r="BM7" s="13">
        <v>0</v>
      </c>
      <c r="BN7" s="13">
        <v>0</v>
      </c>
      <c r="BO7" s="13">
        <v>0</v>
      </c>
      <c r="BP7" s="13">
        <v>1</v>
      </c>
      <c r="BQ7" s="13" t="s">
        <v>250</v>
      </c>
      <c r="BR7" s="13">
        <v>14</v>
      </c>
    </row>
    <row r="8" spans="1:71" s="13" customFormat="1" x14ac:dyDescent="0.15">
      <c r="B8" s="13" t="s">
        <v>2262</v>
      </c>
      <c r="C8" s="13" t="s">
        <v>975</v>
      </c>
      <c r="E8" s="13" t="s">
        <v>976</v>
      </c>
      <c r="G8" s="13">
        <v>0</v>
      </c>
      <c r="H8" s="13">
        <v>12</v>
      </c>
      <c r="I8" s="13" t="s">
        <v>296</v>
      </c>
      <c r="K8" s="13">
        <v>3</v>
      </c>
      <c r="L8" s="13">
        <v>1</v>
      </c>
      <c r="M8" s="13" t="s">
        <v>254</v>
      </c>
      <c r="N8" s="13" t="s">
        <v>396</v>
      </c>
      <c r="O8" s="13">
        <v>0</v>
      </c>
      <c r="P8" s="13" t="s">
        <v>2263</v>
      </c>
      <c r="Q8" s="13" t="s">
        <v>977</v>
      </c>
      <c r="S8" s="13" t="s">
        <v>978</v>
      </c>
      <c r="U8" s="13" t="s">
        <v>979</v>
      </c>
      <c r="Y8" s="13" t="s">
        <v>250</v>
      </c>
      <c r="Z8" s="13" t="s">
        <v>980</v>
      </c>
      <c r="AA8" s="13" t="s">
        <v>251</v>
      </c>
      <c r="AB8" s="13">
        <v>0.15</v>
      </c>
      <c r="AC8" s="13">
        <v>0</v>
      </c>
      <c r="AD8" s="13">
        <v>20</v>
      </c>
      <c r="AE8" s="13">
        <v>1</v>
      </c>
      <c r="AF8" s="13" t="s">
        <v>1029</v>
      </c>
      <c r="AH8" s="13" t="s">
        <v>399</v>
      </c>
      <c r="AI8" s="13">
        <v>680</v>
      </c>
      <c r="AK8" s="13">
        <v>18179.377624799999</v>
      </c>
      <c r="AN8" s="163" t="s">
        <v>235</v>
      </c>
      <c r="AO8" s="163">
        <v>0</v>
      </c>
      <c r="AP8" s="163" t="s">
        <v>252</v>
      </c>
      <c r="AR8" s="13">
        <v>18179.377624799999</v>
      </c>
      <c r="AS8" s="13">
        <v>5233.8399119999995</v>
      </c>
      <c r="AT8" s="13">
        <v>45685.718714159993</v>
      </c>
      <c r="AU8" s="13">
        <v>1</v>
      </c>
      <c r="AV8" s="13">
        <v>1</v>
      </c>
      <c r="AW8" s="13">
        <v>0</v>
      </c>
      <c r="AX8" s="13">
        <v>0</v>
      </c>
      <c r="AY8" s="13">
        <v>0</v>
      </c>
      <c r="AZ8" s="13">
        <v>0</v>
      </c>
      <c r="BA8" s="13">
        <v>0</v>
      </c>
      <c r="BB8" s="13">
        <v>0</v>
      </c>
      <c r="BC8" s="13">
        <v>0</v>
      </c>
      <c r="BD8" s="13">
        <v>0</v>
      </c>
      <c r="BE8" s="13">
        <v>0</v>
      </c>
      <c r="BF8" s="13">
        <v>0</v>
      </c>
      <c r="BG8" s="13">
        <v>0</v>
      </c>
      <c r="BH8" s="13">
        <v>0</v>
      </c>
      <c r="BI8" s="13">
        <v>0</v>
      </c>
      <c r="BJ8" s="13">
        <v>0</v>
      </c>
      <c r="BK8" s="13">
        <v>0</v>
      </c>
      <c r="BL8" s="13">
        <v>0</v>
      </c>
      <c r="BM8" s="13">
        <v>0</v>
      </c>
      <c r="BN8" s="13">
        <v>0</v>
      </c>
      <c r="BO8" s="13">
        <v>0</v>
      </c>
      <c r="BP8" s="13">
        <v>1</v>
      </c>
      <c r="BQ8" s="13" t="s">
        <v>250</v>
      </c>
      <c r="BR8" s="13">
        <v>10</v>
      </c>
    </row>
    <row r="9" spans="1:71" s="13" customFormat="1" x14ac:dyDescent="0.15">
      <c r="B9" s="13" t="s">
        <v>2264</v>
      </c>
      <c r="C9" s="13" t="s">
        <v>868</v>
      </c>
      <c r="E9" s="13" t="s">
        <v>869</v>
      </c>
      <c r="G9" s="13">
        <v>0</v>
      </c>
      <c r="H9" s="13">
        <v>12</v>
      </c>
      <c r="I9" s="13" t="s">
        <v>401</v>
      </c>
      <c r="K9" s="13">
        <v>3</v>
      </c>
      <c r="L9" s="13">
        <v>1</v>
      </c>
      <c r="M9" s="13" t="s">
        <v>254</v>
      </c>
      <c r="N9" s="13" t="s">
        <v>396</v>
      </c>
      <c r="O9" s="13">
        <v>0</v>
      </c>
      <c r="P9" s="13" t="s">
        <v>2265</v>
      </c>
      <c r="Q9" s="13" t="s">
        <v>870</v>
      </c>
      <c r="S9" s="13" t="s">
        <v>871</v>
      </c>
      <c r="U9" s="13" t="s">
        <v>872</v>
      </c>
      <c r="Y9" s="13" t="s">
        <v>250</v>
      </c>
      <c r="Z9" s="13" t="s">
        <v>873</v>
      </c>
      <c r="AA9" s="13" t="s">
        <v>251</v>
      </c>
      <c r="AB9" s="13">
        <v>0.15</v>
      </c>
      <c r="AC9" s="13">
        <v>30</v>
      </c>
      <c r="AD9" s="13">
        <v>20</v>
      </c>
      <c r="AE9" s="13">
        <v>1</v>
      </c>
      <c r="AF9" s="13" t="s">
        <v>1006</v>
      </c>
      <c r="AH9" s="13" t="s">
        <v>399</v>
      </c>
      <c r="AI9" s="13">
        <v>680</v>
      </c>
      <c r="AK9" s="13">
        <v>18916.379420399997</v>
      </c>
      <c r="AN9" s="163" t="s">
        <v>235</v>
      </c>
      <c r="AO9" s="163">
        <v>0</v>
      </c>
      <c r="AP9" s="163" t="s">
        <v>252</v>
      </c>
      <c r="AR9" s="13">
        <v>18916.379420399997</v>
      </c>
      <c r="AS9" s="13">
        <v>6382.7316000000001</v>
      </c>
      <c r="AT9" s="13">
        <v>56545.63776540001</v>
      </c>
      <c r="AU9" s="13">
        <v>1</v>
      </c>
      <c r="AV9" s="13">
        <v>1</v>
      </c>
      <c r="AW9" s="13">
        <v>0</v>
      </c>
      <c r="AX9" s="13">
        <v>0</v>
      </c>
      <c r="AY9" s="13">
        <v>0</v>
      </c>
      <c r="AZ9" s="13">
        <v>0</v>
      </c>
      <c r="BA9" s="13">
        <v>0</v>
      </c>
      <c r="BB9" s="13">
        <v>0</v>
      </c>
      <c r="BC9" s="13">
        <v>0</v>
      </c>
      <c r="BD9" s="13">
        <v>0</v>
      </c>
      <c r="BE9" s="13">
        <v>0</v>
      </c>
      <c r="BF9" s="13">
        <v>0</v>
      </c>
      <c r="BG9" s="13">
        <v>0</v>
      </c>
      <c r="BH9" s="13">
        <v>0</v>
      </c>
      <c r="BI9" s="13">
        <v>0</v>
      </c>
      <c r="BJ9" s="13">
        <v>0</v>
      </c>
      <c r="BK9" s="13">
        <v>0</v>
      </c>
      <c r="BL9" s="13">
        <v>0</v>
      </c>
      <c r="BM9" s="13">
        <v>0</v>
      </c>
      <c r="BN9" s="13">
        <v>0</v>
      </c>
      <c r="BO9" s="13">
        <v>0</v>
      </c>
      <c r="BP9" s="13">
        <v>1</v>
      </c>
      <c r="BQ9" s="13" t="s">
        <v>250</v>
      </c>
      <c r="BR9" s="13">
        <v>12</v>
      </c>
    </row>
    <row r="10" spans="1:71" s="13" customFormat="1" x14ac:dyDescent="0.15">
      <c r="B10" s="13" t="s">
        <v>2266</v>
      </c>
      <c r="C10" s="13" t="s">
        <v>930</v>
      </c>
      <c r="E10" s="13" t="s">
        <v>404</v>
      </c>
      <c r="G10" s="13">
        <v>0</v>
      </c>
      <c r="H10" s="13">
        <v>14</v>
      </c>
      <c r="I10" s="13" t="s">
        <v>296</v>
      </c>
      <c r="K10" s="13">
        <v>3</v>
      </c>
      <c r="L10" s="13">
        <v>1</v>
      </c>
      <c r="M10" s="13" t="s">
        <v>254</v>
      </c>
      <c r="N10" s="13" t="s">
        <v>396</v>
      </c>
      <c r="O10" s="13">
        <v>0</v>
      </c>
      <c r="P10" s="13" t="s">
        <v>2267</v>
      </c>
      <c r="Q10" s="13" t="s">
        <v>257</v>
      </c>
      <c r="S10" s="13" t="s">
        <v>403</v>
      </c>
      <c r="U10" s="13" t="s">
        <v>402</v>
      </c>
      <c r="Y10" s="13" t="s">
        <v>250</v>
      </c>
      <c r="Z10" s="13" t="s">
        <v>256</v>
      </c>
      <c r="AA10" s="13" t="s">
        <v>251</v>
      </c>
      <c r="AB10" s="13">
        <v>0.15</v>
      </c>
      <c r="AC10" s="13">
        <v>0</v>
      </c>
      <c r="AD10" s="13">
        <v>20</v>
      </c>
      <c r="AE10" s="13">
        <v>1</v>
      </c>
      <c r="AF10" s="13" t="s">
        <v>1019</v>
      </c>
      <c r="AH10" s="13" t="s">
        <v>399</v>
      </c>
      <c r="AI10" s="13">
        <v>1000</v>
      </c>
      <c r="AK10" s="13">
        <v>27269.066437199996</v>
      </c>
      <c r="AN10" s="163" t="s">
        <v>235</v>
      </c>
      <c r="AO10" s="163">
        <v>0</v>
      </c>
      <c r="AP10" s="163" t="s">
        <v>252</v>
      </c>
      <c r="AR10" s="13">
        <v>27269.066437199996</v>
      </c>
      <c r="AS10" s="13">
        <v>5233.8399119999995</v>
      </c>
      <c r="AT10" s="13">
        <v>62781.946786439992</v>
      </c>
      <c r="AU10" s="13">
        <v>1</v>
      </c>
      <c r="AV10" s="13">
        <v>1</v>
      </c>
      <c r="AW10" s="13">
        <v>0</v>
      </c>
      <c r="AX10" s="13">
        <v>0</v>
      </c>
      <c r="AY10" s="13">
        <v>0</v>
      </c>
      <c r="AZ10" s="13">
        <v>0</v>
      </c>
      <c r="BA10" s="13">
        <v>0</v>
      </c>
      <c r="BB10" s="13">
        <v>0</v>
      </c>
      <c r="BC10" s="13">
        <v>0</v>
      </c>
      <c r="BD10" s="13">
        <v>0</v>
      </c>
      <c r="BE10" s="13">
        <v>0</v>
      </c>
      <c r="BF10" s="13">
        <v>0</v>
      </c>
      <c r="BG10" s="13">
        <v>0</v>
      </c>
      <c r="BH10" s="13">
        <v>0</v>
      </c>
      <c r="BI10" s="13">
        <v>0</v>
      </c>
      <c r="BJ10" s="13">
        <v>0</v>
      </c>
      <c r="BK10" s="13">
        <v>0</v>
      </c>
      <c r="BL10" s="13">
        <v>0</v>
      </c>
      <c r="BM10" s="13">
        <v>0</v>
      </c>
      <c r="BN10" s="13">
        <v>0</v>
      </c>
      <c r="BO10" s="13">
        <v>0</v>
      </c>
      <c r="BP10" s="13">
        <v>1</v>
      </c>
      <c r="BQ10" s="13" t="s">
        <v>250</v>
      </c>
      <c r="BR10" s="13">
        <v>17</v>
      </c>
    </row>
    <row r="11" spans="1:71" s="13" customFormat="1" x14ac:dyDescent="0.15">
      <c r="B11" s="13" t="s">
        <v>2268</v>
      </c>
      <c r="C11" s="13" t="s">
        <v>2245</v>
      </c>
      <c r="E11" s="13" t="s">
        <v>2246</v>
      </c>
      <c r="G11" s="13">
        <v>1</v>
      </c>
      <c r="H11" s="13">
        <v>14</v>
      </c>
      <c r="I11" s="13" t="s">
        <v>296</v>
      </c>
      <c r="K11" s="13">
        <v>3</v>
      </c>
      <c r="L11" s="13">
        <v>1</v>
      </c>
      <c r="M11" s="13" t="s">
        <v>254</v>
      </c>
      <c r="N11" s="13" t="s">
        <v>396</v>
      </c>
      <c r="O11" s="13">
        <v>0</v>
      </c>
      <c r="P11" s="13" t="s">
        <v>2269</v>
      </c>
      <c r="Q11" s="13" t="s">
        <v>2247</v>
      </c>
      <c r="S11" s="13" t="s">
        <v>2270</v>
      </c>
      <c r="U11" s="13" t="s">
        <v>2248</v>
      </c>
      <c r="Y11" s="13" t="s">
        <v>250</v>
      </c>
      <c r="Z11" s="162" t="s">
        <v>3183</v>
      </c>
      <c r="AA11" s="13" t="s">
        <v>251</v>
      </c>
      <c r="AB11" s="13">
        <v>0.15</v>
      </c>
      <c r="AC11" s="13">
        <v>0</v>
      </c>
      <c r="AD11" s="13">
        <v>20</v>
      </c>
      <c r="AE11" s="13">
        <v>1</v>
      </c>
      <c r="AF11" s="13" t="s">
        <v>2271</v>
      </c>
      <c r="AH11" s="13" t="s">
        <v>399</v>
      </c>
      <c r="AI11" s="13">
        <v>1000</v>
      </c>
      <c r="AK11" s="13">
        <v>24566.726519999997</v>
      </c>
      <c r="AN11" s="163" t="s">
        <v>235</v>
      </c>
      <c r="AO11" s="163">
        <v>0</v>
      </c>
      <c r="AP11" s="163" t="s">
        <v>252</v>
      </c>
      <c r="AR11" s="13">
        <v>24566.726519999997</v>
      </c>
      <c r="AS11" s="13">
        <v>5233.8399119999995</v>
      </c>
      <c r="AT11" s="13">
        <v>57466.312847999987</v>
      </c>
      <c r="AU11" s="13">
        <v>1</v>
      </c>
      <c r="AV11" s="13">
        <v>1</v>
      </c>
      <c r="AW11" s="13">
        <v>0</v>
      </c>
      <c r="AX11" s="13">
        <v>0</v>
      </c>
      <c r="AY11" s="13">
        <v>0</v>
      </c>
      <c r="AZ11" s="13">
        <v>0</v>
      </c>
      <c r="BA11" s="13">
        <v>0</v>
      </c>
      <c r="BB11" s="13">
        <v>0</v>
      </c>
      <c r="BC11" s="13">
        <v>0</v>
      </c>
      <c r="BD11" s="13">
        <v>0</v>
      </c>
      <c r="BE11" s="13">
        <v>0</v>
      </c>
      <c r="BF11" s="13">
        <v>0</v>
      </c>
      <c r="BG11" s="13">
        <v>0</v>
      </c>
      <c r="BH11" s="13">
        <v>0</v>
      </c>
      <c r="BI11" s="13">
        <v>0</v>
      </c>
      <c r="BJ11" s="13">
        <v>0</v>
      </c>
      <c r="BK11" s="13">
        <v>0</v>
      </c>
      <c r="BL11" s="13">
        <v>0</v>
      </c>
      <c r="BM11" s="13">
        <v>0</v>
      </c>
      <c r="BN11" s="13">
        <v>0</v>
      </c>
      <c r="BO11" s="13">
        <v>0</v>
      </c>
      <c r="BP11" s="13">
        <v>1</v>
      </c>
      <c r="BQ11" s="13" t="s">
        <v>250</v>
      </c>
      <c r="BR11" s="13">
        <v>15</v>
      </c>
    </row>
    <row r="12" spans="1:71" s="13" customFormat="1" x14ac:dyDescent="0.15">
      <c r="B12" s="13" t="s">
        <v>2272</v>
      </c>
      <c r="C12" s="13" t="s">
        <v>924</v>
      </c>
      <c r="E12" s="13" t="s">
        <v>925</v>
      </c>
      <c r="G12" s="13">
        <v>0</v>
      </c>
      <c r="H12" s="13">
        <v>13</v>
      </c>
      <c r="I12" s="13" t="s">
        <v>296</v>
      </c>
      <c r="K12" s="13">
        <v>3</v>
      </c>
      <c r="L12" s="13">
        <v>1</v>
      </c>
      <c r="M12" s="13" t="s">
        <v>254</v>
      </c>
      <c r="N12" s="13" t="s">
        <v>396</v>
      </c>
      <c r="O12" s="13">
        <v>0</v>
      </c>
      <c r="P12" s="13" t="s">
        <v>2273</v>
      </c>
      <c r="Q12" s="13" t="s">
        <v>926</v>
      </c>
      <c r="S12" s="13" t="s">
        <v>927</v>
      </c>
      <c r="U12" s="13" t="s">
        <v>928</v>
      </c>
      <c r="Y12" s="13" t="s">
        <v>250</v>
      </c>
      <c r="Z12" s="13" t="s">
        <v>929</v>
      </c>
      <c r="AA12" s="13" t="s">
        <v>251</v>
      </c>
      <c r="AB12" s="13">
        <v>0.15</v>
      </c>
      <c r="AC12" s="13">
        <v>30</v>
      </c>
      <c r="AD12" s="13">
        <v>20</v>
      </c>
      <c r="AE12" s="13">
        <v>1</v>
      </c>
      <c r="AF12" s="13" t="s">
        <v>1018</v>
      </c>
      <c r="AH12" s="13" t="s">
        <v>399</v>
      </c>
      <c r="AI12" s="13">
        <v>1000</v>
      </c>
      <c r="AK12" s="13">
        <v>26040.730111199995</v>
      </c>
      <c r="AN12" s="163" t="s">
        <v>235</v>
      </c>
      <c r="AO12" s="163">
        <v>0</v>
      </c>
      <c r="AP12" s="163" t="s">
        <v>252</v>
      </c>
      <c r="AR12" s="13">
        <v>26040.730111199995</v>
      </c>
      <c r="AS12" s="13">
        <v>5233.8399119999995</v>
      </c>
      <c r="AT12" s="13">
        <v>60052.296926159979</v>
      </c>
      <c r="AU12" s="13">
        <v>1</v>
      </c>
      <c r="AV12" s="13">
        <v>1</v>
      </c>
      <c r="AW12" s="13">
        <v>0</v>
      </c>
      <c r="AX12" s="13">
        <v>0</v>
      </c>
      <c r="AY12" s="13">
        <v>0</v>
      </c>
      <c r="AZ12" s="13">
        <v>0</v>
      </c>
      <c r="BA12" s="13">
        <v>0</v>
      </c>
      <c r="BB12" s="13">
        <v>0</v>
      </c>
      <c r="BC12" s="13">
        <v>0</v>
      </c>
      <c r="BD12" s="13">
        <v>0</v>
      </c>
      <c r="BE12" s="13">
        <v>0</v>
      </c>
      <c r="BF12" s="13">
        <v>0</v>
      </c>
      <c r="BG12" s="13">
        <v>0</v>
      </c>
      <c r="BH12" s="13">
        <v>0</v>
      </c>
      <c r="BI12" s="13">
        <v>0</v>
      </c>
      <c r="BJ12" s="13">
        <v>0</v>
      </c>
      <c r="BK12" s="13">
        <v>0</v>
      </c>
      <c r="BL12" s="13">
        <v>0</v>
      </c>
      <c r="BM12" s="13">
        <v>0</v>
      </c>
      <c r="BN12" s="13">
        <v>0</v>
      </c>
      <c r="BO12" s="13">
        <v>0</v>
      </c>
      <c r="BP12" s="13">
        <v>1</v>
      </c>
      <c r="BQ12" s="13" t="s">
        <v>250</v>
      </c>
      <c r="BR12" s="13">
        <v>16</v>
      </c>
    </row>
    <row r="13" spans="1:71" s="13" customFormat="1" x14ac:dyDescent="0.15">
      <c r="B13" s="13" t="s">
        <v>2274</v>
      </c>
      <c r="C13" s="13" t="s">
        <v>2245</v>
      </c>
      <c r="E13" s="13" t="s">
        <v>2246</v>
      </c>
      <c r="G13" s="13">
        <v>1</v>
      </c>
      <c r="H13" s="13">
        <v>14</v>
      </c>
      <c r="I13" s="13" t="s">
        <v>296</v>
      </c>
      <c r="K13" s="13">
        <v>3</v>
      </c>
      <c r="L13" s="13">
        <v>1</v>
      </c>
      <c r="M13" s="13" t="s">
        <v>254</v>
      </c>
      <c r="N13" s="13" t="s">
        <v>396</v>
      </c>
      <c r="O13" s="13">
        <v>0</v>
      </c>
      <c r="P13" s="13" t="s">
        <v>2275</v>
      </c>
      <c r="Q13" s="13" t="s">
        <v>2247</v>
      </c>
      <c r="S13" s="13" t="s">
        <v>2270</v>
      </c>
      <c r="U13" s="13" t="s">
        <v>2248</v>
      </c>
      <c r="Y13" s="13" t="s">
        <v>250</v>
      </c>
      <c r="Z13" s="162" t="s">
        <v>3183</v>
      </c>
      <c r="AA13" s="13" t="s">
        <v>251</v>
      </c>
      <c r="AB13" s="13">
        <v>0.15</v>
      </c>
      <c r="AC13" s="13">
        <v>0</v>
      </c>
      <c r="AD13" s="13">
        <v>20</v>
      </c>
      <c r="AE13" s="13">
        <v>1</v>
      </c>
      <c r="AF13" s="13" t="s">
        <v>2271</v>
      </c>
      <c r="AH13" s="13" t="s">
        <v>399</v>
      </c>
      <c r="AI13" s="13">
        <v>1000</v>
      </c>
      <c r="AK13" s="13">
        <v>24566.726519999997</v>
      </c>
      <c r="AN13" s="163" t="s">
        <v>235</v>
      </c>
      <c r="AO13" s="163">
        <v>0</v>
      </c>
      <c r="AP13" s="163" t="s">
        <v>252</v>
      </c>
      <c r="AR13" s="13">
        <v>24566.726519999997</v>
      </c>
      <c r="AS13" s="13">
        <v>5233.8399119999995</v>
      </c>
      <c r="AT13" s="13">
        <v>57466.312847999987</v>
      </c>
      <c r="AU13" s="13">
        <v>1</v>
      </c>
      <c r="AV13" s="13">
        <v>1</v>
      </c>
      <c r="AW13" s="13">
        <v>0</v>
      </c>
      <c r="AX13" s="13">
        <v>0</v>
      </c>
      <c r="AY13" s="13">
        <v>0</v>
      </c>
      <c r="AZ13" s="13">
        <v>0</v>
      </c>
      <c r="BA13" s="13">
        <v>0</v>
      </c>
      <c r="BB13" s="13">
        <v>0</v>
      </c>
      <c r="BC13" s="13">
        <v>0</v>
      </c>
      <c r="BD13" s="13">
        <v>0</v>
      </c>
      <c r="BE13" s="13">
        <v>0</v>
      </c>
      <c r="BF13" s="13">
        <v>0</v>
      </c>
      <c r="BG13" s="13">
        <v>0</v>
      </c>
      <c r="BH13" s="13">
        <v>0</v>
      </c>
      <c r="BI13" s="13">
        <v>0</v>
      </c>
      <c r="BJ13" s="13">
        <v>0</v>
      </c>
      <c r="BK13" s="13">
        <v>0</v>
      </c>
      <c r="BL13" s="13">
        <v>0</v>
      </c>
      <c r="BM13" s="13">
        <v>0</v>
      </c>
      <c r="BN13" s="13">
        <v>0</v>
      </c>
      <c r="BO13" s="13">
        <v>0</v>
      </c>
      <c r="BP13" s="13">
        <v>1</v>
      </c>
      <c r="BQ13" s="13" t="s">
        <v>250</v>
      </c>
      <c r="BR13" s="13">
        <v>15</v>
      </c>
    </row>
    <row r="14" spans="1:71" s="13" customFormat="1" x14ac:dyDescent="0.15">
      <c r="B14" s="13" t="s">
        <v>2276</v>
      </c>
      <c r="C14" s="13" t="s">
        <v>962</v>
      </c>
      <c r="E14" s="13" t="s">
        <v>415</v>
      </c>
      <c r="G14" s="13">
        <v>0</v>
      </c>
      <c r="H14" s="13">
        <v>14</v>
      </c>
      <c r="I14" s="13" t="s">
        <v>296</v>
      </c>
      <c r="K14" s="13">
        <v>3</v>
      </c>
      <c r="L14" s="13">
        <v>1</v>
      </c>
      <c r="M14" s="13" t="s">
        <v>254</v>
      </c>
      <c r="N14" s="13" t="s">
        <v>396</v>
      </c>
      <c r="O14" s="13">
        <v>0</v>
      </c>
      <c r="P14" s="13" t="s">
        <v>2277</v>
      </c>
      <c r="Q14" s="13" t="s">
        <v>414</v>
      </c>
      <c r="S14" s="13" t="s">
        <v>413</v>
      </c>
      <c r="U14" s="13" t="s">
        <v>412</v>
      </c>
      <c r="Y14" s="13" t="s">
        <v>250</v>
      </c>
      <c r="Z14" s="13" t="s">
        <v>411</v>
      </c>
      <c r="AA14" s="13" t="s">
        <v>251</v>
      </c>
      <c r="AB14" s="13">
        <v>0.15</v>
      </c>
      <c r="AC14" s="13">
        <v>0</v>
      </c>
      <c r="AD14" s="13">
        <v>20</v>
      </c>
      <c r="AE14" s="13">
        <v>1</v>
      </c>
      <c r="AF14" s="13" t="s">
        <v>1026</v>
      </c>
      <c r="AH14" s="13" t="s">
        <v>399</v>
      </c>
      <c r="AI14" s="13">
        <v>800</v>
      </c>
      <c r="AK14" s="13">
        <v>20636.050276799997</v>
      </c>
      <c r="AN14" s="163" t="s">
        <v>235</v>
      </c>
      <c r="AO14" s="163">
        <v>0</v>
      </c>
      <c r="AP14" s="163" t="s">
        <v>252</v>
      </c>
      <c r="AR14" s="13">
        <v>20636.050276799997</v>
      </c>
      <c r="AS14" s="13">
        <v>5233.8399119999995</v>
      </c>
      <c r="AT14" s="13">
        <v>49564.694831399989</v>
      </c>
      <c r="AU14" s="13">
        <v>1</v>
      </c>
      <c r="AV14" s="13">
        <v>1</v>
      </c>
      <c r="AW14" s="13">
        <v>0</v>
      </c>
      <c r="AX14" s="13">
        <v>0</v>
      </c>
      <c r="AY14" s="13">
        <v>0</v>
      </c>
      <c r="AZ14" s="13">
        <v>0</v>
      </c>
      <c r="BA14" s="13">
        <v>0</v>
      </c>
      <c r="BB14" s="13">
        <v>0</v>
      </c>
      <c r="BC14" s="13">
        <v>0</v>
      </c>
      <c r="BD14" s="13">
        <v>0</v>
      </c>
      <c r="BE14" s="13">
        <v>0</v>
      </c>
      <c r="BF14" s="13">
        <v>0</v>
      </c>
      <c r="BG14" s="13">
        <v>0</v>
      </c>
      <c r="BH14" s="13">
        <v>0</v>
      </c>
      <c r="BI14" s="13">
        <v>0</v>
      </c>
      <c r="BJ14" s="13">
        <v>0</v>
      </c>
      <c r="BK14" s="13">
        <v>0</v>
      </c>
      <c r="BL14" s="13">
        <v>0</v>
      </c>
      <c r="BM14" s="13">
        <v>0</v>
      </c>
      <c r="BN14" s="13">
        <v>0</v>
      </c>
      <c r="BO14" s="13">
        <v>0</v>
      </c>
      <c r="BP14" s="13">
        <v>1</v>
      </c>
      <c r="BQ14" s="13" t="s">
        <v>250</v>
      </c>
      <c r="BR14" s="13">
        <v>12</v>
      </c>
    </row>
    <row r="15" spans="1:71" s="13" customFormat="1" x14ac:dyDescent="0.15">
      <c r="B15" s="13" t="s">
        <v>2278</v>
      </c>
      <c r="C15" s="13" t="s">
        <v>2279</v>
      </c>
      <c r="E15" s="13" t="s">
        <v>2280</v>
      </c>
      <c r="G15" s="13">
        <v>2</v>
      </c>
      <c r="H15" s="13">
        <v>11</v>
      </c>
      <c r="I15" s="13" t="s">
        <v>400</v>
      </c>
      <c r="K15" s="13">
        <v>3</v>
      </c>
      <c r="L15" s="13">
        <v>1</v>
      </c>
      <c r="M15" s="13" t="s">
        <v>254</v>
      </c>
      <c r="N15" s="13" t="s">
        <v>396</v>
      </c>
      <c r="O15" s="13">
        <v>0</v>
      </c>
      <c r="P15" s="13" t="s">
        <v>2281</v>
      </c>
      <c r="Q15" s="13" t="s">
        <v>2282</v>
      </c>
      <c r="Y15" s="13" t="s">
        <v>250</v>
      </c>
      <c r="Z15" s="13" t="s">
        <v>235</v>
      </c>
      <c r="AA15" s="13" t="s">
        <v>251</v>
      </c>
      <c r="AB15" s="13">
        <v>0.15</v>
      </c>
      <c r="AC15" s="13">
        <v>0</v>
      </c>
      <c r="AD15" s="13">
        <v>20</v>
      </c>
      <c r="AE15" s="13">
        <v>1</v>
      </c>
      <c r="AF15" s="13" t="s">
        <v>2903</v>
      </c>
      <c r="AH15" s="13" t="s">
        <v>399</v>
      </c>
      <c r="AI15" s="13">
        <v>0</v>
      </c>
      <c r="AK15" s="13">
        <v>20879.680499999999</v>
      </c>
      <c r="AN15" s="163" t="s">
        <v>235</v>
      </c>
      <c r="AO15" s="163">
        <v>0</v>
      </c>
      <c r="AP15" s="163" t="s">
        <v>252</v>
      </c>
      <c r="AR15" s="13">
        <v>20879.680499999999</v>
      </c>
      <c r="AS15" s="13">
        <v>5658.4500000000007</v>
      </c>
      <c r="AT15" s="13">
        <v>79062.692625000025</v>
      </c>
      <c r="AU15" s="13">
        <v>1</v>
      </c>
      <c r="AV15" s="13">
        <v>1</v>
      </c>
      <c r="AW15" s="13">
        <v>0</v>
      </c>
      <c r="AX15" s="13">
        <v>0</v>
      </c>
      <c r="AY15" s="13">
        <v>0</v>
      </c>
      <c r="AZ15" s="13">
        <v>0</v>
      </c>
      <c r="BA15" s="13">
        <v>0</v>
      </c>
      <c r="BB15" s="13">
        <v>0</v>
      </c>
      <c r="BC15" s="13">
        <v>0</v>
      </c>
      <c r="BD15" s="13">
        <v>0</v>
      </c>
      <c r="BE15" s="13">
        <v>0</v>
      </c>
      <c r="BF15" s="13">
        <v>0</v>
      </c>
      <c r="BG15" s="13">
        <v>0</v>
      </c>
      <c r="BH15" s="13">
        <v>0</v>
      </c>
      <c r="BI15" s="13">
        <v>0</v>
      </c>
      <c r="BJ15" s="13">
        <v>0</v>
      </c>
      <c r="BK15" s="13">
        <v>0</v>
      </c>
      <c r="BL15" s="13">
        <v>0</v>
      </c>
      <c r="BM15" s="13">
        <v>0</v>
      </c>
      <c r="BN15" s="13">
        <v>0</v>
      </c>
      <c r="BO15" s="13">
        <v>0</v>
      </c>
      <c r="BP15" s="13">
        <v>1</v>
      </c>
      <c r="BQ15" s="13" t="s">
        <v>250</v>
      </c>
      <c r="BR15" s="13">
        <v>11</v>
      </c>
    </row>
    <row r="16" spans="1:71" s="13" customFormat="1" ht="14.25" x14ac:dyDescent="0.15">
      <c r="A16" s="164"/>
      <c r="B16" s="13" t="s">
        <v>2283</v>
      </c>
      <c r="C16" s="11" t="s">
        <v>2279</v>
      </c>
      <c r="E16" s="13" t="s">
        <v>2280</v>
      </c>
      <c r="G16" s="13">
        <v>2</v>
      </c>
      <c r="H16" s="13">
        <v>11</v>
      </c>
      <c r="I16" s="13" t="s">
        <v>400</v>
      </c>
      <c r="K16" s="13">
        <v>3</v>
      </c>
      <c r="L16" s="13">
        <v>1</v>
      </c>
      <c r="M16" s="13" t="s">
        <v>254</v>
      </c>
      <c r="N16" s="13" t="s">
        <v>396</v>
      </c>
      <c r="O16" s="13">
        <v>0</v>
      </c>
      <c r="P16" s="13" t="s">
        <v>2284</v>
      </c>
      <c r="Q16" s="13" t="s">
        <v>2282</v>
      </c>
      <c r="Y16" s="13" t="s">
        <v>250</v>
      </c>
      <c r="Z16" s="13" t="s">
        <v>235</v>
      </c>
      <c r="AA16" s="13" t="s">
        <v>251</v>
      </c>
      <c r="AB16" s="13">
        <v>0.15</v>
      </c>
      <c r="AC16" s="13">
        <v>0</v>
      </c>
      <c r="AD16" s="13">
        <v>20</v>
      </c>
      <c r="AE16" s="13">
        <v>1</v>
      </c>
      <c r="AF16" s="13" t="s">
        <v>2904</v>
      </c>
      <c r="AH16" s="13" t="s">
        <v>399</v>
      </c>
      <c r="AI16" s="13">
        <v>0</v>
      </c>
      <c r="AK16" s="13">
        <v>20879.680499999999</v>
      </c>
      <c r="AN16" s="163" t="s">
        <v>235</v>
      </c>
      <c r="AO16" s="163">
        <v>0</v>
      </c>
      <c r="AP16" s="163" t="s">
        <v>252</v>
      </c>
      <c r="AR16" s="13">
        <v>20879.680499999999</v>
      </c>
      <c r="AS16" s="13">
        <v>5658.4500000000007</v>
      </c>
      <c r="AT16" s="13">
        <v>79062.692625000025</v>
      </c>
      <c r="AU16" s="13">
        <v>1</v>
      </c>
      <c r="AV16" s="13">
        <v>1</v>
      </c>
      <c r="AW16" s="13">
        <v>0</v>
      </c>
      <c r="AX16" s="13">
        <v>0</v>
      </c>
      <c r="AY16" s="13">
        <v>0</v>
      </c>
      <c r="AZ16" s="13">
        <v>0</v>
      </c>
      <c r="BA16" s="13">
        <v>0</v>
      </c>
      <c r="BB16" s="13">
        <v>0</v>
      </c>
      <c r="BC16" s="13">
        <v>0</v>
      </c>
      <c r="BD16" s="13">
        <v>0</v>
      </c>
      <c r="BE16" s="13">
        <v>0</v>
      </c>
      <c r="BF16" s="13">
        <v>0</v>
      </c>
      <c r="BG16" s="13">
        <v>0</v>
      </c>
      <c r="BH16" s="13">
        <v>0</v>
      </c>
      <c r="BI16" s="13">
        <v>0</v>
      </c>
      <c r="BJ16" s="13">
        <v>0</v>
      </c>
      <c r="BK16" s="13">
        <v>0</v>
      </c>
      <c r="BL16" s="13">
        <v>0</v>
      </c>
      <c r="BM16" s="13">
        <v>0</v>
      </c>
      <c r="BN16" s="13">
        <v>0</v>
      </c>
      <c r="BO16" s="13">
        <v>0</v>
      </c>
      <c r="BP16" s="13">
        <v>1</v>
      </c>
      <c r="BQ16" s="13" t="s">
        <v>250</v>
      </c>
      <c r="BR16" s="13">
        <v>11</v>
      </c>
    </row>
    <row r="17" spans="1:70" s="13" customFormat="1" ht="14.25" x14ac:dyDescent="0.15">
      <c r="A17" s="164"/>
      <c r="B17" s="13" t="s">
        <v>2285</v>
      </c>
      <c r="C17" s="11" t="s">
        <v>882</v>
      </c>
      <c r="E17" s="13" t="s">
        <v>883</v>
      </c>
      <c r="G17" s="13">
        <v>1</v>
      </c>
      <c r="H17" s="13">
        <v>14</v>
      </c>
      <c r="I17" s="13" t="s">
        <v>400</v>
      </c>
      <c r="K17" s="13">
        <v>3</v>
      </c>
      <c r="L17" s="13">
        <v>1</v>
      </c>
      <c r="M17" s="13" t="s">
        <v>254</v>
      </c>
      <c r="N17" s="13" t="s">
        <v>396</v>
      </c>
      <c r="O17" s="13">
        <v>0</v>
      </c>
      <c r="P17" s="13" t="s">
        <v>2286</v>
      </c>
      <c r="Q17" s="13" t="s">
        <v>884</v>
      </c>
      <c r="S17" s="13" t="s">
        <v>885</v>
      </c>
      <c r="U17" s="13" t="s">
        <v>886</v>
      </c>
      <c r="Y17" s="13" t="s">
        <v>250</v>
      </c>
      <c r="Z17" s="13" t="s">
        <v>887</v>
      </c>
      <c r="AA17" s="13" t="s">
        <v>251</v>
      </c>
      <c r="AB17" s="13">
        <v>0.15</v>
      </c>
      <c r="AC17" s="13">
        <v>0</v>
      </c>
      <c r="AD17" s="13">
        <v>20</v>
      </c>
      <c r="AE17" s="13">
        <v>1</v>
      </c>
      <c r="AF17" s="13" t="s">
        <v>1010</v>
      </c>
      <c r="AH17" s="13" t="s">
        <v>399</v>
      </c>
      <c r="AI17" s="13">
        <v>0</v>
      </c>
      <c r="AK17" s="13">
        <v>16275.456319499999</v>
      </c>
      <c r="AN17" s="163" t="s">
        <v>235</v>
      </c>
      <c r="AO17" s="163">
        <v>0</v>
      </c>
      <c r="AP17" s="163" t="s">
        <v>252</v>
      </c>
      <c r="AR17" s="13">
        <v>16275.456319499999</v>
      </c>
      <c r="AS17" s="13">
        <v>7531.6232879999998</v>
      </c>
      <c r="AT17" s="13">
        <v>119258.78685335995</v>
      </c>
      <c r="AU17" s="13">
        <v>1</v>
      </c>
      <c r="AV17" s="13">
        <v>1</v>
      </c>
      <c r="AW17" s="13">
        <v>0</v>
      </c>
      <c r="AX17" s="13">
        <v>0</v>
      </c>
      <c r="AY17" s="13">
        <v>0</v>
      </c>
      <c r="AZ17" s="13">
        <v>0</v>
      </c>
      <c r="BA17" s="13">
        <v>0</v>
      </c>
      <c r="BB17" s="13">
        <v>0</v>
      </c>
      <c r="BC17" s="13">
        <v>0</v>
      </c>
      <c r="BD17" s="13">
        <v>0</v>
      </c>
      <c r="BE17" s="13">
        <v>0</v>
      </c>
      <c r="BF17" s="13">
        <v>0</v>
      </c>
      <c r="BG17" s="13">
        <v>0</v>
      </c>
      <c r="BH17" s="13">
        <v>0</v>
      </c>
      <c r="BI17" s="13">
        <v>0</v>
      </c>
      <c r="BJ17" s="13">
        <v>0</v>
      </c>
      <c r="BK17" s="13">
        <v>0</v>
      </c>
      <c r="BL17" s="13">
        <v>0</v>
      </c>
      <c r="BM17" s="13">
        <v>0</v>
      </c>
      <c r="BN17" s="13">
        <v>0</v>
      </c>
      <c r="BO17" s="13">
        <v>0</v>
      </c>
      <c r="BP17" s="13">
        <v>1</v>
      </c>
      <c r="BQ17" s="13" t="s">
        <v>250</v>
      </c>
      <c r="BR17" s="13">
        <v>16</v>
      </c>
    </row>
    <row r="18" spans="1:70" s="13" customFormat="1" ht="14.25" x14ac:dyDescent="0.15">
      <c r="A18" s="164"/>
      <c r="B18" s="13" t="s">
        <v>2287</v>
      </c>
      <c r="C18" s="13" t="s">
        <v>981</v>
      </c>
      <c r="E18" s="13" t="s">
        <v>810</v>
      </c>
      <c r="G18" s="13">
        <v>0</v>
      </c>
      <c r="H18" s="13">
        <v>12</v>
      </c>
      <c r="I18" s="13" t="s">
        <v>400</v>
      </c>
      <c r="K18" s="13">
        <v>3</v>
      </c>
      <c r="L18" s="13">
        <v>1</v>
      </c>
      <c r="M18" s="13" t="s">
        <v>254</v>
      </c>
      <c r="N18" s="13" t="s">
        <v>396</v>
      </c>
      <c r="O18" s="13">
        <v>0</v>
      </c>
      <c r="P18" s="13" t="s">
        <v>2288</v>
      </c>
      <c r="Q18" s="13" t="s">
        <v>811</v>
      </c>
      <c r="S18" s="13" t="s">
        <v>812</v>
      </c>
      <c r="U18" s="13" t="s">
        <v>813</v>
      </c>
      <c r="Y18" s="13" t="s">
        <v>250</v>
      </c>
      <c r="Z18" s="13" t="s">
        <v>814</v>
      </c>
      <c r="AA18" s="13" t="s">
        <v>251</v>
      </c>
      <c r="AB18" s="13">
        <v>0.15</v>
      </c>
      <c r="AC18" s="13">
        <v>0</v>
      </c>
      <c r="AD18" s="13">
        <v>20</v>
      </c>
      <c r="AE18" s="13">
        <v>1</v>
      </c>
      <c r="AF18" s="13" t="s">
        <v>1030</v>
      </c>
      <c r="AH18" s="13" t="s">
        <v>399</v>
      </c>
      <c r="AI18" s="13">
        <v>680</v>
      </c>
      <c r="AK18" s="13">
        <v>11976.279178499999</v>
      </c>
      <c r="AN18" s="163" t="s">
        <v>235</v>
      </c>
      <c r="AO18" s="163">
        <v>0</v>
      </c>
      <c r="AP18" s="163" t="s">
        <v>252</v>
      </c>
      <c r="AR18" s="13">
        <v>11976.279178499999</v>
      </c>
      <c r="AS18" s="13">
        <v>7531.6232879999998</v>
      </c>
      <c r="AT18" s="13">
        <v>93295.749524039988</v>
      </c>
      <c r="AU18" s="13">
        <v>1</v>
      </c>
      <c r="AV18" s="13">
        <v>1</v>
      </c>
      <c r="AW18" s="13">
        <v>0</v>
      </c>
      <c r="AX18" s="13">
        <v>0</v>
      </c>
      <c r="AY18" s="13">
        <v>0</v>
      </c>
      <c r="AZ18" s="13">
        <v>0</v>
      </c>
      <c r="BA18" s="13">
        <v>0</v>
      </c>
      <c r="BB18" s="13">
        <v>0</v>
      </c>
      <c r="BC18" s="13">
        <v>0</v>
      </c>
      <c r="BD18" s="13">
        <v>0</v>
      </c>
      <c r="BE18" s="13">
        <v>0</v>
      </c>
      <c r="BF18" s="13">
        <v>0</v>
      </c>
      <c r="BG18" s="13">
        <v>0</v>
      </c>
      <c r="BH18" s="13">
        <v>0</v>
      </c>
      <c r="BI18" s="13">
        <v>0</v>
      </c>
      <c r="BJ18" s="13">
        <v>0</v>
      </c>
      <c r="BK18" s="13">
        <v>0</v>
      </c>
      <c r="BL18" s="13">
        <v>0</v>
      </c>
      <c r="BM18" s="13">
        <v>0</v>
      </c>
      <c r="BN18" s="13">
        <v>0</v>
      </c>
      <c r="BO18" s="13">
        <v>0</v>
      </c>
      <c r="BP18" s="13">
        <v>1</v>
      </c>
      <c r="BQ18" s="13" t="s">
        <v>250</v>
      </c>
      <c r="BR18" s="13">
        <v>11</v>
      </c>
    </row>
    <row r="19" spans="1:70" s="13" customFormat="1" ht="14.25" x14ac:dyDescent="0.15">
      <c r="A19" s="164"/>
      <c r="B19" s="13" t="s">
        <v>2289</v>
      </c>
      <c r="C19" s="13" t="s">
        <v>862</v>
      </c>
      <c r="E19" s="13" t="s">
        <v>863</v>
      </c>
      <c r="G19" s="13">
        <v>0</v>
      </c>
      <c r="H19" s="13">
        <v>13</v>
      </c>
      <c r="I19" s="13" t="s">
        <v>296</v>
      </c>
      <c r="K19" s="13">
        <v>3</v>
      </c>
      <c r="L19" s="13">
        <v>1</v>
      </c>
      <c r="M19" s="13" t="s">
        <v>254</v>
      </c>
      <c r="N19" s="13" t="s">
        <v>396</v>
      </c>
      <c r="O19" s="13">
        <v>0</v>
      </c>
      <c r="P19" s="13" t="s">
        <v>2290</v>
      </c>
      <c r="Q19" s="13" t="s">
        <v>864</v>
      </c>
      <c r="S19" s="13" t="s">
        <v>865</v>
      </c>
      <c r="U19" s="13" t="s">
        <v>866</v>
      </c>
      <c r="Y19" s="13" t="s">
        <v>250</v>
      </c>
      <c r="Z19" s="13" t="s">
        <v>867</v>
      </c>
      <c r="AA19" s="13" t="s">
        <v>251</v>
      </c>
      <c r="AB19" s="13">
        <v>0.15</v>
      </c>
      <c r="AC19" s="13">
        <v>0</v>
      </c>
      <c r="AD19" s="13">
        <v>20</v>
      </c>
      <c r="AE19" s="13">
        <v>1</v>
      </c>
      <c r="AF19" s="13" t="s">
        <v>1005</v>
      </c>
      <c r="AH19" s="13" t="s">
        <v>399</v>
      </c>
      <c r="AI19" s="13">
        <v>300</v>
      </c>
      <c r="AK19" s="13">
        <v>23338.390193999996</v>
      </c>
      <c r="AN19" s="163" t="s">
        <v>235</v>
      </c>
      <c r="AO19" s="163">
        <v>0</v>
      </c>
      <c r="AP19" s="163" t="s">
        <v>252</v>
      </c>
      <c r="AR19" s="13">
        <v>23338.390193999996</v>
      </c>
      <c r="AS19" s="13">
        <v>5233.8399119999995</v>
      </c>
      <c r="AT19" s="13">
        <v>54880.328769839987</v>
      </c>
      <c r="AU19" s="13">
        <v>1</v>
      </c>
      <c r="AV19" s="13">
        <v>1</v>
      </c>
      <c r="AW19" s="13">
        <v>0</v>
      </c>
      <c r="AX19" s="13">
        <v>0</v>
      </c>
      <c r="AY19" s="13">
        <v>0</v>
      </c>
      <c r="AZ19" s="13">
        <v>0</v>
      </c>
      <c r="BA19" s="13">
        <v>0</v>
      </c>
      <c r="BB19" s="13">
        <v>0</v>
      </c>
      <c r="BC19" s="13">
        <v>0</v>
      </c>
      <c r="BD19" s="13">
        <v>0</v>
      </c>
      <c r="BE19" s="13">
        <v>0</v>
      </c>
      <c r="BF19" s="13">
        <v>0</v>
      </c>
      <c r="BG19" s="13">
        <v>0</v>
      </c>
      <c r="BH19" s="13">
        <v>0</v>
      </c>
      <c r="BI19" s="13">
        <v>0</v>
      </c>
      <c r="BJ19" s="13">
        <v>0</v>
      </c>
      <c r="BK19" s="13">
        <v>0</v>
      </c>
      <c r="BL19" s="13">
        <v>0</v>
      </c>
      <c r="BM19" s="13">
        <v>0</v>
      </c>
      <c r="BN19" s="13">
        <v>0</v>
      </c>
      <c r="BO19" s="13">
        <v>0</v>
      </c>
      <c r="BP19" s="13">
        <v>1</v>
      </c>
      <c r="BQ19" s="13" t="s">
        <v>250</v>
      </c>
      <c r="BR19" s="13">
        <v>14</v>
      </c>
    </row>
    <row r="20" spans="1:70" s="13" customFormat="1" ht="14.25" x14ac:dyDescent="0.15">
      <c r="A20" s="164"/>
      <c r="B20" s="13" t="s">
        <v>2291</v>
      </c>
      <c r="C20" s="13" t="s">
        <v>862</v>
      </c>
      <c r="E20" s="13" t="s">
        <v>863</v>
      </c>
      <c r="G20" s="13">
        <v>0</v>
      </c>
      <c r="H20" s="13">
        <v>13</v>
      </c>
      <c r="I20" s="13" t="s">
        <v>296</v>
      </c>
      <c r="K20" s="13">
        <v>3</v>
      </c>
      <c r="L20" s="13">
        <v>1</v>
      </c>
      <c r="M20" s="13" t="s">
        <v>254</v>
      </c>
      <c r="N20" s="13" t="s">
        <v>396</v>
      </c>
      <c r="O20" s="13">
        <v>0</v>
      </c>
      <c r="P20" s="13" t="s">
        <v>2292</v>
      </c>
      <c r="Q20" s="13" t="s">
        <v>864</v>
      </c>
      <c r="S20" s="13" t="s">
        <v>865</v>
      </c>
      <c r="U20" s="13" t="s">
        <v>866</v>
      </c>
      <c r="Y20" s="13" t="s">
        <v>250</v>
      </c>
      <c r="Z20" s="13" t="s">
        <v>867</v>
      </c>
      <c r="AA20" s="13" t="s">
        <v>251</v>
      </c>
      <c r="AB20" s="13">
        <v>0.15</v>
      </c>
      <c r="AC20" s="13">
        <v>0</v>
      </c>
      <c r="AD20" s="13">
        <v>20</v>
      </c>
      <c r="AE20" s="13">
        <v>1</v>
      </c>
      <c r="AF20" s="13" t="s">
        <v>1005</v>
      </c>
      <c r="AH20" s="13" t="s">
        <v>399</v>
      </c>
      <c r="AI20" s="13">
        <v>0</v>
      </c>
      <c r="AK20" s="13">
        <v>23338.390193999996</v>
      </c>
      <c r="AN20" s="163" t="s">
        <v>235</v>
      </c>
      <c r="AO20" s="163">
        <v>0</v>
      </c>
      <c r="AP20" s="163" t="s">
        <v>252</v>
      </c>
      <c r="AR20" s="13">
        <v>23338.390193999996</v>
      </c>
      <c r="AS20" s="13">
        <v>5233.8399119999995</v>
      </c>
      <c r="AT20" s="13">
        <v>54880.328769839987</v>
      </c>
      <c r="AU20" s="13">
        <v>1</v>
      </c>
      <c r="AV20" s="13">
        <v>1</v>
      </c>
      <c r="AW20" s="13">
        <v>0</v>
      </c>
      <c r="AX20" s="13">
        <v>0</v>
      </c>
      <c r="AY20" s="13">
        <v>0</v>
      </c>
      <c r="AZ20" s="13">
        <v>0</v>
      </c>
      <c r="BA20" s="13">
        <v>0</v>
      </c>
      <c r="BB20" s="13">
        <v>0</v>
      </c>
      <c r="BC20" s="13">
        <v>0</v>
      </c>
      <c r="BD20" s="13">
        <v>0</v>
      </c>
      <c r="BE20" s="13">
        <v>0</v>
      </c>
      <c r="BF20" s="13">
        <v>0</v>
      </c>
      <c r="BG20" s="13">
        <v>0</v>
      </c>
      <c r="BH20" s="13">
        <v>0</v>
      </c>
      <c r="BI20" s="13">
        <v>0</v>
      </c>
      <c r="BJ20" s="13">
        <v>0</v>
      </c>
      <c r="BK20" s="13">
        <v>0</v>
      </c>
      <c r="BL20" s="13">
        <v>0</v>
      </c>
      <c r="BM20" s="13">
        <v>0</v>
      </c>
      <c r="BN20" s="13">
        <v>0</v>
      </c>
      <c r="BO20" s="13">
        <v>0</v>
      </c>
      <c r="BP20" s="13">
        <v>1</v>
      </c>
      <c r="BQ20" s="13" t="s">
        <v>250</v>
      </c>
      <c r="BR20" s="13">
        <v>14</v>
      </c>
    </row>
    <row r="21" spans="1:70" s="13" customFormat="1" ht="14.25" x14ac:dyDescent="0.15">
      <c r="A21" s="164"/>
      <c r="B21" s="13" t="s">
        <v>2293</v>
      </c>
      <c r="C21" s="13" t="s">
        <v>856</v>
      </c>
      <c r="E21" s="13" t="s">
        <v>857</v>
      </c>
      <c r="G21" s="13">
        <v>0</v>
      </c>
      <c r="H21" s="13">
        <v>12</v>
      </c>
      <c r="I21" s="13" t="s">
        <v>400</v>
      </c>
      <c r="K21" s="13">
        <v>3</v>
      </c>
      <c r="L21" s="13">
        <v>1</v>
      </c>
      <c r="M21" s="13" t="s">
        <v>254</v>
      </c>
      <c r="N21" s="13" t="s">
        <v>396</v>
      </c>
      <c r="O21" s="13">
        <v>0</v>
      </c>
      <c r="P21" s="13" t="s">
        <v>2294</v>
      </c>
      <c r="Q21" s="13" t="s">
        <v>858</v>
      </c>
      <c r="S21" s="13" t="s">
        <v>859</v>
      </c>
      <c r="U21" s="13" t="s">
        <v>860</v>
      </c>
      <c r="Y21" s="13" t="s">
        <v>250</v>
      </c>
      <c r="Z21" s="13" t="s">
        <v>861</v>
      </c>
      <c r="AA21" s="13" t="s">
        <v>251</v>
      </c>
      <c r="AB21" s="13">
        <v>0.15</v>
      </c>
      <c r="AC21" s="13">
        <v>30</v>
      </c>
      <c r="AD21" s="13">
        <v>20</v>
      </c>
      <c r="AE21" s="13">
        <v>1</v>
      </c>
      <c r="AF21" s="13" t="s">
        <v>1004</v>
      </c>
      <c r="AH21" s="13" t="s">
        <v>399</v>
      </c>
      <c r="AI21" s="13">
        <v>1000</v>
      </c>
      <c r="AK21" s="13">
        <v>14586.493871249999</v>
      </c>
      <c r="AN21" s="163" t="s">
        <v>235</v>
      </c>
      <c r="AO21" s="163">
        <v>0</v>
      </c>
      <c r="AP21" s="163" t="s">
        <v>252</v>
      </c>
      <c r="AR21" s="13">
        <v>14586.493871249999</v>
      </c>
      <c r="AS21" s="13">
        <v>7531.6232879999998</v>
      </c>
      <c r="AT21" s="13">
        <v>108987.69516263997</v>
      </c>
      <c r="AU21" s="13">
        <v>1</v>
      </c>
      <c r="AV21" s="13">
        <v>1</v>
      </c>
      <c r="AW21" s="13">
        <v>0</v>
      </c>
      <c r="AX21" s="13">
        <v>0</v>
      </c>
      <c r="AY21" s="13">
        <v>0</v>
      </c>
      <c r="AZ21" s="13">
        <v>0</v>
      </c>
      <c r="BA21" s="13">
        <v>0</v>
      </c>
      <c r="BB21" s="13">
        <v>0</v>
      </c>
      <c r="BC21" s="13">
        <v>0</v>
      </c>
      <c r="BD21" s="13">
        <v>0</v>
      </c>
      <c r="BE21" s="13">
        <v>0</v>
      </c>
      <c r="BF21" s="13">
        <v>0</v>
      </c>
      <c r="BG21" s="13">
        <v>0</v>
      </c>
      <c r="BH21" s="13">
        <v>0</v>
      </c>
      <c r="BI21" s="13">
        <v>0</v>
      </c>
      <c r="BJ21" s="13">
        <v>0</v>
      </c>
      <c r="BK21" s="13">
        <v>0</v>
      </c>
      <c r="BL21" s="13">
        <v>0</v>
      </c>
      <c r="BM21" s="13">
        <v>0</v>
      </c>
      <c r="BN21" s="13">
        <v>0</v>
      </c>
      <c r="BO21" s="13">
        <v>0</v>
      </c>
      <c r="BP21" s="13">
        <v>1</v>
      </c>
      <c r="BQ21" s="13" t="s">
        <v>250</v>
      </c>
      <c r="BR21" s="13">
        <v>14</v>
      </c>
    </row>
    <row r="22" spans="1:70" s="13" customFormat="1" ht="14.25" x14ac:dyDescent="0.15">
      <c r="A22" s="164"/>
      <c r="B22" s="13" t="s">
        <v>2295</v>
      </c>
      <c r="C22" s="13" t="s">
        <v>881</v>
      </c>
      <c r="E22" s="13" t="s">
        <v>726</v>
      </c>
      <c r="G22" s="13">
        <v>0</v>
      </c>
      <c r="H22" s="13">
        <v>12</v>
      </c>
      <c r="I22" s="13" t="s">
        <v>400</v>
      </c>
      <c r="K22" s="13">
        <v>3</v>
      </c>
      <c r="L22" s="13">
        <v>1</v>
      </c>
      <c r="M22" s="13" t="s">
        <v>254</v>
      </c>
      <c r="N22" s="13" t="s">
        <v>396</v>
      </c>
      <c r="O22" s="13">
        <v>0</v>
      </c>
      <c r="P22" s="13" t="s">
        <v>2296</v>
      </c>
      <c r="Q22" s="13" t="s">
        <v>727</v>
      </c>
      <c r="S22" s="13" t="s">
        <v>728</v>
      </c>
      <c r="U22" s="13" t="s">
        <v>729</v>
      </c>
      <c r="Y22" s="13" t="s">
        <v>250</v>
      </c>
      <c r="Z22" s="13" t="s">
        <v>730</v>
      </c>
      <c r="AA22" s="13" t="s">
        <v>251</v>
      </c>
      <c r="AB22" s="13">
        <v>0.15</v>
      </c>
      <c r="AC22" s="13">
        <v>30</v>
      </c>
      <c r="AD22" s="13">
        <v>20</v>
      </c>
      <c r="AE22" s="13">
        <v>1</v>
      </c>
      <c r="AF22" s="13" t="s">
        <v>1009</v>
      </c>
      <c r="AH22" s="13" t="s">
        <v>399</v>
      </c>
      <c r="AI22" s="13">
        <v>680</v>
      </c>
      <c r="AK22" s="13">
        <v>10287.316730250001</v>
      </c>
      <c r="AN22" s="163" t="s">
        <v>235</v>
      </c>
      <c r="AO22" s="163">
        <v>0</v>
      </c>
      <c r="AP22" s="163" t="s">
        <v>252</v>
      </c>
      <c r="AR22" s="13">
        <v>10287.316730250001</v>
      </c>
      <c r="AS22" s="13">
        <v>7531.6232879999998</v>
      </c>
      <c r="AT22" s="13">
        <v>85307.122653479993</v>
      </c>
      <c r="AU22" s="13">
        <v>1</v>
      </c>
      <c r="AV22" s="13">
        <v>1</v>
      </c>
      <c r="AW22" s="13">
        <v>0</v>
      </c>
      <c r="AX22" s="13">
        <v>0</v>
      </c>
      <c r="AY22" s="13">
        <v>0</v>
      </c>
      <c r="AZ22" s="13">
        <v>0</v>
      </c>
      <c r="BA22" s="13">
        <v>0</v>
      </c>
      <c r="BB22" s="13">
        <v>0</v>
      </c>
      <c r="BC22" s="13">
        <v>0</v>
      </c>
      <c r="BD22" s="13">
        <v>0</v>
      </c>
      <c r="BE22" s="13">
        <v>0</v>
      </c>
      <c r="BF22" s="13">
        <v>0</v>
      </c>
      <c r="BG22" s="13">
        <v>0</v>
      </c>
      <c r="BH22" s="13">
        <v>0</v>
      </c>
      <c r="BI22" s="13">
        <v>0</v>
      </c>
      <c r="BJ22" s="13">
        <v>0</v>
      </c>
      <c r="BK22" s="13">
        <v>0</v>
      </c>
      <c r="BL22" s="13">
        <v>0</v>
      </c>
      <c r="BM22" s="13">
        <v>0</v>
      </c>
      <c r="BN22" s="13">
        <v>0</v>
      </c>
      <c r="BO22" s="13">
        <v>0</v>
      </c>
      <c r="BP22" s="13">
        <v>1</v>
      </c>
      <c r="BQ22" s="13" t="s">
        <v>250</v>
      </c>
      <c r="BR22" s="13">
        <v>8</v>
      </c>
    </row>
    <row r="23" spans="1:70" s="13" customFormat="1" ht="14.25" x14ac:dyDescent="0.15">
      <c r="A23" s="164"/>
      <c r="B23" s="13" t="s">
        <v>2297</v>
      </c>
      <c r="C23" s="13" t="s">
        <v>975</v>
      </c>
      <c r="E23" s="13" t="s">
        <v>976</v>
      </c>
      <c r="G23" s="13">
        <v>0</v>
      </c>
      <c r="H23" s="13">
        <v>12</v>
      </c>
      <c r="I23" s="13" t="s">
        <v>296</v>
      </c>
      <c r="K23" s="13">
        <v>3</v>
      </c>
      <c r="L23" s="13">
        <v>1</v>
      </c>
      <c r="M23" s="13" t="s">
        <v>254</v>
      </c>
      <c r="N23" s="13" t="s">
        <v>396</v>
      </c>
      <c r="O23" s="13">
        <v>0</v>
      </c>
      <c r="P23" s="13" t="s">
        <v>2298</v>
      </c>
      <c r="Q23" s="13" t="s">
        <v>977</v>
      </c>
      <c r="S23" s="13" t="s">
        <v>978</v>
      </c>
      <c r="U23" s="13" t="s">
        <v>979</v>
      </c>
      <c r="Y23" s="13" t="s">
        <v>250</v>
      </c>
      <c r="Z23" s="13" t="s">
        <v>980</v>
      </c>
      <c r="AA23" s="13" t="s">
        <v>251</v>
      </c>
      <c r="AB23" s="13">
        <v>0.15</v>
      </c>
      <c r="AC23" s="13">
        <v>0</v>
      </c>
      <c r="AD23" s="13">
        <v>20</v>
      </c>
      <c r="AE23" s="13">
        <v>1</v>
      </c>
      <c r="AF23" s="13" t="s">
        <v>1029</v>
      </c>
      <c r="AH23" s="13" t="s">
        <v>399</v>
      </c>
      <c r="AI23" s="13">
        <v>300</v>
      </c>
      <c r="AK23" s="13">
        <v>18179.377624799999</v>
      </c>
      <c r="AN23" s="163" t="s">
        <v>235</v>
      </c>
      <c r="AO23" s="163">
        <v>0</v>
      </c>
      <c r="AP23" s="163" t="s">
        <v>252</v>
      </c>
      <c r="AR23" s="13">
        <v>18179.377624799999</v>
      </c>
      <c r="AS23" s="13">
        <v>5233.8399119999995</v>
      </c>
      <c r="AT23" s="13">
        <v>45685.718714159993</v>
      </c>
      <c r="AU23" s="13">
        <v>1</v>
      </c>
      <c r="AV23" s="13">
        <v>1</v>
      </c>
      <c r="AW23" s="13">
        <v>0</v>
      </c>
      <c r="AX23" s="13">
        <v>0</v>
      </c>
      <c r="AY23" s="13">
        <v>0</v>
      </c>
      <c r="AZ23" s="13">
        <v>0</v>
      </c>
      <c r="BA23" s="13">
        <v>0</v>
      </c>
      <c r="BB23" s="13">
        <v>0</v>
      </c>
      <c r="BC23" s="13">
        <v>0</v>
      </c>
      <c r="BD23" s="13">
        <v>0</v>
      </c>
      <c r="BE23" s="13">
        <v>0</v>
      </c>
      <c r="BF23" s="13">
        <v>0</v>
      </c>
      <c r="BG23" s="13">
        <v>0</v>
      </c>
      <c r="BH23" s="13">
        <v>0</v>
      </c>
      <c r="BI23" s="13">
        <v>0</v>
      </c>
      <c r="BJ23" s="13">
        <v>0</v>
      </c>
      <c r="BK23" s="13">
        <v>0</v>
      </c>
      <c r="BL23" s="13">
        <v>0</v>
      </c>
      <c r="BM23" s="13">
        <v>0</v>
      </c>
      <c r="BN23" s="13">
        <v>0</v>
      </c>
      <c r="BO23" s="13">
        <v>0</v>
      </c>
      <c r="BP23" s="13">
        <v>1</v>
      </c>
      <c r="BQ23" s="13" t="s">
        <v>250</v>
      </c>
      <c r="BR23" s="13">
        <v>10</v>
      </c>
    </row>
    <row r="24" spans="1:70" s="13" customFormat="1" ht="14.25" x14ac:dyDescent="0.15">
      <c r="A24" s="164"/>
      <c r="B24" s="13" t="s">
        <v>1801</v>
      </c>
      <c r="C24" s="13" t="s">
        <v>924</v>
      </c>
      <c r="E24" s="13" t="s">
        <v>925</v>
      </c>
      <c r="G24" s="13">
        <v>0</v>
      </c>
      <c r="H24" s="13">
        <v>13</v>
      </c>
      <c r="I24" s="13" t="s">
        <v>296</v>
      </c>
      <c r="K24" s="13">
        <v>3</v>
      </c>
      <c r="L24" s="13">
        <v>1</v>
      </c>
      <c r="M24" s="13" t="s">
        <v>254</v>
      </c>
      <c r="N24" s="13" t="s">
        <v>396</v>
      </c>
      <c r="O24" s="13">
        <v>0</v>
      </c>
      <c r="P24" s="13" t="s">
        <v>1802</v>
      </c>
      <c r="Q24" s="13" t="s">
        <v>926</v>
      </c>
      <c r="S24" s="13" t="s">
        <v>927</v>
      </c>
      <c r="U24" s="13" t="s">
        <v>928</v>
      </c>
      <c r="Y24" s="13" t="s">
        <v>250</v>
      </c>
      <c r="Z24" s="13" t="s">
        <v>929</v>
      </c>
      <c r="AA24" s="13" t="s">
        <v>251</v>
      </c>
      <c r="AB24" s="13">
        <v>0.15</v>
      </c>
      <c r="AC24" s="13">
        <v>0</v>
      </c>
      <c r="AD24" s="13">
        <v>20</v>
      </c>
      <c r="AE24" s="13">
        <v>1</v>
      </c>
      <c r="AF24" s="13" t="s">
        <v>1018</v>
      </c>
      <c r="AH24" s="13" t="s">
        <v>399</v>
      </c>
      <c r="AI24" s="13">
        <v>1000</v>
      </c>
      <c r="AK24" s="13">
        <v>26040.730111199995</v>
      </c>
      <c r="AN24" s="163" t="s">
        <v>235</v>
      </c>
      <c r="AO24" s="163">
        <v>0</v>
      </c>
      <c r="AP24" s="163" t="s">
        <v>252</v>
      </c>
      <c r="AR24" s="13">
        <v>26040.730111199995</v>
      </c>
      <c r="AS24" s="13">
        <v>5233.8399119999995</v>
      </c>
      <c r="AT24" s="13">
        <v>60052.296926159979</v>
      </c>
      <c r="AU24" s="13">
        <v>1</v>
      </c>
      <c r="AV24" s="13">
        <v>1</v>
      </c>
      <c r="AW24" s="13">
        <v>0</v>
      </c>
      <c r="AX24" s="13">
        <v>0</v>
      </c>
      <c r="AY24" s="13">
        <v>0</v>
      </c>
      <c r="AZ24" s="13">
        <v>0</v>
      </c>
      <c r="BA24" s="13">
        <v>0</v>
      </c>
      <c r="BB24" s="13">
        <v>0</v>
      </c>
      <c r="BC24" s="13">
        <v>0</v>
      </c>
      <c r="BD24" s="13">
        <v>0</v>
      </c>
      <c r="BE24" s="13">
        <v>0</v>
      </c>
      <c r="BF24" s="13">
        <v>0</v>
      </c>
      <c r="BG24" s="13">
        <v>0</v>
      </c>
      <c r="BH24" s="13">
        <v>0</v>
      </c>
      <c r="BI24" s="13">
        <v>0</v>
      </c>
      <c r="BJ24" s="13">
        <v>0</v>
      </c>
      <c r="BK24" s="13">
        <v>0</v>
      </c>
      <c r="BL24" s="13">
        <v>0</v>
      </c>
      <c r="BM24" s="13">
        <v>0</v>
      </c>
      <c r="BN24" s="13">
        <v>0</v>
      </c>
      <c r="BO24" s="13">
        <v>0</v>
      </c>
      <c r="BP24" s="13">
        <v>1</v>
      </c>
      <c r="BQ24" s="13" t="s">
        <v>250</v>
      </c>
      <c r="BR24" s="13">
        <v>16</v>
      </c>
    </row>
    <row r="25" spans="1:70" s="13" customFormat="1" ht="14.25" x14ac:dyDescent="0.15">
      <c r="A25" s="164"/>
      <c r="B25" s="13" t="s">
        <v>1803</v>
      </c>
      <c r="C25" s="13" t="s">
        <v>975</v>
      </c>
      <c r="E25" s="13" t="s">
        <v>976</v>
      </c>
      <c r="G25" s="13">
        <v>0</v>
      </c>
      <c r="H25" s="13">
        <v>12</v>
      </c>
      <c r="I25" s="13" t="s">
        <v>296</v>
      </c>
      <c r="K25" s="13">
        <v>3</v>
      </c>
      <c r="L25" s="13">
        <v>1</v>
      </c>
      <c r="M25" s="13" t="s">
        <v>254</v>
      </c>
      <c r="N25" s="13" t="s">
        <v>396</v>
      </c>
      <c r="O25" s="13">
        <v>0</v>
      </c>
      <c r="P25" s="13" t="s">
        <v>1804</v>
      </c>
      <c r="Q25" s="13" t="s">
        <v>977</v>
      </c>
      <c r="S25" s="13" t="s">
        <v>978</v>
      </c>
      <c r="U25" s="13" t="s">
        <v>979</v>
      </c>
      <c r="Y25" s="13" t="s">
        <v>250</v>
      </c>
      <c r="Z25" s="13" t="s">
        <v>980</v>
      </c>
      <c r="AA25" s="13" t="s">
        <v>251</v>
      </c>
      <c r="AB25" s="13">
        <v>0.15</v>
      </c>
      <c r="AC25" s="13">
        <v>0</v>
      </c>
      <c r="AD25" s="13">
        <v>20</v>
      </c>
      <c r="AE25" s="13">
        <v>1</v>
      </c>
      <c r="AF25" s="13" t="s">
        <v>1029</v>
      </c>
      <c r="AH25" s="13" t="s">
        <v>399</v>
      </c>
      <c r="AI25" s="13">
        <v>0</v>
      </c>
      <c r="AK25" s="13">
        <v>18179.377624799999</v>
      </c>
      <c r="AN25" s="163" t="s">
        <v>235</v>
      </c>
      <c r="AO25" s="163">
        <v>0</v>
      </c>
      <c r="AP25" s="163" t="s">
        <v>252</v>
      </c>
      <c r="AR25" s="13">
        <v>18179.377624799999</v>
      </c>
      <c r="AS25" s="13">
        <v>5233.8399119999995</v>
      </c>
      <c r="AT25" s="13">
        <v>45685.718714159993</v>
      </c>
      <c r="AU25" s="13">
        <v>1</v>
      </c>
      <c r="AV25" s="13">
        <v>1</v>
      </c>
      <c r="AW25" s="13">
        <v>0</v>
      </c>
      <c r="AX25" s="13">
        <v>0</v>
      </c>
      <c r="AY25" s="13">
        <v>0</v>
      </c>
      <c r="AZ25" s="13">
        <v>0</v>
      </c>
      <c r="BA25" s="13">
        <v>0</v>
      </c>
      <c r="BB25" s="13">
        <v>0</v>
      </c>
      <c r="BC25" s="13">
        <v>0</v>
      </c>
      <c r="BD25" s="13">
        <v>0</v>
      </c>
      <c r="BE25" s="13">
        <v>0</v>
      </c>
      <c r="BF25" s="13">
        <v>0</v>
      </c>
      <c r="BG25" s="13">
        <v>0</v>
      </c>
      <c r="BH25" s="13">
        <v>0</v>
      </c>
      <c r="BI25" s="13">
        <v>0</v>
      </c>
      <c r="BJ25" s="13">
        <v>0</v>
      </c>
      <c r="BK25" s="13">
        <v>0</v>
      </c>
      <c r="BL25" s="13">
        <v>0</v>
      </c>
      <c r="BM25" s="13">
        <v>0</v>
      </c>
      <c r="BN25" s="13">
        <v>0</v>
      </c>
      <c r="BO25" s="13">
        <v>0</v>
      </c>
      <c r="BP25" s="13">
        <v>1</v>
      </c>
      <c r="BQ25" s="13" t="s">
        <v>250</v>
      </c>
      <c r="BR25" s="13">
        <v>10</v>
      </c>
    </row>
    <row r="26" spans="1:70" s="13" customFormat="1" ht="14.25" x14ac:dyDescent="0.15">
      <c r="A26" s="164"/>
      <c r="B26" s="13" t="s">
        <v>2299</v>
      </c>
      <c r="C26" s="13" t="s">
        <v>2250</v>
      </c>
      <c r="E26" s="13" t="s">
        <v>2251</v>
      </c>
      <c r="G26" s="13">
        <v>1</v>
      </c>
      <c r="H26" s="13">
        <v>13</v>
      </c>
      <c r="I26" s="13" t="s">
        <v>296</v>
      </c>
      <c r="K26" s="13">
        <v>3</v>
      </c>
      <c r="L26" s="13">
        <v>1</v>
      </c>
      <c r="M26" s="13" t="s">
        <v>254</v>
      </c>
      <c r="N26" s="13" t="s">
        <v>396</v>
      </c>
      <c r="O26" s="13">
        <v>0</v>
      </c>
      <c r="P26" s="13" t="s">
        <v>2300</v>
      </c>
      <c r="Q26" s="13" t="s">
        <v>2252</v>
      </c>
      <c r="S26" s="13" t="s">
        <v>2301</v>
      </c>
      <c r="U26" s="13" t="s">
        <v>2253</v>
      </c>
      <c r="Y26" s="13" t="s">
        <v>250</v>
      </c>
      <c r="Z26" s="13" t="s">
        <v>2254</v>
      </c>
      <c r="AA26" s="13" t="s">
        <v>251</v>
      </c>
      <c r="AB26" s="13">
        <v>0.15</v>
      </c>
      <c r="AC26" s="13">
        <v>0</v>
      </c>
      <c r="AD26" s="13">
        <v>20</v>
      </c>
      <c r="AE26" s="13">
        <v>1</v>
      </c>
      <c r="AF26" s="13" t="s">
        <v>3068</v>
      </c>
      <c r="AH26" s="13" t="s">
        <v>3171</v>
      </c>
      <c r="AI26" s="13">
        <v>680</v>
      </c>
      <c r="AK26" s="13">
        <v>16459.706768399996</v>
      </c>
      <c r="AN26" s="163" t="s">
        <v>235</v>
      </c>
      <c r="AO26" s="163">
        <v>0</v>
      </c>
      <c r="AP26" s="163" t="s">
        <v>252</v>
      </c>
      <c r="AR26" s="13">
        <v>16459.706768399996</v>
      </c>
      <c r="AS26" s="13">
        <v>5233.8399119999995</v>
      </c>
      <c r="AT26" s="13">
        <v>85912.137707760005</v>
      </c>
      <c r="AU26" s="13">
        <v>1</v>
      </c>
      <c r="AV26" s="13">
        <v>1</v>
      </c>
      <c r="AW26" s="13">
        <v>0</v>
      </c>
      <c r="AX26" s="13">
        <v>0</v>
      </c>
      <c r="AY26" s="13">
        <v>0</v>
      </c>
      <c r="AZ26" s="13">
        <v>0</v>
      </c>
      <c r="BA26" s="13">
        <v>0</v>
      </c>
      <c r="BB26" s="13">
        <v>0</v>
      </c>
      <c r="BC26" s="13">
        <v>0</v>
      </c>
      <c r="BD26" s="13">
        <v>0</v>
      </c>
      <c r="BE26" s="13">
        <v>0.4</v>
      </c>
      <c r="BF26" s="13">
        <v>0</v>
      </c>
      <c r="BG26" s="13">
        <v>0</v>
      </c>
      <c r="BH26" s="13">
        <v>0</v>
      </c>
      <c r="BI26" s="13">
        <v>0</v>
      </c>
      <c r="BJ26" s="13">
        <v>0</v>
      </c>
      <c r="BK26" s="13">
        <v>0</v>
      </c>
      <c r="BL26" s="13">
        <v>0</v>
      </c>
      <c r="BM26" s="13">
        <v>0</v>
      </c>
      <c r="BN26" s="13">
        <v>0</v>
      </c>
      <c r="BO26" s="13">
        <v>0</v>
      </c>
      <c r="BP26" s="13">
        <v>1</v>
      </c>
      <c r="BQ26" s="13" t="s">
        <v>250</v>
      </c>
      <c r="BR26" s="13">
        <v>8</v>
      </c>
    </row>
    <row r="27" spans="1:70" s="13" customFormat="1" ht="14.25" x14ac:dyDescent="0.15">
      <c r="A27" s="164"/>
      <c r="B27" s="13" t="s">
        <v>1805</v>
      </c>
      <c r="C27" s="13" t="s">
        <v>1043</v>
      </c>
      <c r="E27" s="13" t="s">
        <v>1044</v>
      </c>
      <c r="G27" s="13">
        <v>0</v>
      </c>
      <c r="H27" s="13">
        <v>13</v>
      </c>
      <c r="I27" s="13" t="s">
        <v>421</v>
      </c>
      <c r="K27" s="13">
        <v>3</v>
      </c>
      <c r="L27" s="13">
        <v>1</v>
      </c>
      <c r="M27" s="13" t="s">
        <v>254</v>
      </c>
      <c r="N27" s="13" t="s">
        <v>396</v>
      </c>
      <c r="O27" s="13">
        <v>0</v>
      </c>
      <c r="P27" s="13" t="s">
        <v>1806</v>
      </c>
      <c r="Q27" s="13" t="s">
        <v>1045</v>
      </c>
      <c r="S27" s="13" t="s">
        <v>1046</v>
      </c>
      <c r="U27" s="13" t="s">
        <v>1047</v>
      </c>
      <c r="Y27" s="13" t="s">
        <v>250</v>
      </c>
      <c r="Z27" s="13" t="s">
        <v>1048</v>
      </c>
      <c r="AA27" s="13" t="s">
        <v>251</v>
      </c>
      <c r="AB27" s="13">
        <v>0.15</v>
      </c>
      <c r="AC27" s="13">
        <v>0</v>
      </c>
      <c r="AD27" s="13">
        <v>20</v>
      </c>
      <c r="AE27" s="13">
        <v>1</v>
      </c>
      <c r="AF27" s="13" t="s">
        <v>1106</v>
      </c>
      <c r="AH27" s="13" t="s">
        <v>399</v>
      </c>
      <c r="AI27" s="13">
        <v>0</v>
      </c>
      <c r="AK27" s="13">
        <v>19313.541499139996</v>
      </c>
      <c r="AN27" s="163" t="s">
        <v>235</v>
      </c>
      <c r="AO27" s="163">
        <v>0</v>
      </c>
      <c r="AP27" s="163" t="s">
        <v>252</v>
      </c>
      <c r="AR27" s="13">
        <v>19313.541499139996</v>
      </c>
      <c r="AS27" s="13">
        <v>6382.7316000000001</v>
      </c>
      <c r="AT27" s="13">
        <v>130009.43897171998</v>
      </c>
      <c r="AU27" s="13">
        <v>1</v>
      </c>
      <c r="AV27" s="13">
        <v>1</v>
      </c>
      <c r="AW27" s="13">
        <v>0</v>
      </c>
      <c r="AX27" s="13">
        <v>0</v>
      </c>
      <c r="AY27" s="13">
        <v>0</v>
      </c>
      <c r="AZ27" s="13">
        <v>0</v>
      </c>
      <c r="BA27" s="13">
        <v>0</v>
      </c>
      <c r="BB27" s="13">
        <v>0</v>
      </c>
      <c r="BC27" s="13">
        <v>0</v>
      </c>
      <c r="BD27" s="13">
        <v>0</v>
      </c>
      <c r="BE27" s="13">
        <v>0</v>
      </c>
      <c r="BF27" s="13">
        <v>0</v>
      </c>
      <c r="BG27" s="13">
        <v>0</v>
      </c>
      <c r="BH27" s="13">
        <v>0</v>
      </c>
      <c r="BI27" s="13">
        <v>0</v>
      </c>
      <c r="BJ27" s="13">
        <v>0</v>
      </c>
      <c r="BK27" s="13">
        <v>0</v>
      </c>
      <c r="BL27" s="13">
        <v>0</v>
      </c>
      <c r="BM27" s="13">
        <v>0</v>
      </c>
      <c r="BN27" s="13">
        <v>0</v>
      </c>
      <c r="BO27" s="13">
        <v>0</v>
      </c>
      <c r="BP27" s="13">
        <v>1</v>
      </c>
      <c r="BQ27" s="13" t="s">
        <v>250</v>
      </c>
      <c r="BR27" s="13">
        <v>13</v>
      </c>
    </row>
    <row r="28" spans="1:70" s="13" customFormat="1" ht="14.25" x14ac:dyDescent="0.15">
      <c r="A28" s="164"/>
      <c r="B28" s="13" t="s">
        <v>1807</v>
      </c>
      <c r="C28" s="13" t="s">
        <v>962</v>
      </c>
      <c r="E28" s="13" t="s">
        <v>415</v>
      </c>
      <c r="G28" s="13">
        <v>0</v>
      </c>
      <c r="H28" s="13">
        <v>14</v>
      </c>
      <c r="I28" s="13" t="s">
        <v>296</v>
      </c>
      <c r="K28" s="13">
        <v>3</v>
      </c>
      <c r="L28" s="13">
        <v>1</v>
      </c>
      <c r="M28" s="13" t="s">
        <v>254</v>
      </c>
      <c r="N28" s="13" t="s">
        <v>396</v>
      </c>
      <c r="O28" s="13">
        <v>0</v>
      </c>
      <c r="P28" s="13" t="s">
        <v>1808</v>
      </c>
      <c r="Q28" s="13" t="s">
        <v>414</v>
      </c>
      <c r="S28" s="13" t="s">
        <v>413</v>
      </c>
      <c r="U28" s="13" t="s">
        <v>412</v>
      </c>
      <c r="Y28" s="13" t="s">
        <v>250</v>
      </c>
      <c r="Z28" s="13" t="s">
        <v>411</v>
      </c>
      <c r="AA28" s="13" t="s">
        <v>251</v>
      </c>
      <c r="AB28" s="13">
        <v>0.15</v>
      </c>
      <c r="AC28" s="13">
        <v>0</v>
      </c>
      <c r="AD28" s="13">
        <v>20</v>
      </c>
      <c r="AE28" s="13">
        <v>1</v>
      </c>
      <c r="AF28" s="13" t="s">
        <v>1026</v>
      </c>
      <c r="AH28" s="13" t="s">
        <v>399</v>
      </c>
      <c r="AI28" s="13">
        <v>680</v>
      </c>
      <c r="AK28" s="13">
        <v>20636.050276799997</v>
      </c>
      <c r="AN28" s="163" t="s">
        <v>235</v>
      </c>
      <c r="AO28" s="163">
        <v>0</v>
      </c>
      <c r="AP28" s="163" t="s">
        <v>252</v>
      </c>
      <c r="AR28" s="13">
        <v>20636.050276799997</v>
      </c>
      <c r="AS28" s="13">
        <v>5233.8399119999995</v>
      </c>
      <c r="AT28" s="13">
        <v>74347.042247099991</v>
      </c>
      <c r="AU28" s="13">
        <v>1</v>
      </c>
      <c r="AV28" s="13">
        <v>1</v>
      </c>
      <c r="AW28" s="13">
        <v>0</v>
      </c>
      <c r="AX28" s="13">
        <v>0</v>
      </c>
      <c r="AY28" s="13">
        <v>0</v>
      </c>
      <c r="AZ28" s="13">
        <v>0</v>
      </c>
      <c r="BA28" s="13">
        <v>0</v>
      </c>
      <c r="BB28" s="13">
        <v>0</v>
      </c>
      <c r="BC28" s="13">
        <v>0</v>
      </c>
      <c r="BD28" s="13">
        <v>0</v>
      </c>
      <c r="BE28" s="13">
        <v>0</v>
      </c>
      <c r="BF28" s="13">
        <v>0</v>
      </c>
      <c r="BG28" s="13">
        <v>0</v>
      </c>
      <c r="BH28" s="13">
        <v>0</v>
      </c>
      <c r="BI28" s="13">
        <v>0</v>
      </c>
      <c r="BJ28" s="13">
        <v>0</v>
      </c>
      <c r="BK28" s="13">
        <v>0</v>
      </c>
      <c r="BL28" s="13">
        <v>0</v>
      </c>
      <c r="BM28" s="13">
        <v>0</v>
      </c>
      <c r="BN28" s="13">
        <v>0</v>
      </c>
      <c r="BO28" s="13">
        <v>0</v>
      </c>
      <c r="BP28" s="13">
        <v>1</v>
      </c>
      <c r="BQ28" s="13" t="s">
        <v>250</v>
      </c>
      <c r="BR28" s="13">
        <v>12</v>
      </c>
    </row>
    <row r="29" spans="1:70" s="13" customFormat="1" ht="14.25" x14ac:dyDescent="0.15">
      <c r="A29" s="164"/>
      <c r="B29" s="13" t="s">
        <v>1809</v>
      </c>
      <c r="C29" s="11" t="s">
        <v>2303</v>
      </c>
      <c r="E29" s="13" t="s">
        <v>2304</v>
      </c>
      <c r="G29" s="13">
        <v>0</v>
      </c>
      <c r="H29" s="13">
        <v>12</v>
      </c>
      <c r="I29" s="13" t="s">
        <v>421</v>
      </c>
      <c r="K29" s="13">
        <v>3</v>
      </c>
      <c r="L29" s="13">
        <v>1</v>
      </c>
      <c r="M29" s="13" t="s">
        <v>254</v>
      </c>
      <c r="N29" s="13" t="s">
        <v>396</v>
      </c>
      <c r="O29" s="13">
        <v>0</v>
      </c>
      <c r="P29" s="13" t="s">
        <v>1810</v>
      </c>
      <c r="Q29" s="13" t="s">
        <v>2305</v>
      </c>
      <c r="S29" s="13" t="s">
        <v>2306</v>
      </c>
      <c r="U29" s="13" t="s">
        <v>2307</v>
      </c>
      <c r="Y29" s="13" t="s">
        <v>250</v>
      </c>
      <c r="Z29" s="13" t="s">
        <v>2308</v>
      </c>
      <c r="AA29" s="13" t="s">
        <v>251</v>
      </c>
      <c r="AB29" s="13">
        <v>0.15</v>
      </c>
      <c r="AC29" s="13">
        <v>0</v>
      </c>
      <c r="AD29" s="13">
        <v>20</v>
      </c>
      <c r="AE29" s="13">
        <v>1</v>
      </c>
      <c r="AF29" s="13" t="s">
        <v>2309</v>
      </c>
      <c r="AH29" s="13" t="s">
        <v>399</v>
      </c>
      <c r="AI29" s="13">
        <v>800</v>
      </c>
      <c r="AK29" s="13">
        <v>20615.578004699997</v>
      </c>
      <c r="AN29" s="163" t="s">
        <v>235</v>
      </c>
      <c r="AO29" s="163">
        <v>0</v>
      </c>
      <c r="AP29" s="163" t="s">
        <v>252</v>
      </c>
      <c r="AR29" s="13">
        <v>20615.578004699997</v>
      </c>
      <c r="AS29" s="13">
        <v>6382.7316000000001</v>
      </c>
      <c r="AT29" s="13">
        <v>136814.34073607999</v>
      </c>
      <c r="AU29" s="13">
        <v>1</v>
      </c>
      <c r="AV29" s="13">
        <v>1</v>
      </c>
      <c r="AW29" s="13">
        <v>0</v>
      </c>
      <c r="AX29" s="13">
        <v>0</v>
      </c>
      <c r="AY29" s="13">
        <v>0</v>
      </c>
      <c r="AZ29" s="13">
        <v>0</v>
      </c>
      <c r="BA29" s="13">
        <v>0</v>
      </c>
      <c r="BB29" s="13">
        <v>0</v>
      </c>
      <c r="BC29" s="13">
        <v>0</v>
      </c>
      <c r="BD29" s="13">
        <v>0</v>
      </c>
      <c r="BE29" s="13">
        <v>0</v>
      </c>
      <c r="BF29" s="13">
        <v>0</v>
      </c>
      <c r="BG29" s="13">
        <v>0</v>
      </c>
      <c r="BH29" s="13">
        <v>0</v>
      </c>
      <c r="BI29" s="13">
        <v>0</v>
      </c>
      <c r="BJ29" s="13">
        <v>0</v>
      </c>
      <c r="BK29" s="13">
        <v>0</v>
      </c>
      <c r="BL29" s="13">
        <v>0</v>
      </c>
      <c r="BM29" s="13">
        <v>0</v>
      </c>
      <c r="BN29" s="13">
        <v>0</v>
      </c>
      <c r="BO29" s="13">
        <v>0</v>
      </c>
      <c r="BP29" s="13">
        <v>1</v>
      </c>
      <c r="BQ29" s="13" t="s">
        <v>250</v>
      </c>
      <c r="BR29" s="13">
        <v>14</v>
      </c>
    </row>
    <row r="30" spans="1:70" s="13" customFormat="1" ht="14.25" x14ac:dyDescent="0.15">
      <c r="A30" s="164"/>
      <c r="B30" s="13" t="s">
        <v>2310</v>
      </c>
      <c r="C30" s="13" t="s">
        <v>2311</v>
      </c>
      <c r="E30" s="13" t="s">
        <v>2312</v>
      </c>
      <c r="G30" s="13">
        <v>0</v>
      </c>
      <c r="H30" s="13">
        <v>14</v>
      </c>
      <c r="I30" s="13" t="s">
        <v>421</v>
      </c>
      <c r="K30" s="13">
        <v>3</v>
      </c>
      <c r="L30" s="13">
        <v>1</v>
      </c>
      <c r="M30" s="13" t="s">
        <v>254</v>
      </c>
      <c r="N30" s="13" t="s">
        <v>396</v>
      </c>
      <c r="O30" s="13">
        <v>0</v>
      </c>
      <c r="P30" s="13" t="s">
        <v>2313</v>
      </c>
      <c r="Q30" s="13" t="s">
        <v>2314</v>
      </c>
      <c r="S30" s="13" t="s">
        <v>2315</v>
      </c>
      <c r="U30" s="13" t="s">
        <v>2316</v>
      </c>
      <c r="Y30" s="13" t="s">
        <v>250</v>
      </c>
      <c r="Z30" s="13" t="s">
        <v>2317</v>
      </c>
      <c r="AA30" s="13" t="s">
        <v>251</v>
      </c>
      <c r="AB30" s="13">
        <v>0.15</v>
      </c>
      <c r="AC30" s="13">
        <v>30</v>
      </c>
      <c r="AD30" s="13">
        <v>20</v>
      </c>
      <c r="AE30" s="13">
        <v>1</v>
      </c>
      <c r="AF30" s="13" t="s">
        <v>2318</v>
      </c>
      <c r="AH30" s="13" t="s">
        <v>399</v>
      </c>
      <c r="AI30" s="13">
        <v>1000</v>
      </c>
      <c r="AK30" s="13">
        <v>25389.711858419996</v>
      </c>
      <c r="AN30" s="163" t="s">
        <v>235</v>
      </c>
      <c r="AO30" s="163">
        <v>0</v>
      </c>
      <c r="AP30" s="163" t="s">
        <v>252</v>
      </c>
      <c r="AR30" s="13">
        <v>25389.711858419996</v>
      </c>
      <c r="AS30" s="13">
        <v>6382.7316000000001</v>
      </c>
      <c r="AT30" s="13">
        <v>162959.48962019998</v>
      </c>
      <c r="AU30" s="13">
        <v>1</v>
      </c>
      <c r="AV30" s="13">
        <v>1</v>
      </c>
      <c r="AW30" s="13">
        <v>0</v>
      </c>
      <c r="AX30" s="13">
        <v>0</v>
      </c>
      <c r="AY30" s="13">
        <v>0</v>
      </c>
      <c r="AZ30" s="13">
        <v>0</v>
      </c>
      <c r="BA30" s="13">
        <v>0</v>
      </c>
      <c r="BB30" s="13">
        <v>0</v>
      </c>
      <c r="BC30" s="13">
        <v>0</v>
      </c>
      <c r="BD30" s="13">
        <v>0</v>
      </c>
      <c r="BE30" s="13">
        <v>0</v>
      </c>
      <c r="BF30" s="13">
        <v>0</v>
      </c>
      <c r="BG30" s="13">
        <v>0</v>
      </c>
      <c r="BH30" s="13">
        <v>0</v>
      </c>
      <c r="BI30" s="13">
        <v>0</v>
      </c>
      <c r="BJ30" s="13">
        <v>0</v>
      </c>
      <c r="BK30" s="13">
        <v>0</v>
      </c>
      <c r="BL30" s="13">
        <v>0</v>
      </c>
      <c r="BM30" s="13">
        <v>0</v>
      </c>
      <c r="BN30" s="13">
        <v>0</v>
      </c>
      <c r="BO30" s="13">
        <v>0</v>
      </c>
      <c r="BP30" s="13">
        <v>1</v>
      </c>
      <c r="BQ30" s="13" t="s">
        <v>250</v>
      </c>
      <c r="BR30" s="13">
        <v>18</v>
      </c>
    </row>
    <row r="31" spans="1:70" s="13" customFormat="1" ht="14.25" x14ac:dyDescent="0.15">
      <c r="A31" s="164"/>
      <c r="B31" s="13" t="s">
        <v>1811</v>
      </c>
      <c r="C31" s="13" t="s">
        <v>2319</v>
      </c>
      <c r="E31" s="13" t="s">
        <v>2320</v>
      </c>
      <c r="G31" s="13">
        <v>0</v>
      </c>
      <c r="H31" s="13">
        <v>15</v>
      </c>
      <c r="I31" s="13" t="s">
        <v>296</v>
      </c>
      <c r="K31" s="13">
        <v>3</v>
      </c>
      <c r="L31" s="13">
        <v>1</v>
      </c>
      <c r="M31" s="13" t="s">
        <v>254</v>
      </c>
      <c r="N31" s="13" t="s">
        <v>396</v>
      </c>
      <c r="O31" s="13">
        <v>0</v>
      </c>
      <c r="P31" s="13" t="s">
        <v>1812</v>
      </c>
      <c r="Q31" s="13" t="s">
        <v>2321</v>
      </c>
      <c r="S31" s="13" t="s">
        <v>2322</v>
      </c>
      <c r="U31" s="13" t="s">
        <v>2323</v>
      </c>
      <c r="Y31" s="13" t="s">
        <v>250</v>
      </c>
      <c r="Z31" s="13" t="s">
        <v>2324</v>
      </c>
      <c r="AA31" s="13" t="s">
        <v>251</v>
      </c>
      <c r="AB31" s="13">
        <v>0.15</v>
      </c>
      <c r="AC31" s="13">
        <v>0</v>
      </c>
      <c r="AD31" s="13">
        <v>20</v>
      </c>
      <c r="AE31" s="13">
        <v>1</v>
      </c>
      <c r="AF31" s="13" t="s">
        <v>2325</v>
      </c>
      <c r="AH31" s="13" t="s">
        <v>399</v>
      </c>
      <c r="AI31" s="13">
        <v>1000</v>
      </c>
      <c r="AK31" s="13">
        <v>24566.726519999997</v>
      </c>
      <c r="AN31" s="163" t="s">
        <v>235</v>
      </c>
      <c r="AO31" s="163">
        <v>0</v>
      </c>
      <c r="AP31" s="163" t="s">
        <v>252</v>
      </c>
      <c r="AR31" s="13">
        <v>24566.726519999997</v>
      </c>
      <c r="AS31" s="13">
        <v>5233.8399119999995</v>
      </c>
      <c r="AT31" s="13">
        <v>86199.469271999988</v>
      </c>
      <c r="AU31" s="13">
        <v>1</v>
      </c>
      <c r="AV31" s="13">
        <v>1</v>
      </c>
      <c r="AW31" s="13">
        <v>0</v>
      </c>
      <c r="AX31" s="13">
        <v>0</v>
      </c>
      <c r="AY31" s="13">
        <v>0</v>
      </c>
      <c r="AZ31" s="13">
        <v>0</v>
      </c>
      <c r="BA31" s="13">
        <v>0</v>
      </c>
      <c r="BB31" s="13">
        <v>0</v>
      </c>
      <c r="BC31" s="13">
        <v>0</v>
      </c>
      <c r="BD31" s="13">
        <v>0</v>
      </c>
      <c r="BE31" s="13">
        <v>0</v>
      </c>
      <c r="BF31" s="13">
        <v>0</v>
      </c>
      <c r="BG31" s="13">
        <v>0</v>
      </c>
      <c r="BH31" s="13">
        <v>0</v>
      </c>
      <c r="BI31" s="13">
        <v>0</v>
      </c>
      <c r="BJ31" s="13">
        <v>0</v>
      </c>
      <c r="BK31" s="13">
        <v>0</v>
      </c>
      <c r="BL31" s="13">
        <v>0</v>
      </c>
      <c r="BM31" s="13">
        <v>0</v>
      </c>
      <c r="BN31" s="13">
        <v>0</v>
      </c>
      <c r="BO31" s="13">
        <v>0</v>
      </c>
      <c r="BP31" s="13">
        <v>1</v>
      </c>
      <c r="BQ31" s="13" t="s">
        <v>250</v>
      </c>
      <c r="BR31" s="13">
        <v>17</v>
      </c>
    </row>
    <row r="32" spans="1:70" s="13" customFormat="1" ht="14.25" x14ac:dyDescent="0.15">
      <c r="A32" s="164"/>
      <c r="B32" s="13" t="s">
        <v>2326</v>
      </c>
      <c r="C32" s="13" t="s">
        <v>2327</v>
      </c>
      <c r="E32" s="13" t="s">
        <v>2328</v>
      </c>
      <c r="G32" s="13">
        <v>0</v>
      </c>
      <c r="H32" s="13">
        <v>14</v>
      </c>
      <c r="I32" s="13" t="s">
        <v>421</v>
      </c>
      <c r="K32" s="13">
        <v>3</v>
      </c>
      <c r="L32" s="13">
        <v>1</v>
      </c>
      <c r="M32" s="13" t="s">
        <v>254</v>
      </c>
      <c r="N32" s="13" t="s">
        <v>396</v>
      </c>
      <c r="O32" s="13">
        <v>0</v>
      </c>
      <c r="P32" s="13" t="s">
        <v>2329</v>
      </c>
      <c r="Q32" s="13" t="s">
        <v>2330</v>
      </c>
      <c r="S32" s="13" t="s">
        <v>2331</v>
      </c>
      <c r="U32" s="13" t="s">
        <v>2332</v>
      </c>
      <c r="Y32" s="13" t="s">
        <v>250</v>
      </c>
      <c r="Z32" s="13" t="s">
        <v>2333</v>
      </c>
      <c r="AA32" s="13" t="s">
        <v>251</v>
      </c>
      <c r="AB32" s="13">
        <v>0.15</v>
      </c>
      <c r="AC32" s="13">
        <v>0</v>
      </c>
      <c r="AD32" s="13">
        <v>20</v>
      </c>
      <c r="AE32" s="13">
        <v>1</v>
      </c>
      <c r="AF32" s="13" t="s">
        <v>2334</v>
      </c>
      <c r="AH32" s="13" t="s">
        <v>399</v>
      </c>
      <c r="AI32" s="13">
        <v>680</v>
      </c>
      <c r="AK32" s="13">
        <v>20615.578004699997</v>
      </c>
      <c r="AN32" s="163" t="s">
        <v>235</v>
      </c>
      <c r="AO32" s="163">
        <v>0</v>
      </c>
      <c r="AP32" s="163" t="s">
        <v>3305</v>
      </c>
      <c r="AR32" s="13">
        <v>20615.578004699997</v>
      </c>
      <c r="AS32" s="13">
        <v>6382.7316000000001</v>
      </c>
      <c r="AT32" s="13">
        <v>136814.34073607999</v>
      </c>
      <c r="AU32" s="13">
        <v>1</v>
      </c>
      <c r="AV32" s="13">
        <v>1</v>
      </c>
      <c r="AW32" s="13">
        <v>0</v>
      </c>
      <c r="AX32" s="13">
        <v>0</v>
      </c>
      <c r="AY32" s="13">
        <v>0</v>
      </c>
      <c r="AZ32" s="13">
        <v>0</v>
      </c>
      <c r="BA32" s="13">
        <v>0</v>
      </c>
      <c r="BB32" s="13">
        <v>0</v>
      </c>
      <c r="BC32" s="13">
        <v>0</v>
      </c>
      <c r="BD32" s="13">
        <v>0</v>
      </c>
      <c r="BE32" s="13">
        <v>0</v>
      </c>
      <c r="BF32" s="13">
        <v>0</v>
      </c>
      <c r="BG32" s="13">
        <v>0</v>
      </c>
      <c r="BH32" s="13">
        <v>0</v>
      </c>
      <c r="BI32" s="13">
        <v>0</v>
      </c>
      <c r="BJ32" s="13">
        <v>0</v>
      </c>
      <c r="BK32" s="13">
        <v>0</v>
      </c>
      <c r="BL32" s="13">
        <v>0</v>
      </c>
      <c r="BM32" s="13">
        <v>0</v>
      </c>
      <c r="BN32" s="13">
        <v>0</v>
      </c>
      <c r="BO32" s="13">
        <v>0</v>
      </c>
      <c r="BP32" s="13">
        <v>1</v>
      </c>
      <c r="BQ32" s="13" t="s">
        <v>250</v>
      </c>
      <c r="BR32" s="13">
        <v>14</v>
      </c>
    </row>
    <row r="33" spans="1:70" s="13" customFormat="1" ht="14.25" x14ac:dyDescent="0.15">
      <c r="A33" s="164"/>
      <c r="B33" s="13" t="s">
        <v>2335</v>
      </c>
      <c r="C33" s="13" t="s">
        <v>1163</v>
      </c>
      <c r="E33" s="13" t="s">
        <v>1164</v>
      </c>
      <c r="G33" s="13">
        <v>0</v>
      </c>
      <c r="H33" s="13">
        <v>13</v>
      </c>
      <c r="I33" s="13" t="s">
        <v>296</v>
      </c>
      <c r="K33" s="13">
        <v>3</v>
      </c>
      <c r="L33" s="13">
        <v>1</v>
      </c>
      <c r="M33" s="13" t="s">
        <v>254</v>
      </c>
      <c r="N33" s="13" t="s">
        <v>396</v>
      </c>
      <c r="O33" s="13">
        <v>0</v>
      </c>
      <c r="P33" s="13" t="s">
        <v>2336</v>
      </c>
      <c r="Q33" s="13" t="s">
        <v>1165</v>
      </c>
      <c r="S33" s="13" t="s">
        <v>1166</v>
      </c>
      <c r="U33" s="13" t="s">
        <v>1167</v>
      </c>
      <c r="Y33" s="13" t="s">
        <v>3303</v>
      </c>
      <c r="Z33" s="13" t="s">
        <v>444</v>
      </c>
      <c r="AA33" s="13" t="s">
        <v>251</v>
      </c>
      <c r="AB33" s="13">
        <v>0.15</v>
      </c>
      <c r="AC33" s="13">
        <v>30</v>
      </c>
      <c r="AD33" s="13">
        <v>20</v>
      </c>
      <c r="AE33" s="13">
        <v>1</v>
      </c>
      <c r="AF33" s="13" t="s">
        <v>1169</v>
      </c>
      <c r="AH33" s="13" t="s">
        <v>399</v>
      </c>
      <c r="AI33" s="13">
        <v>680</v>
      </c>
      <c r="AK33" s="13">
        <v>27269.066437199996</v>
      </c>
      <c r="AN33" s="163" t="s">
        <v>235</v>
      </c>
      <c r="AO33" s="163">
        <v>0</v>
      </c>
      <c r="AP33" s="163" t="s">
        <v>252</v>
      </c>
      <c r="AR33" s="13">
        <v>27269.066437199996</v>
      </c>
      <c r="AS33" s="13">
        <v>5233.8399119999995</v>
      </c>
      <c r="AT33" s="13">
        <v>94172.920179659981</v>
      </c>
      <c r="AU33" s="13">
        <v>1</v>
      </c>
      <c r="AV33" s="13">
        <v>1</v>
      </c>
      <c r="AW33" s="13">
        <v>0</v>
      </c>
      <c r="AX33" s="13">
        <v>0</v>
      </c>
      <c r="AY33" s="13">
        <v>0</v>
      </c>
      <c r="AZ33" s="13">
        <v>0</v>
      </c>
      <c r="BA33" s="13">
        <v>0</v>
      </c>
      <c r="BB33" s="13">
        <v>0</v>
      </c>
      <c r="BC33" s="13">
        <v>0</v>
      </c>
      <c r="BD33" s="13">
        <v>0</v>
      </c>
      <c r="BE33" s="13">
        <v>0</v>
      </c>
      <c r="BF33" s="13">
        <v>0</v>
      </c>
      <c r="BG33" s="13">
        <v>0</v>
      </c>
      <c r="BH33" s="13">
        <v>0</v>
      </c>
      <c r="BI33" s="13">
        <v>0</v>
      </c>
      <c r="BJ33" s="13">
        <v>0</v>
      </c>
      <c r="BK33" s="13">
        <v>0</v>
      </c>
      <c r="BL33" s="13">
        <v>0</v>
      </c>
      <c r="BM33" s="13">
        <v>0</v>
      </c>
      <c r="BN33" s="13">
        <v>0</v>
      </c>
      <c r="BO33" s="13">
        <v>0</v>
      </c>
      <c r="BP33" s="13">
        <v>1</v>
      </c>
      <c r="BQ33" s="13" t="s">
        <v>2337</v>
      </c>
      <c r="BR33" s="13">
        <v>17</v>
      </c>
    </row>
    <row r="34" spans="1:70" s="13" customFormat="1" ht="14.25" x14ac:dyDescent="0.15">
      <c r="A34" s="164"/>
      <c r="B34" s="13" t="s">
        <v>1813</v>
      </c>
      <c r="C34" s="11" t="s">
        <v>1157</v>
      </c>
      <c r="E34" s="13" t="s">
        <v>1158</v>
      </c>
      <c r="G34" s="13">
        <v>0</v>
      </c>
      <c r="H34" s="13">
        <v>14</v>
      </c>
      <c r="I34" s="13" t="s">
        <v>421</v>
      </c>
      <c r="K34" s="13">
        <v>3</v>
      </c>
      <c r="L34" s="13">
        <v>1</v>
      </c>
      <c r="M34" s="13" t="s">
        <v>254</v>
      </c>
      <c r="N34" s="13" t="s">
        <v>396</v>
      </c>
      <c r="O34" s="13">
        <v>0</v>
      </c>
      <c r="P34" s="13" t="s">
        <v>1814</v>
      </c>
      <c r="Q34" s="13" t="s">
        <v>1159</v>
      </c>
      <c r="S34" s="13" t="s">
        <v>1160</v>
      </c>
      <c r="U34" s="13" t="s">
        <v>1161</v>
      </c>
      <c r="Y34" s="13" t="s">
        <v>250</v>
      </c>
      <c r="Z34" s="13" t="s">
        <v>1162</v>
      </c>
      <c r="AA34" s="13" t="s">
        <v>251</v>
      </c>
      <c r="AB34" s="13">
        <v>0.15</v>
      </c>
      <c r="AC34" s="13">
        <v>0</v>
      </c>
      <c r="AD34" s="13">
        <v>20</v>
      </c>
      <c r="AE34" s="13">
        <v>1</v>
      </c>
      <c r="AF34" s="13" t="s">
        <v>1168</v>
      </c>
      <c r="AH34" s="13" t="s">
        <v>399</v>
      </c>
      <c r="AI34" s="13">
        <v>1000</v>
      </c>
      <c r="AK34" s="13">
        <v>23002.644931559997</v>
      </c>
      <c r="AN34" s="163" t="s">
        <v>235</v>
      </c>
      <c r="AO34" s="163">
        <v>0</v>
      </c>
      <c r="AP34" s="163" t="s">
        <v>252</v>
      </c>
      <c r="AR34" s="13">
        <v>23002.644931559997</v>
      </c>
      <c r="AS34" s="13">
        <v>6382.7316000000001</v>
      </c>
      <c r="AT34" s="13">
        <v>149707.83881591997</v>
      </c>
      <c r="AU34" s="13">
        <v>1</v>
      </c>
      <c r="AV34" s="13">
        <v>1</v>
      </c>
      <c r="AW34" s="13">
        <v>0</v>
      </c>
      <c r="AX34" s="13">
        <v>0</v>
      </c>
      <c r="AY34" s="13">
        <v>0</v>
      </c>
      <c r="AZ34" s="13">
        <v>0</v>
      </c>
      <c r="BA34" s="13">
        <v>0</v>
      </c>
      <c r="BB34" s="13">
        <v>0</v>
      </c>
      <c r="BC34" s="13">
        <v>0</v>
      </c>
      <c r="BD34" s="13">
        <v>0</v>
      </c>
      <c r="BE34" s="13">
        <v>0</v>
      </c>
      <c r="BF34" s="13">
        <v>0</v>
      </c>
      <c r="BG34" s="13">
        <v>0</v>
      </c>
      <c r="BH34" s="13">
        <v>0</v>
      </c>
      <c r="BI34" s="13">
        <v>0</v>
      </c>
      <c r="BJ34" s="13">
        <v>0</v>
      </c>
      <c r="BK34" s="13">
        <v>0</v>
      </c>
      <c r="BL34" s="13">
        <v>0</v>
      </c>
      <c r="BM34" s="13">
        <v>0</v>
      </c>
      <c r="BN34" s="13">
        <v>0</v>
      </c>
      <c r="BO34" s="13">
        <v>0</v>
      </c>
      <c r="BP34" s="13">
        <v>1</v>
      </c>
      <c r="BQ34" s="13" t="s">
        <v>250</v>
      </c>
      <c r="BR34" s="13">
        <v>16</v>
      </c>
    </row>
    <row r="35" spans="1:70" s="13" customFormat="1" ht="14.25" x14ac:dyDescent="0.15">
      <c r="A35" s="164"/>
      <c r="B35" s="13" t="s">
        <v>3069</v>
      </c>
      <c r="C35" s="13" t="s">
        <v>2256</v>
      </c>
      <c r="E35" s="13" t="s">
        <v>2257</v>
      </c>
      <c r="G35" s="13">
        <v>0</v>
      </c>
      <c r="H35" s="13">
        <v>14</v>
      </c>
      <c r="I35" s="13" t="s">
        <v>401</v>
      </c>
      <c r="K35" s="13">
        <v>3</v>
      </c>
      <c r="L35" s="13">
        <v>1</v>
      </c>
      <c r="M35" s="13" t="s">
        <v>254</v>
      </c>
      <c r="N35" s="13" t="s">
        <v>396</v>
      </c>
      <c r="O35" s="13">
        <v>0</v>
      </c>
      <c r="P35" s="13" t="s">
        <v>1815</v>
      </c>
      <c r="Q35" s="13" t="s">
        <v>2258</v>
      </c>
      <c r="S35" s="13" t="s">
        <v>2338</v>
      </c>
      <c r="U35" s="13" t="s">
        <v>2259</v>
      </c>
      <c r="Y35" s="13" t="s">
        <v>250</v>
      </c>
      <c r="Z35" s="13" t="s">
        <v>2260</v>
      </c>
      <c r="AA35" s="13" t="s">
        <v>251</v>
      </c>
      <c r="AB35" s="13">
        <v>0.15</v>
      </c>
      <c r="AC35" s="13">
        <v>0</v>
      </c>
      <c r="AD35" s="13">
        <v>20</v>
      </c>
      <c r="AE35" s="13">
        <v>1</v>
      </c>
      <c r="AF35" s="13" t="s">
        <v>1816</v>
      </c>
      <c r="AH35" s="13" t="s">
        <v>3171</v>
      </c>
      <c r="AI35" s="13">
        <v>800</v>
      </c>
      <c r="AK35" s="13">
        <v>24996.6442341</v>
      </c>
      <c r="AN35" s="163" t="s">
        <v>235</v>
      </c>
      <c r="AO35" s="163">
        <v>0</v>
      </c>
      <c r="AP35" s="163" t="s">
        <v>252</v>
      </c>
      <c r="AR35" s="13">
        <v>24996.6442341</v>
      </c>
      <c r="AS35" s="13">
        <v>6382.7316000000001</v>
      </c>
      <c r="AT35" s="13">
        <v>107436.71175426002</v>
      </c>
      <c r="AU35" s="13">
        <v>1</v>
      </c>
      <c r="AV35" s="13">
        <v>1</v>
      </c>
      <c r="AW35" s="13">
        <v>0</v>
      </c>
      <c r="AX35" s="13">
        <v>0</v>
      </c>
      <c r="AY35" s="13">
        <v>0</v>
      </c>
      <c r="AZ35" s="13">
        <v>0</v>
      </c>
      <c r="BA35" s="13">
        <v>0</v>
      </c>
      <c r="BB35" s="13">
        <v>0</v>
      </c>
      <c r="BC35" s="13">
        <v>0</v>
      </c>
      <c r="BD35" s="13">
        <v>0</v>
      </c>
      <c r="BE35" s="13">
        <v>0.4</v>
      </c>
      <c r="BF35" s="13">
        <v>0</v>
      </c>
      <c r="BG35" s="13">
        <v>0</v>
      </c>
      <c r="BH35" s="13">
        <v>0</v>
      </c>
      <c r="BI35" s="13">
        <v>0</v>
      </c>
      <c r="BJ35" s="13">
        <v>0</v>
      </c>
      <c r="BK35" s="13">
        <v>0</v>
      </c>
      <c r="BL35" s="13">
        <v>0</v>
      </c>
      <c r="BM35" s="13">
        <v>0</v>
      </c>
      <c r="BN35" s="13">
        <v>0</v>
      </c>
      <c r="BO35" s="13">
        <v>0</v>
      </c>
      <c r="BP35" s="13">
        <v>1</v>
      </c>
      <c r="BQ35" s="13" t="s">
        <v>250</v>
      </c>
      <c r="BR35" s="13">
        <v>17</v>
      </c>
    </row>
    <row r="36" spans="1:70" s="13" customFormat="1" ht="14.25" x14ac:dyDescent="0.15">
      <c r="A36" s="164"/>
      <c r="B36" s="13" t="s">
        <v>1817</v>
      </c>
      <c r="C36" s="11" t="s">
        <v>881</v>
      </c>
      <c r="E36" s="13" t="s">
        <v>726</v>
      </c>
      <c r="G36" s="13">
        <v>0</v>
      </c>
      <c r="H36" s="13">
        <v>12</v>
      </c>
      <c r="I36" s="13" t="s">
        <v>400</v>
      </c>
      <c r="K36" s="13">
        <v>3</v>
      </c>
      <c r="L36" s="13">
        <v>1</v>
      </c>
      <c r="M36" s="13" t="s">
        <v>254</v>
      </c>
      <c r="N36" s="13" t="s">
        <v>396</v>
      </c>
      <c r="O36" s="13">
        <v>0</v>
      </c>
      <c r="P36" s="13" t="s">
        <v>1818</v>
      </c>
      <c r="Q36" s="13" t="s">
        <v>727</v>
      </c>
      <c r="S36" s="13" t="s">
        <v>728</v>
      </c>
      <c r="U36" s="13" t="s">
        <v>729</v>
      </c>
      <c r="Y36" s="13" t="s">
        <v>250</v>
      </c>
      <c r="Z36" s="13" t="s">
        <v>730</v>
      </c>
      <c r="AA36" s="13" t="s">
        <v>251</v>
      </c>
      <c r="AB36" s="13">
        <v>0.15</v>
      </c>
      <c r="AC36" s="13">
        <v>0</v>
      </c>
      <c r="AD36" s="13">
        <v>20</v>
      </c>
      <c r="AE36" s="13">
        <v>1</v>
      </c>
      <c r="AF36" s="13" t="s">
        <v>1009</v>
      </c>
      <c r="AH36" s="13" t="s">
        <v>399</v>
      </c>
      <c r="AI36" s="13">
        <v>0</v>
      </c>
      <c r="AK36" s="13">
        <v>13206.324528306001</v>
      </c>
      <c r="AN36" s="163" t="s">
        <v>235</v>
      </c>
      <c r="AO36" s="163">
        <v>0</v>
      </c>
      <c r="AP36" s="163" t="s">
        <v>252</v>
      </c>
      <c r="AR36" s="13">
        <v>13206.324528306001</v>
      </c>
      <c r="AS36" s="13">
        <v>9700.6324877279985</v>
      </c>
      <c r="AT36" s="13">
        <v>109003.32035892936</v>
      </c>
      <c r="AU36" s="13">
        <v>1</v>
      </c>
      <c r="AV36" s="13">
        <v>1</v>
      </c>
      <c r="AW36" s="13">
        <v>0</v>
      </c>
      <c r="AX36" s="13">
        <v>0</v>
      </c>
      <c r="AY36" s="13">
        <v>0</v>
      </c>
      <c r="AZ36" s="13">
        <v>0</v>
      </c>
      <c r="BA36" s="13">
        <v>0</v>
      </c>
      <c r="BB36" s="13">
        <v>0</v>
      </c>
      <c r="BC36" s="13">
        <v>0</v>
      </c>
      <c r="BD36" s="13">
        <v>0</v>
      </c>
      <c r="BE36" s="13">
        <v>0</v>
      </c>
      <c r="BF36" s="13">
        <v>0</v>
      </c>
      <c r="BG36" s="13">
        <v>0</v>
      </c>
      <c r="BH36" s="13">
        <v>0</v>
      </c>
      <c r="BI36" s="13">
        <v>0</v>
      </c>
      <c r="BJ36" s="13">
        <v>0</v>
      </c>
      <c r="BK36" s="13">
        <v>0</v>
      </c>
      <c r="BL36" s="13">
        <v>0</v>
      </c>
      <c r="BM36" s="13">
        <v>0</v>
      </c>
      <c r="BN36" s="13">
        <v>0</v>
      </c>
      <c r="BO36" s="13">
        <v>0</v>
      </c>
      <c r="BP36" s="13">
        <v>1</v>
      </c>
      <c r="BQ36" s="13" t="s">
        <v>250</v>
      </c>
      <c r="BR36" s="13">
        <v>8</v>
      </c>
    </row>
    <row r="37" spans="1:70" s="13" customFormat="1" ht="14.25" x14ac:dyDescent="0.15">
      <c r="A37" s="164"/>
      <c r="B37" s="13" t="s">
        <v>1819</v>
      </c>
      <c r="C37" s="13" t="s">
        <v>2340</v>
      </c>
      <c r="E37" s="13" t="s">
        <v>2341</v>
      </c>
      <c r="G37" s="13">
        <v>0</v>
      </c>
      <c r="H37" s="13">
        <v>14</v>
      </c>
      <c r="I37" s="13" t="s">
        <v>401</v>
      </c>
      <c r="K37" s="13">
        <v>3</v>
      </c>
      <c r="L37" s="13">
        <v>1</v>
      </c>
      <c r="M37" s="13" t="s">
        <v>254</v>
      </c>
      <c r="N37" s="13" t="s">
        <v>396</v>
      </c>
      <c r="O37" s="13">
        <v>0</v>
      </c>
      <c r="P37" s="13" t="s">
        <v>1820</v>
      </c>
      <c r="Q37" s="13" t="s">
        <v>2342</v>
      </c>
      <c r="S37" s="13" t="s">
        <v>2343</v>
      </c>
      <c r="U37" s="13" t="s">
        <v>2344</v>
      </c>
      <c r="Y37" s="13" t="s">
        <v>250</v>
      </c>
      <c r="Z37" s="13" t="s">
        <v>2345</v>
      </c>
      <c r="AA37" s="13" t="s">
        <v>251</v>
      </c>
      <c r="AB37" s="13">
        <v>0.15</v>
      </c>
      <c r="AC37" s="13">
        <v>30</v>
      </c>
      <c r="AD37" s="13">
        <v>20</v>
      </c>
      <c r="AE37" s="13">
        <v>1</v>
      </c>
      <c r="AF37" s="13" t="s">
        <v>2346</v>
      </c>
      <c r="AH37" s="13" t="s">
        <v>399</v>
      </c>
      <c r="AI37" s="13">
        <v>1000</v>
      </c>
      <c r="AK37" s="13">
        <v>30643.929154238405</v>
      </c>
      <c r="AN37" s="163" t="s">
        <v>235</v>
      </c>
      <c r="AO37" s="163">
        <v>0</v>
      </c>
      <c r="AP37" s="163" t="s">
        <v>252</v>
      </c>
      <c r="AR37" s="13">
        <v>30643.929154238405</v>
      </c>
      <c r="AS37" s="13">
        <v>8220.874989599999</v>
      </c>
      <c r="AT37" s="13">
        <v>87540.843490420317</v>
      </c>
      <c r="AU37" s="13">
        <v>1</v>
      </c>
      <c r="AV37" s="13">
        <v>1</v>
      </c>
      <c r="AW37" s="13">
        <v>0</v>
      </c>
      <c r="AX37" s="13">
        <v>0</v>
      </c>
      <c r="AY37" s="13">
        <v>0</v>
      </c>
      <c r="AZ37" s="13">
        <v>0</v>
      </c>
      <c r="BA37" s="13">
        <v>0</v>
      </c>
      <c r="BB37" s="13">
        <v>0</v>
      </c>
      <c r="BC37" s="13">
        <v>0</v>
      </c>
      <c r="BD37" s="13">
        <v>0</v>
      </c>
      <c r="BE37" s="13">
        <v>0</v>
      </c>
      <c r="BF37" s="13">
        <v>0</v>
      </c>
      <c r="BG37" s="13">
        <v>0</v>
      </c>
      <c r="BH37" s="13">
        <v>0</v>
      </c>
      <c r="BI37" s="13">
        <v>0</v>
      </c>
      <c r="BJ37" s="13">
        <v>0</v>
      </c>
      <c r="BK37" s="13">
        <v>0</v>
      </c>
      <c r="BL37" s="13">
        <v>0</v>
      </c>
      <c r="BM37" s="13">
        <v>0</v>
      </c>
      <c r="BN37" s="13">
        <v>0</v>
      </c>
      <c r="BO37" s="13">
        <v>0</v>
      </c>
      <c r="BP37" s="13">
        <v>1</v>
      </c>
      <c r="BQ37" s="13" t="s">
        <v>250</v>
      </c>
      <c r="BR37" s="13">
        <v>16</v>
      </c>
    </row>
    <row r="38" spans="1:70" s="13" customFormat="1" ht="14.25" x14ac:dyDescent="0.15">
      <c r="A38" s="164"/>
      <c r="B38" s="13" t="s">
        <v>1821</v>
      </c>
      <c r="C38" s="13" t="s">
        <v>2340</v>
      </c>
      <c r="E38" s="13" t="s">
        <v>2341</v>
      </c>
      <c r="G38" s="13">
        <v>0</v>
      </c>
      <c r="H38" s="13">
        <v>14</v>
      </c>
      <c r="I38" s="13" t="s">
        <v>401</v>
      </c>
      <c r="K38" s="13">
        <v>3</v>
      </c>
      <c r="L38" s="13">
        <v>1</v>
      </c>
      <c r="M38" s="13" t="s">
        <v>254</v>
      </c>
      <c r="N38" s="13" t="s">
        <v>396</v>
      </c>
      <c r="O38" s="13">
        <v>0</v>
      </c>
      <c r="P38" s="13" t="s">
        <v>1822</v>
      </c>
      <c r="Q38" s="13" t="s">
        <v>2342</v>
      </c>
      <c r="S38" s="13" t="s">
        <v>2343</v>
      </c>
      <c r="U38" s="13" t="s">
        <v>2344</v>
      </c>
      <c r="Y38" s="13" t="s">
        <v>250</v>
      </c>
      <c r="Z38" s="13" t="s">
        <v>2345</v>
      </c>
      <c r="AA38" s="13" t="s">
        <v>251</v>
      </c>
      <c r="AB38" s="13">
        <v>0.15</v>
      </c>
      <c r="AC38" s="13">
        <v>0</v>
      </c>
      <c r="AD38" s="13">
        <v>20</v>
      </c>
      <c r="AE38" s="13">
        <v>1</v>
      </c>
      <c r="AF38" s="13" t="s">
        <v>2346</v>
      </c>
      <c r="AH38" s="13" t="s">
        <v>399</v>
      </c>
      <c r="AI38" s="13">
        <v>0</v>
      </c>
      <c r="AK38" s="13">
        <v>30643.929154238405</v>
      </c>
      <c r="AN38" s="163" t="s">
        <v>235</v>
      </c>
      <c r="AO38" s="163">
        <v>0</v>
      </c>
      <c r="AP38" s="163" t="s">
        <v>252</v>
      </c>
      <c r="AR38" s="13">
        <v>30643.929154238405</v>
      </c>
      <c r="AS38" s="13">
        <v>8220.874989599999</v>
      </c>
      <c r="AT38" s="13">
        <v>87540.843490420317</v>
      </c>
      <c r="AU38" s="13">
        <v>1</v>
      </c>
      <c r="AV38" s="13">
        <v>1</v>
      </c>
      <c r="AW38" s="13">
        <v>0</v>
      </c>
      <c r="AX38" s="13">
        <v>0</v>
      </c>
      <c r="AY38" s="13">
        <v>0</v>
      </c>
      <c r="AZ38" s="13">
        <v>0</v>
      </c>
      <c r="BA38" s="13">
        <v>0</v>
      </c>
      <c r="BB38" s="13">
        <v>0</v>
      </c>
      <c r="BC38" s="13">
        <v>0</v>
      </c>
      <c r="BD38" s="13">
        <v>0</v>
      </c>
      <c r="BE38" s="13">
        <v>0</v>
      </c>
      <c r="BF38" s="13">
        <v>0</v>
      </c>
      <c r="BG38" s="13">
        <v>0</v>
      </c>
      <c r="BH38" s="13">
        <v>0</v>
      </c>
      <c r="BI38" s="13">
        <v>0</v>
      </c>
      <c r="BJ38" s="13">
        <v>0</v>
      </c>
      <c r="BK38" s="13">
        <v>0</v>
      </c>
      <c r="BL38" s="13">
        <v>0</v>
      </c>
      <c r="BM38" s="13">
        <v>0</v>
      </c>
      <c r="BN38" s="13">
        <v>0</v>
      </c>
      <c r="BO38" s="13">
        <v>0</v>
      </c>
      <c r="BP38" s="13">
        <v>1</v>
      </c>
      <c r="BQ38" s="13" t="s">
        <v>250</v>
      </c>
      <c r="BR38" s="13">
        <v>16</v>
      </c>
    </row>
    <row r="39" spans="1:70" s="13" customFormat="1" ht="14.25" x14ac:dyDescent="0.15">
      <c r="A39" s="164"/>
      <c r="B39" s="13" t="s">
        <v>1823</v>
      </c>
      <c r="C39" s="13" t="s">
        <v>888</v>
      </c>
      <c r="E39" s="13" t="s">
        <v>889</v>
      </c>
      <c r="G39" s="13">
        <v>0</v>
      </c>
      <c r="H39" s="13">
        <v>13</v>
      </c>
      <c r="I39" s="13" t="s">
        <v>890</v>
      </c>
      <c r="K39" s="13">
        <v>3</v>
      </c>
      <c r="L39" s="13">
        <v>1</v>
      </c>
      <c r="M39" s="13" t="s">
        <v>254</v>
      </c>
      <c r="N39" s="13" t="s">
        <v>396</v>
      </c>
      <c r="O39" s="13">
        <v>0</v>
      </c>
      <c r="P39" s="13" t="s">
        <v>1824</v>
      </c>
      <c r="Q39" s="13" t="s">
        <v>891</v>
      </c>
      <c r="S39" s="13" t="s">
        <v>892</v>
      </c>
      <c r="U39" s="13" t="s">
        <v>893</v>
      </c>
      <c r="Y39" s="13" t="s">
        <v>250</v>
      </c>
      <c r="Z39" s="13" t="s">
        <v>894</v>
      </c>
      <c r="AA39" s="13" t="s">
        <v>251</v>
      </c>
      <c r="AB39" s="13">
        <v>0.15</v>
      </c>
      <c r="AC39" s="13">
        <v>30</v>
      </c>
      <c r="AD39" s="13">
        <v>20</v>
      </c>
      <c r="AE39" s="13">
        <v>1</v>
      </c>
      <c r="AF39" s="13" t="s">
        <v>1011</v>
      </c>
      <c r="AH39" s="13" t="s">
        <v>399</v>
      </c>
      <c r="AI39" s="13">
        <v>0</v>
      </c>
      <c r="AK39" s="13">
        <v>27595.30498452</v>
      </c>
      <c r="AN39" s="163" t="s">
        <v>235</v>
      </c>
      <c r="AO39" s="163">
        <v>0</v>
      </c>
      <c r="AP39" s="163" t="s">
        <v>252</v>
      </c>
      <c r="AR39" s="13">
        <v>27595.30498452</v>
      </c>
      <c r="AS39" s="13">
        <v>8220.874989599999</v>
      </c>
      <c r="AT39" s="13">
        <v>107558.009604864</v>
      </c>
      <c r="AU39" s="13">
        <v>1</v>
      </c>
      <c r="AV39" s="13">
        <v>1</v>
      </c>
      <c r="AW39" s="13">
        <v>0</v>
      </c>
      <c r="AX39" s="13">
        <v>0</v>
      </c>
      <c r="AY39" s="13">
        <v>0</v>
      </c>
      <c r="AZ39" s="13">
        <v>0</v>
      </c>
      <c r="BA39" s="13">
        <v>0</v>
      </c>
      <c r="BB39" s="13">
        <v>0</v>
      </c>
      <c r="BC39" s="13">
        <v>0</v>
      </c>
      <c r="BD39" s="13">
        <v>0</v>
      </c>
      <c r="BE39" s="13">
        <v>0</v>
      </c>
      <c r="BF39" s="13">
        <v>0</v>
      </c>
      <c r="BG39" s="13">
        <v>0</v>
      </c>
      <c r="BH39" s="13">
        <v>0</v>
      </c>
      <c r="BI39" s="13">
        <v>0</v>
      </c>
      <c r="BJ39" s="13">
        <v>0</v>
      </c>
      <c r="BK39" s="13">
        <v>0</v>
      </c>
      <c r="BL39" s="13">
        <v>0</v>
      </c>
      <c r="BM39" s="13">
        <v>0</v>
      </c>
      <c r="BN39" s="13">
        <v>0</v>
      </c>
      <c r="BO39" s="13">
        <v>0</v>
      </c>
      <c r="BP39" s="13">
        <v>1</v>
      </c>
      <c r="BQ39" s="13" t="s">
        <v>250</v>
      </c>
      <c r="BR39" s="13">
        <v>15</v>
      </c>
    </row>
    <row r="40" spans="1:70" s="13" customFormat="1" ht="14.25" x14ac:dyDescent="0.15">
      <c r="A40" s="164"/>
      <c r="B40" s="13" t="s">
        <v>1825</v>
      </c>
      <c r="C40" s="13" t="s">
        <v>888</v>
      </c>
      <c r="E40" s="13" t="s">
        <v>889</v>
      </c>
      <c r="G40" s="13">
        <v>0</v>
      </c>
      <c r="H40" s="13">
        <v>13</v>
      </c>
      <c r="I40" s="13" t="s">
        <v>890</v>
      </c>
      <c r="K40" s="13">
        <v>3</v>
      </c>
      <c r="L40" s="13">
        <v>1</v>
      </c>
      <c r="M40" s="13" t="s">
        <v>254</v>
      </c>
      <c r="N40" s="13" t="s">
        <v>396</v>
      </c>
      <c r="O40" s="13">
        <v>0</v>
      </c>
      <c r="P40" s="13" t="s">
        <v>1826</v>
      </c>
      <c r="Q40" s="13" t="s">
        <v>891</v>
      </c>
      <c r="S40" s="13" t="s">
        <v>892</v>
      </c>
      <c r="U40" s="13" t="s">
        <v>893</v>
      </c>
      <c r="Y40" s="13" t="s">
        <v>250</v>
      </c>
      <c r="Z40" s="13" t="s">
        <v>894</v>
      </c>
      <c r="AA40" s="13" t="s">
        <v>251</v>
      </c>
      <c r="AB40" s="13">
        <v>0.15</v>
      </c>
      <c r="AC40" s="13">
        <v>0</v>
      </c>
      <c r="AD40" s="13">
        <v>20</v>
      </c>
      <c r="AE40" s="13">
        <v>1</v>
      </c>
      <c r="AF40" s="13" t="s">
        <v>1011</v>
      </c>
      <c r="AH40" s="13" t="s">
        <v>399</v>
      </c>
      <c r="AI40" s="13">
        <v>0</v>
      </c>
      <c r="AK40" s="13">
        <v>27595.30498452</v>
      </c>
      <c r="AN40" s="163" t="s">
        <v>235</v>
      </c>
      <c r="AO40" s="163">
        <v>0</v>
      </c>
      <c r="AP40" s="163" t="s">
        <v>252</v>
      </c>
      <c r="AR40" s="13">
        <v>27595.30498452</v>
      </c>
      <c r="AS40" s="13">
        <v>8220.874989599999</v>
      </c>
      <c r="AT40" s="13">
        <v>107558.009604864</v>
      </c>
      <c r="AU40" s="13">
        <v>1</v>
      </c>
      <c r="AV40" s="13">
        <v>1</v>
      </c>
      <c r="AW40" s="13">
        <v>0</v>
      </c>
      <c r="AX40" s="13">
        <v>0</v>
      </c>
      <c r="AY40" s="13">
        <v>0</v>
      </c>
      <c r="AZ40" s="13">
        <v>0</v>
      </c>
      <c r="BA40" s="13">
        <v>0</v>
      </c>
      <c r="BB40" s="13">
        <v>0</v>
      </c>
      <c r="BC40" s="13">
        <v>0</v>
      </c>
      <c r="BD40" s="13">
        <v>0</v>
      </c>
      <c r="BE40" s="13">
        <v>0</v>
      </c>
      <c r="BF40" s="13">
        <v>0</v>
      </c>
      <c r="BG40" s="13">
        <v>0</v>
      </c>
      <c r="BH40" s="13">
        <v>0</v>
      </c>
      <c r="BI40" s="13">
        <v>0</v>
      </c>
      <c r="BJ40" s="13">
        <v>0</v>
      </c>
      <c r="BK40" s="13">
        <v>0</v>
      </c>
      <c r="BL40" s="13">
        <v>0</v>
      </c>
      <c r="BM40" s="13">
        <v>0</v>
      </c>
      <c r="BN40" s="13">
        <v>0</v>
      </c>
      <c r="BO40" s="13">
        <v>0</v>
      </c>
      <c r="BP40" s="13">
        <v>1</v>
      </c>
      <c r="BQ40" s="13" t="s">
        <v>250</v>
      </c>
      <c r="BR40" s="13">
        <v>15</v>
      </c>
    </row>
    <row r="41" spans="1:70" s="13" customFormat="1" ht="14.25" x14ac:dyDescent="0.15">
      <c r="A41" s="164"/>
      <c r="B41" s="13" t="s">
        <v>2347</v>
      </c>
      <c r="C41" s="13" t="s">
        <v>888</v>
      </c>
      <c r="E41" s="13" t="s">
        <v>889</v>
      </c>
      <c r="G41" s="13">
        <v>0</v>
      </c>
      <c r="H41" s="13">
        <v>13</v>
      </c>
      <c r="I41" s="13" t="s">
        <v>890</v>
      </c>
      <c r="K41" s="13">
        <v>3</v>
      </c>
      <c r="L41" s="13">
        <v>1</v>
      </c>
      <c r="M41" s="13" t="s">
        <v>254</v>
      </c>
      <c r="N41" s="13" t="s">
        <v>396</v>
      </c>
      <c r="O41" s="13">
        <v>0</v>
      </c>
      <c r="P41" s="13" t="s">
        <v>2348</v>
      </c>
      <c r="Q41" s="13" t="s">
        <v>891</v>
      </c>
      <c r="S41" s="13" t="s">
        <v>892</v>
      </c>
      <c r="U41" s="13" t="s">
        <v>893</v>
      </c>
      <c r="Y41" s="13" t="s">
        <v>250</v>
      </c>
      <c r="Z41" s="13" t="s">
        <v>894</v>
      </c>
      <c r="AA41" s="13" t="s">
        <v>251</v>
      </c>
      <c r="AB41" s="13">
        <v>0.15</v>
      </c>
      <c r="AC41" s="13">
        <v>0</v>
      </c>
      <c r="AD41" s="13">
        <v>20</v>
      </c>
      <c r="AE41" s="13">
        <v>1</v>
      </c>
      <c r="AF41" s="13" t="s">
        <v>1011</v>
      </c>
      <c r="AH41" s="13" t="s">
        <v>399</v>
      </c>
      <c r="AI41" s="13">
        <v>0</v>
      </c>
      <c r="AK41" s="13">
        <v>27595.30498452</v>
      </c>
      <c r="AN41" s="163" t="s">
        <v>235</v>
      </c>
      <c r="AO41" s="163">
        <v>0</v>
      </c>
      <c r="AP41" s="163" t="s">
        <v>252</v>
      </c>
      <c r="AR41" s="13">
        <v>27595.30498452</v>
      </c>
      <c r="AS41" s="13">
        <v>8220.874989599999</v>
      </c>
      <c r="AT41" s="13">
        <v>107558.009604864</v>
      </c>
      <c r="AU41" s="13">
        <v>1</v>
      </c>
      <c r="AV41" s="13">
        <v>1</v>
      </c>
      <c r="AW41" s="13">
        <v>0</v>
      </c>
      <c r="AX41" s="13">
        <v>0</v>
      </c>
      <c r="AY41" s="13">
        <v>0</v>
      </c>
      <c r="AZ41" s="13">
        <v>0</v>
      </c>
      <c r="BA41" s="13">
        <v>0</v>
      </c>
      <c r="BB41" s="13">
        <v>0</v>
      </c>
      <c r="BC41" s="13">
        <v>0</v>
      </c>
      <c r="BD41" s="13">
        <v>0</v>
      </c>
      <c r="BE41" s="13">
        <v>0</v>
      </c>
      <c r="BF41" s="13">
        <v>0</v>
      </c>
      <c r="BG41" s="13">
        <v>0</v>
      </c>
      <c r="BH41" s="13">
        <v>0</v>
      </c>
      <c r="BI41" s="13">
        <v>0</v>
      </c>
      <c r="BJ41" s="13">
        <v>0</v>
      </c>
      <c r="BK41" s="13">
        <v>0</v>
      </c>
      <c r="BL41" s="13">
        <v>0</v>
      </c>
      <c r="BM41" s="13">
        <v>0</v>
      </c>
      <c r="BN41" s="13">
        <v>0</v>
      </c>
      <c r="BO41" s="13">
        <v>0</v>
      </c>
      <c r="BP41" s="13">
        <v>1</v>
      </c>
      <c r="BQ41" s="13" t="s">
        <v>250</v>
      </c>
      <c r="BR41" s="13">
        <v>15</v>
      </c>
    </row>
    <row r="42" spans="1:70" s="13" customFormat="1" ht="14.25" x14ac:dyDescent="0.15">
      <c r="A42" s="164"/>
      <c r="B42" s="13" t="s">
        <v>2349</v>
      </c>
      <c r="C42" s="13" t="s">
        <v>956</v>
      </c>
      <c r="E42" s="13" t="s">
        <v>957</v>
      </c>
      <c r="G42" s="13">
        <v>0</v>
      </c>
      <c r="H42" s="13">
        <v>13</v>
      </c>
      <c r="I42" s="13" t="s">
        <v>401</v>
      </c>
      <c r="K42" s="13">
        <v>3</v>
      </c>
      <c r="L42" s="13">
        <v>1</v>
      </c>
      <c r="M42" s="13" t="s">
        <v>254</v>
      </c>
      <c r="N42" s="13" t="s">
        <v>396</v>
      </c>
      <c r="O42" s="13">
        <v>0</v>
      </c>
      <c r="P42" s="13" t="s">
        <v>2350</v>
      </c>
      <c r="Q42" s="13" t="s">
        <v>958</v>
      </c>
      <c r="S42" s="13" t="s">
        <v>959</v>
      </c>
      <c r="U42" s="13" t="s">
        <v>960</v>
      </c>
      <c r="Y42" s="13" t="s">
        <v>250</v>
      </c>
      <c r="Z42" s="13" t="s">
        <v>961</v>
      </c>
      <c r="AA42" s="13" t="s">
        <v>251</v>
      </c>
      <c r="AB42" s="13">
        <v>0.15</v>
      </c>
      <c r="AC42" s="13">
        <v>0</v>
      </c>
      <c r="AD42" s="13">
        <v>20</v>
      </c>
      <c r="AE42" s="13">
        <v>1</v>
      </c>
      <c r="AF42" s="13" t="s">
        <v>1025</v>
      </c>
      <c r="AH42" s="13" t="s">
        <v>399</v>
      </c>
      <c r="AI42" s="13">
        <v>0</v>
      </c>
      <c r="AK42" s="13">
        <v>30643.929154238405</v>
      </c>
      <c r="AN42" s="163" t="s">
        <v>235</v>
      </c>
      <c r="AO42" s="163">
        <v>0</v>
      </c>
      <c r="AP42" s="163" t="s">
        <v>252</v>
      </c>
      <c r="AR42" s="13">
        <v>30643.929154238405</v>
      </c>
      <c r="AS42" s="13">
        <v>8220.874989599999</v>
      </c>
      <c r="AT42" s="13">
        <v>87540.843490420317</v>
      </c>
      <c r="AU42" s="13">
        <v>1</v>
      </c>
      <c r="AV42" s="13">
        <v>1</v>
      </c>
      <c r="AW42" s="13">
        <v>0</v>
      </c>
      <c r="AX42" s="13">
        <v>0</v>
      </c>
      <c r="AY42" s="13">
        <v>0</v>
      </c>
      <c r="AZ42" s="13">
        <v>0</v>
      </c>
      <c r="BA42" s="13">
        <v>0</v>
      </c>
      <c r="BB42" s="13">
        <v>0</v>
      </c>
      <c r="BC42" s="13">
        <v>0</v>
      </c>
      <c r="BD42" s="13">
        <v>0</v>
      </c>
      <c r="BE42" s="13">
        <v>0</v>
      </c>
      <c r="BF42" s="13">
        <v>0</v>
      </c>
      <c r="BG42" s="13">
        <v>0</v>
      </c>
      <c r="BH42" s="13">
        <v>0</v>
      </c>
      <c r="BI42" s="13">
        <v>0</v>
      </c>
      <c r="BJ42" s="13">
        <v>0</v>
      </c>
      <c r="BK42" s="13">
        <v>0</v>
      </c>
      <c r="BL42" s="13">
        <v>0</v>
      </c>
      <c r="BM42" s="13">
        <v>0</v>
      </c>
      <c r="BN42" s="13">
        <v>0</v>
      </c>
      <c r="BO42" s="13">
        <v>0</v>
      </c>
      <c r="BP42" s="13">
        <v>1</v>
      </c>
      <c r="BQ42" s="13" t="s">
        <v>250</v>
      </c>
      <c r="BR42" s="13">
        <v>16</v>
      </c>
    </row>
    <row r="43" spans="1:70" s="13" customFormat="1" ht="14.25" x14ac:dyDescent="0.15">
      <c r="A43" s="164"/>
      <c r="B43" s="13" t="s">
        <v>1827</v>
      </c>
      <c r="C43" s="13" t="s">
        <v>956</v>
      </c>
      <c r="E43" s="13" t="s">
        <v>957</v>
      </c>
      <c r="G43" s="13">
        <v>0</v>
      </c>
      <c r="H43" s="13">
        <v>13</v>
      </c>
      <c r="I43" s="13" t="s">
        <v>401</v>
      </c>
      <c r="K43" s="13">
        <v>3</v>
      </c>
      <c r="L43" s="13">
        <v>1</v>
      </c>
      <c r="M43" s="13" t="s">
        <v>254</v>
      </c>
      <c r="N43" s="13" t="s">
        <v>396</v>
      </c>
      <c r="O43" s="13">
        <v>0</v>
      </c>
      <c r="P43" s="13" t="s">
        <v>1828</v>
      </c>
      <c r="Q43" s="13" t="s">
        <v>958</v>
      </c>
      <c r="S43" s="13" t="s">
        <v>959</v>
      </c>
      <c r="U43" s="13" t="s">
        <v>960</v>
      </c>
      <c r="Y43" s="13" t="s">
        <v>250</v>
      </c>
      <c r="Z43" s="13" t="s">
        <v>961</v>
      </c>
      <c r="AA43" s="13" t="s">
        <v>251</v>
      </c>
      <c r="AB43" s="13">
        <v>0.15</v>
      </c>
      <c r="AC43" s="13">
        <v>0</v>
      </c>
      <c r="AD43" s="13">
        <v>20</v>
      </c>
      <c r="AE43" s="13">
        <v>1</v>
      </c>
      <c r="AF43" s="13" t="s">
        <v>1025</v>
      </c>
      <c r="AH43" s="13" t="s">
        <v>399</v>
      </c>
      <c r="AI43" s="13">
        <v>0</v>
      </c>
      <c r="AK43" s="13">
        <v>30643.929154238405</v>
      </c>
      <c r="AN43" s="163" t="s">
        <v>235</v>
      </c>
      <c r="AO43" s="163">
        <v>0</v>
      </c>
      <c r="AP43" s="163" t="s">
        <v>252</v>
      </c>
      <c r="AR43" s="13">
        <v>30643.929154238405</v>
      </c>
      <c r="AS43" s="13">
        <v>8220.874989599999</v>
      </c>
      <c r="AT43" s="13">
        <v>87540.843490420317</v>
      </c>
      <c r="AU43" s="13">
        <v>1</v>
      </c>
      <c r="AV43" s="13">
        <v>1</v>
      </c>
      <c r="AW43" s="13">
        <v>0</v>
      </c>
      <c r="AX43" s="13">
        <v>0</v>
      </c>
      <c r="AY43" s="13">
        <v>0</v>
      </c>
      <c r="AZ43" s="13">
        <v>0</v>
      </c>
      <c r="BA43" s="13">
        <v>0</v>
      </c>
      <c r="BB43" s="13">
        <v>0</v>
      </c>
      <c r="BC43" s="13">
        <v>0</v>
      </c>
      <c r="BD43" s="13">
        <v>0</v>
      </c>
      <c r="BE43" s="13">
        <v>0</v>
      </c>
      <c r="BF43" s="13">
        <v>0</v>
      </c>
      <c r="BG43" s="13">
        <v>0</v>
      </c>
      <c r="BH43" s="13">
        <v>0</v>
      </c>
      <c r="BI43" s="13">
        <v>0</v>
      </c>
      <c r="BJ43" s="13">
        <v>0</v>
      </c>
      <c r="BK43" s="13">
        <v>0</v>
      </c>
      <c r="BL43" s="13">
        <v>0</v>
      </c>
      <c r="BM43" s="13">
        <v>0</v>
      </c>
      <c r="BN43" s="13">
        <v>0</v>
      </c>
      <c r="BO43" s="13">
        <v>0</v>
      </c>
      <c r="BP43" s="13">
        <v>1</v>
      </c>
      <c r="BQ43" s="13" t="s">
        <v>250</v>
      </c>
      <c r="BR43" s="13">
        <v>16</v>
      </c>
    </row>
    <row r="44" spans="1:70" s="13" customFormat="1" ht="14.25" x14ac:dyDescent="0.15">
      <c r="A44" s="164"/>
      <c r="B44" s="13" t="s">
        <v>1829</v>
      </c>
      <c r="C44" s="13" t="s">
        <v>2250</v>
      </c>
      <c r="E44" s="13" t="s">
        <v>2251</v>
      </c>
      <c r="G44" s="13">
        <v>1</v>
      </c>
      <c r="H44" s="13">
        <v>13</v>
      </c>
      <c r="I44" s="13" t="s">
        <v>296</v>
      </c>
      <c r="K44" s="13">
        <v>3</v>
      </c>
      <c r="L44" s="13">
        <v>1</v>
      </c>
      <c r="M44" s="13" t="s">
        <v>254</v>
      </c>
      <c r="N44" s="13" t="s">
        <v>396</v>
      </c>
      <c r="O44" s="13">
        <v>0</v>
      </c>
      <c r="P44" s="13" t="s">
        <v>1830</v>
      </c>
      <c r="Q44" s="13" t="s">
        <v>2252</v>
      </c>
      <c r="S44" s="13" t="s">
        <v>2301</v>
      </c>
      <c r="U44" s="13" t="s">
        <v>2253</v>
      </c>
      <c r="Y44" s="13" t="s">
        <v>250</v>
      </c>
      <c r="Z44" s="13" t="s">
        <v>2254</v>
      </c>
      <c r="AA44" s="13" t="s">
        <v>251</v>
      </c>
      <c r="AB44" s="13">
        <v>0.15</v>
      </c>
      <c r="AC44" s="13">
        <v>0</v>
      </c>
      <c r="AD44" s="13">
        <v>20</v>
      </c>
      <c r="AE44" s="13">
        <v>1</v>
      </c>
      <c r="AF44" s="13" t="s">
        <v>1831</v>
      </c>
      <c r="AH44" s="13" t="s">
        <v>3171</v>
      </c>
      <c r="AI44" s="13">
        <v>0</v>
      </c>
      <c r="AK44" s="13">
        <v>21130.119245289596</v>
      </c>
      <c r="AN44" s="163" t="s">
        <v>235</v>
      </c>
      <c r="AO44" s="163">
        <v>0</v>
      </c>
      <c r="AP44" s="163" t="s">
        <v>252</v>
      </c>
      <c r="AR44" s="13">
        <v>21130.119245289596</v>
      </c>
      <c r="AS44" s="13">
        <v>6741.1174914719995</v>
      </c>
      <c r="AT44" s="13">
        <v>54888.19677648216</v>
      </c>
      <c r="AU44" s="13">
        <v>1</v>
      </c>
      <c r="AV44" s="13">
        <v>1</v>
      </c>
      <c r="AW44" s="13">
        <v>0</v>
      </c>
      <c r="AX44" s="13">
        <v>0</v>
      </c>
      <c r="AY44" s="13">
        <v>0</v>
      </c>
      <c r="AZ44" s="13">
        <v>0</v>
      </c>
      <c r="BA44" s="13">
        <v>0</v>
      </c>
      <c r="BB44" s="13">
        <v>0</v>
      </c>
      <c r="BC44" s="13">
        <v>0</v>
      </c>
      <c r="BD44" s="13">
        <v>0</v>
      </c>
      <c r="BE44" s="13">
        <v>0.2</v>
      </c>
      <c r="BF44" s="13">
        <v>0</v>
      </c>
      <c r="BG44" s="13">
        <v>0</v>
      </c>
      <c r="BH44" s="13">
        <v>0</v>
      </c>
      <c r="BI44" s="13">
        <v>0</v>
      </c>
      <c r="BJ44" s="13">
        <v>0</v>
      </c>
      <c r="BK44" s="13">
        <v>0</v>
      </c>
      <c r="BL44" s="13">
        <v>0</v>
      </c>
      <c r="BM44" s="13">
        <v>0</v>
      </c>
      <c r="BN44" s="13">
        <v>0</v>
      </c>
      <c r="BO44" s="13">
        <v>0</v>
      </c>
      <c r="BP44" s="13">
        <v>1</v>
      </c>
      <c r="BQ44" s="13" t="s">
        <v>250</v>
      </c>
      <c r="BR44" s="13">
        <v>8</v>
      </c>
    </row>
    <row r="45" spans="1:70" s="13" customFormat="1" ht="14.25" x14ac:dyDescent="0.15">
      <c r="A45" s="164"/>
      <c r="B45" s="13" t="s">
        <v>2351</v>
      </c>
      <c r="C45" s="13" t="s">
        <v>975</v>
      </c>
      <c r="E45" s="13" t="s">
        <v>976</v>
      </c>
      <c r="G45" s="13">
        <v>0</v>
      </c>
      <c r="H45" s="13">
        <v>12</v>
      </c>
      <c r="I45" s="13" t="s">
        <v>296</v>
      </c>
      <c r="K45" s="13">
        <v>3</v>
      </c>
      <c r="L45" s="13">
        <v>1</v>
      </c>
      <c r="M45" s="13" t="s">
        <v>254</v>
      </c>
      <c r="N45" s="13" t="s">
        <v>396</v>
      </c>
      <c r="O45" s="13">
        <v>0</v>
      </c>
      <c r="P45" s="13" t="s">
        <v>2352</v>
      </c>
      <c r="Q45" s="13" t="s">
        <v>977</v>
      </c>
      <c r="S45" s="13" t="s">
        <v>978</v>
      </c>
      <c r="U45" s="13" t="s">
        <v>979</v>
      </c>
      <c r="Y45" s="13" t="s">
        <v>250</v>
      </c>
      <c r="Z45" s="13" t="s">
        <v>980</v>
      </c>
      <c r="AA45" s="13" t="s">
        <v>251</v>
      </c>
      <c r="AB45" s="13">
        <v>0.15</v>
      </c>
      <c r="AC45" s="13">
        <v>0</v>
      </c>
      <c r="AD45" s="13">
        <v>20</v>
      </c>
      <c r="AE45" s="13">
        <v>1</v>
      </c>
      <c r="AF45" s="13" t="s">
        <v>1029</v>
      </c>
      <c r="AH45" s="13" t="s">
        <v>399</v>
      </c>
      <c r="AI45" s="13">
        <v>680</v>
      </c>
      <c r="AK45" s="13">
        <v>23337.743644051196</v>
      </c>
      <c r="AN45" s="163" t="s">
        <v>235</v>
      </c>
      <c r="AO45" s="163">
        <v>0</v>
      </c>
      <c r="AP45" s="163" t="s">
        <v>252</v>
      </c>
      <c r="AR45" s="13">
        <v>23337.743644051196</v>
      </c>
      <c r="AS45" s="13">
        <v>6741.1174914719995</v>
      </c>
      <c r="AT45" s="13">
        <v>58376.075501409119</v>
      </c>
      <c r="AU45" s="13">
        <v>1</v>
      </c>
      <c r="AV45" s="13">
        <v>1</v>
      </c>
      <c r="AW45" s="13">
        <v>0</v>
      </c>
      <c r="AX45" s="13">
        <v>0</v>
      </c>
      <c r="AY45" s="13">
        <v>0</v>
      </c>
      <c r="AZ45" s="13">
        <v>0</v>
      </c>
      <c r="BA45" s="13">
        <v>0</v>
      </c>
      <c r="BB45" s="13">
        <v>0</v>
      </c>
      <c r="BC45" s="13">
        <v>0</v>
      </c>
      <c r="BD45" s="13">
        <v>0</v>
      </c>
      <c r="BE45" s="13">
        <v>0.2</v>
      </c>
      <c r="BF45" s="13">
        <v>0</v>
      </c>
      <c r="BG45" s="13">
        <v>0</v>
      </c>
      <c r="BH45" s="13">
        <v>0</v>
      </c>
      <c r="BI45" s="13">
        <v>0</v>
      </c>
      <c r="BJ45" s="13">
        <v>0</v>
      </c>
      <c r="BK45" s="13">
        <v>0</v>
      </c>
      <c r="BL45" s="13">
        <v>0</v>
      </c>
      <c r="BM45" s="13">
        <v>0</v>
      </c>
      <c r="BN45" s="13">
        <v>0</v>
      </c>
      <c r="BO45" s="13">
        <v>0</v>
      </c>
      <c r="BP45" s="13">
        <v>1</v>
      </c>
      <c r="BQ45" s="13" t="s">
        <v>250</v>
      </c>
      <c r="BR45" s="13">
        <v>10</v>
      </c>
    </row>
    <row r="46" spans="1:70" s="13" customFormat="1" ht="14.25" x14ac:dyDescent="0.15">
      <c r="A46" s="164"/>
      <c r="B46" s="13" t="s">
        <v>1832</v>
      </c>
      <c r="C46" s="13" t="s">
        <v>981</v>
      </c>
      <c r="E46" s="13" t="s">
        <v>810</v>
      </c>
      <c r="G46" s="13">
        <v>0</v>
      </c>
      <c r="H46" s="13">
        <v>12</v>
      </c>
      <c r="I46" s="13" t="s">
        <v>400</v>
      </c>
      <c r="K46" s="13">
        <v>3</v>
      </c>
      <c r="L46" s="13">
        <v>1</v>
      </c>
      <c r="M46" s="13" t="s">
        <v>254</v>
      </c>
      <c r="N46" s="13" t="s">
        <v>396</v>
      </c>
      <c r="O46" s="13">
        <v>0</v>
      </c>
      <c r="P46" s="13" t="s">
        <v>1833</v>
      </c>
      <c r="Q46" s="13" t="s">
        <v>811</v>
      </c>
      <c r="S46" s="13" t="s">
        <v>812</v>
      </c>
      <c r="U46" s="13" t="s">
        <v>813</v>
      </c>
      <c r="Y46" s="13" t="s">
        <v>250</v>
      </c>
      <c r="Z46" s="13" t="s">
        <v>814</v>
      </c>
      <c r="AA46" s="13" t="s">
        <v>251</v>
      </c>
      <c r="AB46" s="13">
        <v>0.15</v>
      </c>
      <c r="AC46" s="13">
        <v>0</v>
      </c>
      <c r="AD46" s="13">
        <v>20</v>
      </c>
      <c r="AE46" s="13">
        <v>1</v>
      </c>
      <c r="AF46" s="13" t="s">
        <v>1030</v>
      </c>
      <c r="AH46" s="13" t="s">
        <v>399</v>
      </c>
      <c r="AI46" s="13">
        <v>0</v>
      </c>
      <c r="AK46" s="13">
        <v>15374.527062803998</v>
      </c>
      <c r="AN46" s="163" t="s">
        <v>235</v>
      </c>
      <c r="AO46" s="163">
        <v>0</v>
      </c>
      <c r="AP46" s="163" t="s">
        <v>252</v>
      </c>
      <c r="AR46" s="13">
        <v>15374.527062803998</v>
      </c>
      <c r="AS46" s="13">
        <v>9700.6324877279985</v>
      </c>
      <c r="AT46" s="13">
        <v>119210.98915508327</v>
      </c>
      <c r="AU46" s="13">
        <v>1</v>
      </c>
      <c r="AV46" s="13">
        <v>1</v>
      </c>
      <c r="AW46" s="13">
        <v>0</v>
      </c>
      <c r="AX46" s="13">
        <v>0</v>
      </c>
      <c r="AY46" s="13">
        <v>0</v>
      </c>
      <c r="AZ46" s="13">
        <v>0</v>
      </c>
      <c r="BA46" s="13">
        <v>0</v>
      </c>
      <c r="BB46" s="13">
        <v>0</v>
      </c>
      <c r="BC46" s="13">
        <v>0</v>
      </c>
      <c r="BD46" s="13">
        <v>0</v>
      </c>
      <c r="BE46" s="13">
        <v>0.2</v>
      </c>
      <c r="BF46" s="13">
        <v>0</v>
      </c>
      <c r="BG46" s="13">
        <v>0</v>
      </c>
      <c r="BH46" s="13">
        <v>0</v>
      </c>
      <c r="BI46" s="13">
        <v>0</v>
      </c>
      <c r="BJ46" s="13">
        <v>0</v>
      </c>
      <c r="BK46" s="13">
        <v>0</v>
      </c>
      <c r="BL46" s="13">
        <v>0</v>
      </c>
      <c r="BM46" s="13">
        <v>0</v>
      </c>
      <c r="BN46" s="13">
        <v>0</v>
      </c>
      <c r="BO46" s="13">
        <v>0</v>
      </c>
      <c r="BP46" s="13">
        <v>1</v>
      </c>
      <c r="BQ46" s="13" t="s">
        <v>250</v>
      </c>
      <c r="BR46" s="13">
        <v>11</v>
      </c>
    </row>
    <row r="47" spans="1:70" s="13" customFormat="1" ht="14.25" x14ac:dyDescent="0.15">
      <c r="A47" s="164"/>
      <c r="B47" s="13" t="s">
        <v>2353</v>
      </c>
      <c r="C47" s="11" t="s">
        <v>975</v>
      </c>
      <c r="E47" s="13" t="s">
        <v>976</v>
      </c>
      <c r="G47" s="13">
        <v>0</v>
      </c>
      <c r="H47" s="13">
        <v>12</v>
      </c>
      <c r="I47" s="13" t="s">
        <v>296</v>
      </c>
      <c r="K47" s="13">
        <v>3</v>
      </c>
      <c r="L47" s="13">
        <v>1</v>
      </c>
      <c r="M47" s="13" t="s">
        <v>254</v>
      </c>
      <c r="N47" s="13" t="s">
        <v>396</v>
      </c>
      <c r="O47" s="13">
        <v>0</v>
      </c>
      <c r="P47" s="13" t="s">
        <v>2354</v>
      </c>
      <c r="Q47" s="13" t="s">
        <v>977</v>
      </c>
      <c r="S47" s="13" t="s">
        <v>978</v>
      </c>
      <c r="U47" s="13" t="s">
        <v>979</v>
      </c>
      <c r="Y47" s="13" t="s">
        <v>250</v>
      </c>
      <c r="Z47" s="13" t="s">
        <v>980</v>
      </c>
      <c r="AA47" s="13" t="s">
        <v>251</v>
      </c>
      <c r="AB47" s="13">
        <v>0.15</v>
      </c>
      <c r="AC47" s="13">
        <v>0</v>
      </c>
      <c r="AD47" s="13">
        <v>20</v>
      </c>
      <c r="AE47" s="13">
        <v>1</v>
      </c>
      <c r="AF47" s="13" t="s">
        <v>1029</v>
      </c>
      <c r="AH47" s="13" t="s">
        <v>399</v>
      </c>
      <c r="AI47" s="13">
        <v>800</v>
      </c>
      <c r="AK47" s="13">
        <v>23337.743644051196</v>
      </c>
      <c r="AN47" s="163" t="s">
        <v>235</v>
      </c>
      <c r="AO47" s="163">
        <v>0</v>
      </c>
      <c r="AP47" s="163" t="s">
        <v>252</v>
      </c>
      <c r="AR47" s="13">
        <v>23337.743644051196</v>
      </c>
      <c r="AS47" s="13">
        <v>6741.1174914719995</v>
      </c>
      <c r="AT47" s="13">
        <v>58376.075501409119</v>
      </c>
      <c r="AU47" s="13">
        <v>1</v>
      </c>
      <c r="AV47" s="13">
        <v>1</v>
      </c>
      <c r="AW47" s="13">
        <v>0</v>
      </c>
      <c r="AX47" s="13">
        <v>0</v>
      </c>
      <c r="AY47" s="13">
        <v>0</v>
      </c>
      <c r="AZ47" s="13">
        <v>0</v>
      </c>
      <c r="BA47" s="13">
        <v>0</v>
      </c>
      <c r="BB47" s="13">
        <v>0</v>
      </c>
      <c r="BC47" s="13">
        <v>0</v>
      </c>
      <c r="BD47" s="13">
        <v>0</v>
      </c>
      <c r="BE47" s="13">
        <v>0.2</v>
      </c>
      <c r="BF47" s="13">
        <v>0</v>
      </c>
      <c r="BG47" s="13">
        <v>0</v>
      </c>
      <c r="BH47" s="13">
        <v>0</v>
      </c>
      <c r="BI47" s="13">
        <v>0</v>
      </c>
      <c r="BJ47" s="13">
        <v>0</v>
      </c>
      <c r="BK47" s="13">
        <v>0</v>
      </c>
      <c r="BL47" s="13">
        <v>0</v>
      </c>
      <c r="BM47" s="13">
        <v>0</v>
      </c>
      <c r="BN47" s="13">
        <v>0</v>
      </c>
      <c r="BO47" s="13">
        <v>0</v>
      </c>
      <c r="BP47" s="13">
        <v>1</v>
      </c>
      <c r="BQ47" s="13" t="s">
        <v>250</v>
      </c>
      <c r="BR47" s="13">
        <v>10</v>
      </c>
    </row>
    <row r="48" spans="1:70" s="13" customFormat="1" ht="14.25" x14ac:dyDescent="0.15">
      <c r="A48" s="164"/>
      <c r="B48" s="13" t="s">
        <v>1834</v>
      </c>
      <c r="C48" s="13" t="s">
        <v>969</v>
      </c>
      <c r="E48" s="13" t="s">
        <v>970</v>
      </c>
      <c r="G48" s="13">
        <v>0</v>
      </c>
      <c r="H48" s="13">
        <v>13</v>
      </c>
      <c r="I48" s="13" t="s">
        <v>296</v>
      </c>
      <c r="K48" s="13">
        <v>3</v>
      </c>
      <c r="L48" s="13">
        <v>1</v>
      </c>
      <c r="M48" s="13" t="s">
        <v>254</v>
      </c>
      <c r="N48" s="13" t="s">
        <v>396</v>
      </c>
      <c r="O48" s="13">
        <v>0</v>
      </c>
      <c r="P48" s="13" t="s">
        <v>1835</v>
      </c>
      <c r="Q48" s="13" t="s">
        <v>971</v>
      </c>
      <c r="S48" s="13" t="s">
        <v>972</v>
      </c>
      <c r="U48" s="13" t="s">
        <v>973</v>
      </c>
      <c r="Y48" s="13" t="s">
        <v>974</v>
      </c>
      <c r="Z48" s="13" t="s">
        <v>235</v>
      </c>
      <c r="AA48" s="13" t="s">
        <v>251</v>
      </c>
      <c r="AB48" s="13">
        <v>0.15</v>
      </c>
      <c r="AC48" s="13">
        <v>0</v>
      </c>
      <c r="AD48" s="13">
        <v>20</v>
      </c>
      <c r="AE48" s="13">
        <v>1</v>
      </c>
      <c r="AF48" s="13" t="s">
        <v>1028</v>
      </c>
      <c r="AH48" s="13" t="s">
        <v>399</v>
      </c>
      <c r="AI48" s="13">
        <v>680</v>
      </c>
      <c r="AK48" s="13">
        <v>26491.492785139195</v>
      </c>
      <c r="AN48" s="163" t="s">
        <v>235</v>
      </c>
      <c r="AO48" s="163">
        <v>0</v>
      </c>
      <c r="AP48" s="163" t="s">
        <v>252</v>
      </c>
      <c r="AR48" s="13">
        <v>26491.492785139195</v>
      </c>
      <c r="AS48" s="13">
        <v>6741.1174914719995</v>
      </c>
      <c r="AT48" s="13">
        <v>63332.534742094787</v>
      </c>
      <c r="AU48" s="13">
        <v>1</v>
      </c>
      <c r="AV48" s="13">
        <v>1</v>
      </c>
      <c r="AW48" s="13">
        <v>0</v>
      </c>
      <c r="AX48" s="13">
        <v>0</v>
      </c>
      <c r="AY48" s="13">
        <v>0</v>
      </c>
      <c r="AZ48" s="13">
        <v>0</v>
      </c>
      <c r="BA48" s="13">
        <v>0</v>
      </c>
      <c r="BB48" s="13">
        <v>0</v>
      </c>
      <c r="BC48" s="13">
        <v>0</v>
      </c>
      <c r="BD48" s="13">
        <v>0</v>
      </c>
      <c r="BE48" s="13">
        <v>0.2</v>
      </c>
      <c r="BF48" s="13">
        <v>0</v>
      </c>
      <c r="BG48" s="13">
        <v>0</v>
      </c>
      <c r="BH48" s="13">
        <v>0</v>
      </c>
      <c r="BI48" s="13">
        <v>0</v>
      </c>
      <c r="BJ48" s="13">
        <v>0</v>
      </c>
      <c r="BK48" s="13">
        <v>0</v>
      </c>
      <c r="BL48" s="13">
        <v>0</v>
      </c>
      <c r="BM48" s="13">
        <v>0</v>
      </c>
      <c r="BN48" s="13">
        <v>0</v>
      </c>
      <c r="BO48" s="13">
        <v>0</v>
      </c>
      <c r="BP48" s="13">
        <v>1</v>
      </c>
      <c r="BQ48" s="13" t="s">
        <v>250</v>
      </c>
      <c r="BR48" s="13">
        <v>12</v>
      </c>
    </row>
    <row r="49" spans="1:70" s="13" customFormat="1" ht="14.25" x14ac:dyDescent="0.15">
      <c r="A49" s="164"/>
      <c r="B49" s="13" t="s">
        <v>2355</v>
      </c>
      <c r="C49" s="11" t="s">
        <v>924</v>
      </c>
      <c r="E49" s="13" t="s">
        <v>925</v>
      </c>
      <c r="G49" s="13">
        <v>0</v>
      </c>
      <c r="H49" s="13">
        <v>13</v>
      </c>
      <c r="I49" s="13" t="s">
        <v>296</v>
      </c>
      <c r="K49" s="13">
        <v>3</v>
      </c>
      <c r="L49" s="13">
        <v>1</v>
      </c>
      <c r="M49" s="13" t="s">
        <v>254</v>
      </c>
      <c r="N49" s="13" t="s">
        <v>396</v>
      </c>
      <c r="O49" s="13">
        <v>0</v>
      </c>
      <c r="P49" s="13" t="s">
        <v>2356</v>
      </c>
      <c r="Q49" s="13" t="s">
        <v>926</v>
      </c>
      <c r="S49" s="13" t="s">
        <v>927</v>
      </c>
      <c r="U49" s="13" t="s">
        <v>928</v>
      </c>
      <c r="Y49" s="13" t="s">
        <v>250</v>
      </c>
      <c r="Z49" s="13" t="s">
        <v>929</v>
      </c>
      <c r="AA49" s="13" t="s">
        <v>251</v>
      </c>
      <c r="AB49" s="13">
        <v>0.15</v>
      </c>
      <c r="AC49" s="13">
        <v>30</v>
      </c>
      <c r="AD49" s="13">
        <v>20</v>
      </c>
      <c r="AE49" s="13">
        <v>1</v>
      </c>
      <c r="AF49" s="13" t="s">
        <v>1018</v>
      </c>
      <c r="AH49" s="13" t="s">
        <v>399</v>
      </c>
      <c r="AI49" s="13">
        <v>0</v>
      </c>
      <c r="AK49" s="13">
        <v>33429.740895532799</v>
      </c>
      <c r="AN49" s="163" t="s">
        <v>235</v>
      </c>
      <c r="AO49" s="163">
        <v>0</v>
      </c>
      <c r="AP49" s="163" t="s">
        <v>252</v>
      </c>
      <c r="AR49" s="13">
        <v>33429.740895532799</v>
      </c>
      <c r="AS49" s="13">
        <v>6741.1174914719995</v>
      </c>
      <c r="AT49" s="13">
        <v>76733.331948393097</v>
      </c>
      <c r="AU49" s="13">
        <v>1</v>
      </c>
      <c r="AV49" s="13">
        <v>1</v>
      </c>
      <c r="AW49" s="13">
        <v>0</v>
      </c>
      <c r="AX49" s="13">
        <v>0</v>
      </c>
      <c r="AY49" s="13">
        <v>0</v>
      </c>
      <c r="AZ49" s="13">
        <v>0</v>
      </c>
      <c r="BA49" s="13">
        <v>0</v>
      </c>
      <c r="BB49" s="13">
        <v>0</v>
      </c>
      <c r="BC49" s="13">
        <v>0</v>
      </c>
      <c r="BD49" s="13">
        <v>0</v>
      </c>
      <c r="BE49" s="13">
        <v>0.2</v>
      </c>
      <c r="BF49" s="13">
        <v>0</v>
      </c>
      <c r="BG49" s="13">
        <v>0</v>
      </c>
      <c r="BH49" s="13">
        <v>0</v>
      </c>
      <c r="BI49" s="13">
        <v>0</v>
      </c>
      <c r="BJ49" s="13">
        <v>0</v>
      </c>
      <c r="BK49" s="13">
        <v>0</v>
      </c>
      <c r="BL49" s="13">
        <v>0</v>
      </c>
      <c r="BM49" s="13">
        <v>0</v>
      </c>
      <c r="BN49" s="13">
        <v>0</v>
      </c>
      <c r="BO49" s="13">
        <v>0</v>
      </c>
      <c r="BP49" s="13">
        <v>1</v>
      </c>
      <c r="BQ49" s="13" t="s">
        <v>250</v>
      </c>
      <c r="BR49" s="13">
        <v>16</v>
      </c>
    </row>
    <row r="50" spans="1:70" s="13" customFormat="1" ht="14.25" x14ac:dyDescent="0.15">
      <c r="A50" s="164"/>
      <c r="B50" s="13" t="s">
        <v>2357</v>
      </c>
      <c r="C50" s="11" t="s">
        <v>924</v>
      </c>
      <c r="E50" s="13" t="s">
        <v>925</v>
      </c>
      <c r="G50" s="13">
        <v>0</v>
      </c>
      <c r="H50" s="13">
        <v>13</v>
      </c>
      <c r="I50" s="13" t="s">
        <v>296</v>
      </c>
      <c r="K50" s="13">
        <v>3</v>
      </c>
      <c r="L50" s="13">
        <v>1</v>
      </c>
      <c r="M50" s="13" t="s">
        <v>254</v>
      </c>
      <c r="N50" s="13" t="s">
        <v>396</v>
      </c>
      <c r="O50" s="13">
        <v>0</v>
      </c>
      <c r="P50" s="13" t="s">
        <v>2358</v>
      </c>
      <c r="Q50" s="13" t="s">
        <v>926</v>
      </c>
      <c r="S50" s="13" t="s">
        <v>927</v>
      </c>
      <c r="U50" s="42" t="s">
        <v>928</v>
      </c>
      <c r="Y50" s="13" t="s">
        <v>250</v>
      </c>
      <c r="Z50" s="13" t="s">
        <v>929</v>
      </c>
      <c r="AA50" s="13" t="s">
        <v>251</v>
      </c>
      <c r="AB50" s="13">
        <v>0.15</v>
      </c>
      <c r="AC50" s="13">
        <v>0</v>
      </c>
      <c r="AD50" s="13">
        <v>20</v>
      </c>
      <c r="AE50" s="13">
        <v>1</v>
      </c>
      <c r="AF50" s="13" t="s">
        <v>1018</v>
      </c>
      <c r="AH50" s="13" t="s">
        <v>399</v>
      </c>
      <c r="AI50" s="13">
        <v>1000</v>
      </c>
      <c r="AK50" s="13">
        <v>33429.740895532799</v>
      </c>
      <c r="AN50" s="163" t="s">
        <v>235</v>
      </c>
      <c r="AO50" s="163">
        <v>0</v>
      </c>
      <c r="AP50" s="163" t="s">
        <v>252</v>
      </c>
      <c r="AR50" s="13">
        <v>33429.740895532799</v>
      </c>
      <c r="AS50" s="13">
        <v>6741.1174914719995</v>
      </c>
      <c r="AT50" s="13">
        <v>76733.331948393097</v>
      </c>
      <c r="AU50" s="13">
        <v>1</v>
      </c>
      <c r="AV50" s="13">
        <v>1</v>
      </c>
      <c r="AW50" s="13">
        <v>0</v>
      </c>
      <c r="AX50" s="13">
        <v>0</v>
      </c>
      <c r="AY50" s="13">
        <v>0</v>
      </c>
      <c r="AZ50" s="13">
        <v>0</v>
      </c>
      <c r="BA50" s="13">
        <v>0</v>
      </c>
      <c r="BB50" s="13">
        <v>0</v>
      </c>
      <c r="BC50" s="13">
        <v>0</v>
      </c>
      <c r="BD50" s="13">
        <v>0</v>
      </c>
      <c r="BE50" s="13">
        <v>0.2</v>
      </c>
      <c r="BF50" s="13">
        <v>0</v>
      </c>
      <c r="BG50" s="13">
        <v>0</v>
      </c>
      <c r="BH50" s="13">
        <v>0</v>
      </c>
      <c r="BI50" s="13">
        <v>0</v>
      </c>
      <c r="BJ50" s="13">
        <v>0</v>
      </c>
      <c r="BK50" s="13">
        <v>0</v>
      </c>
      <c r="BL50" s="13">
        <v>0</v>
      </c>
      <c r="BM50" s="13">
        <v>0</v>
      </c>
      <c r="BN50" s="13">
        <v>0</v>
      </c>
      <c r="BO50" s="13">
        <v>0</v>
      </c>
      <c r="BP50" s="13">
        <v>1</v>
      </c>
      <c r="BQ50" s="13" t="s">
        <v>250</v>
      </c>
      <c r="BR50" s="13">
        <v>16</v>
      </c>
    </row>
    <row r="51" spans="1:70" s="13" customFormat="1" ht="14.25" x14ac:dyDescent="0.15">
      <c r="A51" s="164"/>
      <c r="B51" s="13" t="s">
        <v>2359</v>
      </c>
      <c r="C51" s="11" t="s">
        <v>924</v>
      </c>
      <c r="E51" s="13" t="s">
        <v>925</v>
      </c>
      <c r="G51" s="13">
        <v>0</v>
      </c>
      <c r="H51" s="13">
        <v>13</v>
      </c>
      <c r="I51" s="13" t="s">
        <v>296</v>
      </c>
      <c r="K51" s="13">
        <v>3</v>
      </c>
      <c r="L51" s="13">
        <v>1</v>
      </c>
      <c r="M51" s="13" t="s">
        <v>254</v>
      </c>
      <c r="N51" s="13" t="s">
        <v>396</v>
      </c>
      <c r="O51" s="13">
        <v>0</v>
      </c>
      <c r="P51" s="13" t="s">
        <v>2360</v>
      </c>
      <c r="Q51" s="13" t="s">
        <v>926</v>
      </c>
      <c r="S51" s="13" t="s">
        <v>927</v>
      </c>
      <c r="U51" s="42" t="s">
        <v>928</v>
      </c>
      <c r="Y51" s="13" t="s">
        <v>250</v>
      </c>
      <c r="Z51" s="13" t="s">
        <v>929</v>
      </c>
      <c r="AA51" s="13" t="s">
        <v>251</v>
      </c>
      <c r="AB51" s="13">
        <v>0.15</v>
      </c>
      <c r="AC51" s="13">
        <v>0</v>
      </c>
      <c r="AD51" s="13">
        <v>20</v>
      </c>
      <c r="AE51" s="13">
        <v>1</v>
      </c>
      <c r="AF51" s="13" t="s">
        <v>1018</v>
      </c>
      <c r="AH51" s="13" t="s">
        <v>399</v>
      </c>
      <c r="AI51" s="13">
        <v>300</v>
      </c>
      <c r="AK51" s="13">
        <v>33429.740895532799</v>
      </c>
      <c r="AN51" s="163" t="s">
        <v>235</v>
      </c>
      <c r="AO51" s="163">
        <v>0</v>
      </c>
      <c r="AP51" s="163" t="s">
        <v>252</v>
      </c>
      <c r="AR51" s="13">
        <v>33429.740895532799</v>
      </c>
      <c r="AS51" s="13">
        <v>6741.1174914719995</v>
      </c>
      <c r="AT51" s="13">
        <v>76733.331948393097</v>
      </c>
      <c r="AU51" s="13">
        <v>1</v>
      </c>
      <c r="AV51" s="13">
        <v>1</v>
      </c>
      <c r="AW51" s="13">
        <v>0</v>
      </c>
      <c r="AX51" s="13">
        <v>0</v>
      </c>
      <c r="AY51" s="13">
        <v>0</v>
      </c>
      <c r="AZ51" s="13">
        <v>0</v>
      </c>
      <c r="BA51" s="13">
        <v>0</v>
      </c>
      <c r="BB51" s="13">
        <v>0</v>
      </c>
      <c r="BC51" s="13">
        <v>0</v>
      </c>
      <c r="BD51" s="13">
        <v>0</v>
      </c>
      <c r="BE51" s="13">
        <v>0.2</v>
      </c>
      <c r="BF51" s="13">
        <v>0</v>
      </c>
      <c r="BG51" s="13">
        <v>0</v>
      </c>
      <c r="BH51" s="13">
        <v>0</v>
      </c>
      <c r="BI51" s="13">
        <v>0</v>
      </c>
      <c r="BJ51" s="13">
        <v>0</v>
      </c>
      <c r="BK51" s="13">
        <v>0</v>
      </c>
      <c r="BL51" s="13">
        <v>0</v>
      </c>
      <c r="BM51" s="13">
        <v>0</v>
      </c>
      <c r="BN51" s="13">
        <v>0</v>
      </c>
      <c r="BO51" s="13">
        <v>0</v>
      </c>
      <c r="BP51" s="13">
        <v>1</v>
      </c>
      <c r="BQ51" s="13" t="s">
        <v>250</v>
      </c>
      <c r="BR51" s="13">
        <v>16</v>
      </c>
    </row>
    <row r="52" spans="1:70" s="13" customFormat="1" ht="14.25" x14ac:dyDescent="0.15">
      <c r="A52" s="164"/>
      <c r="B52" s="13" t="s">
        <v>2361</v>
      </c>
      <c r="C52" s="11" t="s">
        <v>969</v>
      </c>
      <c r="E52" s="13" t="s">
        <v>970</v>
      </c>
      <c r="G52" s="13">
        <v>0</v>
      </c>
      <c r="H52" s="13">
        <v>13</v>
      </c>
      <c r="I52" s="13" t="s">
        <v>296</v>
      </c>
      <c r="K52" s="13">
        <v>3</v>
      </c>
      <c r="L52" s="13">
        <v>1</v>
      </c>
      <c r="M52" s="13" t="s">
        <v>254</v>
      </c>
      <c r="N52" s="13" t="s">
        <v>396</v>
      </c>
      <c r="O52" s="13">
        <v>0</v>
      </c>
      <c r="P52" s="13" t="s">
        <v>2362</v>
      </c>
      <c r="Q52" s="13" t="s">
        <v>971</v>
      </c>
      <c r="S52" s="13" t="s">
        <v>972</v>
      </c>
      <c r="U52" s="42" t="s">
        <v>973</v>
      </c>
      <c r="Y52" s="13" t="s">
        <v>974</v>
      </c>
      <c r="Z52" s="13" t="s">
        <v>235</v>
      </c>
      <c r="AA52" s="13" t="s">
        <v>251</v>
      </c>
      <c r="AB52" s="13">
        <v>0.15</v>
      </c>
      <c r="AC52" s="13">
        <v>0</v>
      </c>
      <c r="AD52" s="13">
        <v>20</v>
      </c>
      <c r="AE52" s="13">
        <v>1</v>
      </c>
      <c r="AF52" s="13" t="s">
        <v>1028</v>
      </c>
      <c r="AH52" s="13" t="s">
        <v>399</v>
      </c>
      <c r="AI52" s="13">
        <v>680</v>
      </c>
      <c r="AK52" s="13">
        <v>26491.492785139195</v>
      </c>
      <c r="AN52" s="163" t="s">
        <v>235</v>
      </c>
      <c r="AO52" s="163">
        <v>0</v>
      </c>
      <c r="AP52" s="163" t="s">
        <v>252</v>
      </c>
      <c r="AR52" s="13">
        <v>26491.492785139195</v>
      </c>
      <c r="AS52" s="13">
        <v>6741.1174914719995</v>
      </c>
      <c r="AT52" s="13">
        <v>63332.534742094787</v>
      </c>
      <c r="AU52" s="13">
        <v>1</v>
      </c>
      <c r="AV52" s="13">
        <v>1</v>
      </c>
      <c r="AW52" s="13">
        <v>0</v>
      </c>
      <c r="AX52" s="13">
        <v>0</v>
      </c>
      <c r="AY52" s="13">
        <v>0</v>
      </c>
      <c r="AZ52" s="13">
        <v>0</v>
      </c>
      <c r="BA52" s="13">
        <v>0</v>
      </c>
      <c r="BB52" s="13">
        <v>0</v>
      </c>
      <c r="BC52" s="13">
        <v>0</v>
      </c>
      <c r="BD52" s="13">
        <v>0</v>
      </c>
      <c r="BE52" s="13">
        <v>0.2</v>
      </c>
      <c r="BF52" s="13">
        <v>0</v>
      </c>
      <c r="BG52" s="13">
        <v>0</v>
      </c>
      <c r="BH52" s="13">
        <v>0</v>
      </c>
      <c r="BI52" s="13">
        <v>0</v>
      </c>
      <c r="BJ52" s="13">
        <v>0</v>
      </c>
      <c r="BK52" s="13">
        <v>0</v>
      </c>
      <c r="BL52" s="13">
        <v>0</v>
      </c>
      <c r="BM52" s="13">
        <v>0</v>
      </c>
      <c r="BN52" s="13">
        <v>0</v>
      </c>
      <c r="BO52" s="13">
        <v>0</v>
      </c>
      <c r="BP52" s="13">
        <v>1</v>
      </c>
      <c r="BQ52" s="13" t="s">
        <v>250</v>
      </c>
      <c r="BR52" s="13">
        <v>12</v>
      </c>
    </row>
    <row r="53" spans="1:70" s="13" customFormat="1" ht="14.25" x14ac:dyDescent="0.15">
      <c r="A53" s="164"/>
      <c r="B53" s="13" t="s">
        <v>2363</v>
      </c>
      <c r="C53" s="13" t="s">
        <v>2319</v>
      </c>
      <c r="E53" s="13" t="s">
        <v>2320</v>
      </c>
      <c r="G53" s="13">
        <v>0</v>
      </c>
      <c r="H53" s="13">
        <v>15</v>
      </c>
      <c r="I53" s="13" t="s">
        <v>296</v>
      </c>
      <c r="K53" s="13">
        <v>3</v>
      </c>
      <c r="L53" s="13">
        <v>1</v>
      </c>
      <c r="M53" s="13" t="s">
        <v>254</v>
      </c>
      <c r="N53" s="13" t="s">
        <v>396</v>
      </c>
      <c r="O53" s="13">
        <v>0</v>
      </c>
      <c r="P53" s="13" t="s">
        <v>2364</v>
      </c>
      <c r="Q53" s="13" t="s">
        <v>2321</v>
      </c>
      <c r="S53" s="13" t="s">
        <v>2322</v>
      </c>
      <c r="U53" s="42" t="s">
        <v>2323</v>
      </c>
      <c r="Y53" s="13" t="s">
        <v>250</v>
      </c>
      <c r="Z53" s="13" t="s">
        <v>2324</v>
      </c>
      <c r="AA53" s="13" t="s">
        <v>251</v>
      </c>
      <c r="AB53" s="13">
        <v>0.15</v>
      </c>
      <c r="AC53" s="13">
        <v>30</v>
      </c>
      <c r="AD53" s="13">
        <v>20</v>
      </c>
      <c r="AE53" s="13">
        <v>1</v>
      </c>
      <c r="AF53" s="13" t="s">
        <v>2325</v>
      </c>
      <c r="AH53" s="13" t="s">
        <v>399</v>
      </c>
      <c r="AI53" s="13">
        <v>800</v>
      </c>
      <c r="AK53" s="13">
        <v>31537.491410879997</v>
      </c>
      <c r="AN53" s="163" t="s">
        <v>235</v>
      </c>
      <c r="AO53" s="163">
        <v>0</v>
      </c>
      <c r="AP53" s="163" t="s">
        <v>252</v>
      </c>
      <c r="AR53" s="13">
        <v>31537.491410879997</v>
      </c>
      <c r="AS53" s="13">
        <v>6741.1174914719995</v>
      </c>
      <c r="AT53" s="13">
        <v>73429.025787935985</v>
      </c>
      <c r="AU53" s="13">
        <v>1</v>
      </c>
      <c r="AV53" s="13">
        <v>1</v>
      </c>
      <c r="AW53" s="13">
        <v>0</v>
      </c>
      <c r="AX53" s="13">
        <v>0</v>
      </c>
      <c r="AY53" s="13">
        <v>0</v>
      </c>
      <c r="AZ53" s="13">
        <v>0</v>
      </c>
      <c r="BA53" s="13">
        <v>0</v>
      </c>
      <c r="BB53" s="13">
        <v>0</v>
      </c>
      <c r="BC53" s="13">
        <v>0</v>
      </c>
      <c r="BD53" s="13">
        <v>0</v>
      </c>
      <c r="BE53" s="13">
        <v>0.2</v>
      </c>
      <c r="BF53" s="13">
        <v>0</v>
      </c>
      <c r="BG53" s="13">
        <v>0</v>
      </c>
      <c r="BH53" s="13">
        <v>0</v>
      </c>
      <c r="BI53" s="13">
        <v>0</v>
      </c>
      <c r="BJ53" s="13">
        <v>0</v>
      </c>
      <c r="BK53" s="13">
        <v>0</v>
      </c>
      <c r="BL53" s="13">
        <v>0</v>
      </c>
      <c r="BM53" s="13">
        <v>0</v>
      </c>
      <c r="BN53" s="13">
        <v>0</v>
      </c>
      <c r="BO53" s="13">
        <v>0</v>
      </c>
      <c r="BP53" s="13">
        <v>1</v>
      </c>
      <c r="BQ53" s="13" t="s">
        <v>250</v>
      </c>
      <c r="BR53" s="13">
        <v>17</v>
      </c>
    </row>
    <row r="54" spans="1:70" s="13" customFormat="1" ht="14.25" x14ac:dyDescent="0.15">
      <c r="A54" s="164"/>
      <c r="B54" s="13" t="s">
        <v>1836</v>
      </c>
      <c r="C54" s="13" t="s">
        <v>906</v>
      </c>
      <c r="E54" s="13" t="s">
        <v>907</v>
      </c>
      <c r="G54" s="13">
        <v>0</v>
      </c>
      <c r="H54" s="13">
        <v>13</v>
      </c>
      <c r="I54" s="13" t="s">
        <v>296</v>
      </c>
      <c r="K54" s="13">
        <v>3</v>
      </c>
      <c r="L54" s="13">
        <v>1</v>
      </c>
      <c r="M54" s="13" t="s">
        <v>254</v>
      </c>
      <c r="N54" s="13" t="s">
        <v>396</v>
      </c>
      <c r="O54" s="13">
        <v>0</v>
      </c>
      <c r="P54" s="13" t="s">
        <v>1837</v>
      </c>
      <c r="Q54" s="13" t="s">
        <v>908</v>
      </c>
      <c r="S54" s="13" t="s">
        <v>909</v>
      </c>
      <c r="U54" s="42" t="s">
        <v>910</v>
      </c>
      <c r="Y54" s="13" t="s">
        <v>250</v>
      </c>
      <c r="Z54" s="13" t="s">
        <v>911</v>
      </c>
      <c r="AA54" s="13" t="s">
        <v>251</v>
      </c>
      <c r="AB54" s="13">
        <v>0.15</v>
      </c>
      <c r="AC54" s="13">
        <v>0</v>
      </c>
      <c r="AD54" s="13">
        <v>20</v>
      </c>
      <c r="AE54" s="13">
        <v>1</v>
      </c>
      <c r="AF54" s="13" t="s">
        <v>1014</v>
      </c>
      <c r="AH54" s="13" t="s">
        <v>399</v>
      </c>
      <c r="AI54" s="13">
        <v>0</v>
      </c>
      <c r="AK54" s="13">
        <v>24599.2433004864</v>
      </c>
      <c r="AN54" s="163" t="s">
        <v>235</v>
      </c>
      <c r="AO54" s="163">
        <v>0</v>
      </c>
      <c r="AP54" s="163" t="s">
        <v>252</v>
      </c>
      <c r="AR54" s="13">
        <v>24599.2433004864</v>
      </c>
      <c r="AS54" s="13">
        <v>6741.1174914719995</v>
      </c>
      <c r="AT54" s="13">
        <v>60028.228581637675</v>
      </c>
      <c r="AU54" s="13">
        <v>1</v>
      </c>
      <c r="AV54" s="13">
        <v>1</v>
      </c>
      <c r="AW54" s="13">
        <v>0</v>
      </c>
      <c r="AX54" s="13">
        <v>0</v>
      </c>
      <c r="AY54" s="13">
        <v>0</v>
      </c>
      <c r="AZ54" s="13">
        <v>0</v>
      </c>
      <c r="BA54" s="13">
        <v>0</v>
      </c>
      <c r="BB54" s="13">
        <v>0</v>
      </c>
      <c r="BC54" s="13">
        <v>0</v>
      </c>
      <c r="BD54" s="13">
        <v>0</v>
      </c>
      <c r="BE54" s="13">
        <v>0.2</v>
      </c>
      <c r="BF54" s="13">
        <v>0</v>
      </c>
      <c r="BG54" s="13">
        <v>0</v>
      </c>
      <c r="BH54" s="13">
        <v>0</v>
      </c>
      <c r="BI54" s="13">
        <v>0</v>
      </c>
      <c r="BJ54" s="13">
        <v>0</v>
      </c>
      <c r="BK54" s="13">
        <v>0</v>
      </c>
      <c r="BL54" s="13">
        <v>0</v>
      </c>
      <c r="BM54" s="13">
        <v>0</v>
      </c>
      <c r="BN54" s="13">
        <v>0</v>
      </c>
      <c r="BO54" s="13">
        <v>0</v>
      </c>
      <c r="BP54" s="13">
        <v>1</v>
      </c>
      <c r="BQ54" s="13" t="s">
        <v>250</v>
      </c>
      <c r="BR54" s="13">
        <v>11</v>
      </c>
    </row>
    <row r="55" spans="1:70" s="13" customFormat="1" ht="14.25" x14ac:dyDescent="0.15">
      <c r="A55" s="164"/>
      <c r="B55" s="13" t="s">
        <v>1838</v>
      </c>
      <c r="C55" s="13" t="s">
        <v>930</v>
      </c>
      <c r="E55" s="13" t="s">
        <v>404</v>
      </c>
      <c r="G55" s="13">
        <v>0</v>
      </c>
      <c r="H55" s="13">
        <v>14</v>
      </c>
      <c r="I55" s="13" t="s">
        <v>296</v>
      </c>
      <c r="K55" s="13">
        <v>3</v>
      </c>
      <c r="L55" s="13">
        <v>1</v>
      </c>
      <c r="M55" s="13" t="s">
        <v>254</v>
      </c>
      <c r="N55" s="13" t="s">
        <v>396</v>
      </c>
      <c r="O55" s="13">
        <v>0</v>
      </c>
      <c r="P55" s="13" t="s">
        <v>1839</v>
      </c>
      <c r="Q55" s="13" t="s">
        <v>257</v>
      </c>
      <c r="S55" s="13" t="s">
        <v>403</v>
      </c>
      <c r="U55" s="42" t="s">
        <v>402</v>
      </c>
      <c r="Y55" s="13" t="s">
        <v>250</v>
      </c>
      <c r="Z55" s="13" t="s">
        <v>256</v>
      </c>
      <c r="AA55" s="13" t="s">
        <v>251</v>
      </c>
      <c r="AB55" s="13">
        <v>0.15</v>
      </c>
      <c r="AC55" s="13">
        <v>0</v>
      </c>
      <c r="AD55" s="13">
        <v>20</v>
      </c>
      <c r="AE55" s="13">
        <v>1</v>
      </c>
      <c r="AF55" s="13" t="s">
        <v>1019</v>
      </c>
      <c r="AH55" s="13" t="s">
        <v>399</v>
      </c>
      <c r="AI55" s="13">
        <v>1000</v>
      </c>
      <c r="AK55" s="13">
        <v>35006.615466076801</v>
      </c>
      <c r="AN55" s="163" t="s">
        <v>235</v>
      </c>
      <c r="AO55" s="163">
        <v>0</v>
      </c>
      <c r="AP55" s="163" t="s">
        <v>252</v>
      </c>
      <c r="AR55" s="13">
        <v>35006.615466076801</v>
      </c>
      <c r="AS55" s="13">
        <v>6741.1174914719995</v>
      </c>
      <c r="AT55" s="13">
        <v>80221.210673320064</v>
      </c>
      <c r="AU55" s="13">
        <v>1</v>
      </c>
      <c r="AV55" s="13">
        <v>1</v>
      </c>
      <c r="AW55" s="13">
        <v>0</v>
      </c>
      <c r="AX55" s="13">
        <v>0</v>
      </c>
      <c r="AY55" s="13">
        <v>0</v>
      </c>
      <c r="AZ55" s="13">
        <v>0</v>
      </c>
      <c r="BA55" s="13">
        <v>0</v>
      </c>
      <c r="BB55" s="13">
        <v>0</v>
      </c>
      <c r="BC55" s="13">
        <v>0</v>
      </c>
      <c r="BD55" s="13">
        <v>0</v>
      </c>
      <c r="BE55" s="13">
        <v>0.2</v>
      </c>
      <c r="BF55" s="13">
        <v>0</v>
      </c>
      <c r="BG55" s="13">
        <v>0</v>
      </c>
      <c r="BH55" s="13">
        <v>0</v>
      </c>
      <c r="BI55" s="13">
        <v>0</v>
      </c>
      <c r="BJ55" s="13">
        <v>0</v>
      </c>
      <c r="BK55" s="13">
        <v>0</v>
      </c>
      <c r="BL55" s="13">
        <v>0</v>
      </c>
      <c r="BM55" s="13">
        <v>0</v>
      </c>
      <c r="BN55" s="13">
        <v>0</v>
      </c>
      <c r="BO55" s="13">
        <v>0</v>
      </c>
      <c r="BP55" s="13">
        <v>1</v>
      </c>
      <c r="BQ55" s="13" t="s">
        <v>250</v>
      </c>
      <c r="BR55" s="13">
        <v>17</v>
      </c>
    </row>
    <row r="56" spans="1:70" s="13" customFormat="1" ht="14.25" x14ac:dyDescent="0.15">
      <c r="A56" s="164"/>
      <c r="B56" s="13" t="s">
        <v>1840</v>
      </c>
      <c r="C56" s="13" t="s">
        <v>906</v>
      </c>
      <c r="E56" s="13" t="s">
        <v>907</v>
      </c>
      <c r="G56" s="13">
        <v>0</v>
      </c>
      <c r="H56" s="13">
        <v>13</v>
      </c>
      <c r="I56" s="13" t="s">
        <v>296</v>
      </c>
      <c r="K56" s="13">
        <v>3</v>
      </c>
      <c r="L56" s="13">
        <v>1</v>
      </c>
      <c r="M56" s="13" t="s">
        <v>254</v>
      </c>
      <c r="N56" s="13" t="s">
        <v>396</v>
      </c>
      <c r="O56" s="13">
        <v>0</v>
      </c>
      <c r="P56" s="13" t="s">
        <v>1841</v>
      </c>
      <c r="Q56" s="13" t="s">
        <v>908</v>
      </c>
      <c r="S56" s="13" t="s">
        <v>909</v>
      </c>
      <c r="U56" s="42" t="s">
        <v>910</v>
      </c>
      <c r="Y56" s="13" t="s">
        <v>250</v>
      </c>
      <c r="Z56" s="13" t="s">
        <v>911</v>
      </c>
      <c r="AA56" s="13" t="s">
        <v>251</v>
      </c>
      <c r="AB56" s="13">
        <v>0.15</v>
      </c>
      <c r="AC56" s="13">
        <v>0</v>
      </c>
      <c r="AD56" s="13">
        <v>20</v>
      </c>
      <c r="AE56" s="13">
        <v>1</v>
      </c>
      <c r="AF56" s="13" t="s">
        <v>1014</v>
      </c>
      <c r="AH56" s="13" t="s">
        <v>399</v>
      </c>
      <c r="AI56" s="13">
        <v>0</v>
      </c>
      <c r="AK56" s="13">
        <v>24599.2433004864</v>
      </c>
      <c r="AN56" s="163" t="s">
        <v>235</v>
      </c>
      <c r="AO56" s="163">
        <v>0</v>
      </c>
      <c r="AP56" s="163" t="s">
        <v>252</v>
      </c>
      <c r="AR56" s="13">
        <v>24599.2433004864</v>
      </c>
      <c r="AS56" s="13">
        <v>6741.1174914719995</v>
      </c>
      <c r="AT56" s="13">
        <v>60028.228581637675</v>
      </c>
      <c r="AU56" s="13">
        <v>1</v>
      </c>
      <c r="AV56" s="13">
        <v>1</v>
      </c>
      <c r="AW56" s="13">
        <v>0</v>
      </c>
      <c r="AX56" s="13">
        <v>0</v>
      </c>
      <c r="AY56" s="13">
        <v>0</v>
      </c>
      <c r="AZ56" s="13">
        <v>0</v>
      </c>
      <c r="BA56" s="13">
        <v>0</v>
      </c>
      <c r="BB56" s="13">
        <v>0</v>
      </c>
      <c r="BC56" s="13">
        <v>0</v>
      </c>
      <c r="BD56" s="13">
        <v>0</v>
      </c>
      <c r="BE56" s="13">
        <v>0.2</v>
      </c>
      <c r="BF56" s="13">
        <v>0</v>
      </c>
      <c r="BG56" s="13">
        <v>0</v>
      </c>
      <c r="BH56" s="13">
        <v>0</v>
      </c>
      <c r="BI56" s="13">
        <v>0</v>
      </c>
      <c r="BJ56" s="13">
        <v>0</v>
      </c>
      <c r="BK56" s="13">
        <v>0</v>
      </c>
      <c r="BL56" s="13">
        <v>0</v>
      </c>
      <c r="BM56" s="13">
        <v>0</v>
      </c>
      <c r="BN56" s="13">
        <v>0</v>
      </c>
      <c r="BO56" s="13">
        <v>0</v>
      </c>
      <c r="BP56" s="13">
        <v>1</v>
      </c>
      <c r="BQ56" s="13" t="s">
        <v>250</v>
      </c>
      <c r="BR56" s="13">
        <v>11</v>
      </c>
    </row>
    <row r="57" spans="1:70" s="11" customFormat="1" ht="14.25" x14ac:dyDescent="0.15">
      <c r="A57" s="164"/>
      <c r="B57" s="11" t="s">
        <v>2365</v>
      </c>
      <c r="C57" s="11" t="s">
        <v>856</v>
      </c>
      <c r="E57" s="11" t="s">
        <v>857</v>
      </c>
      <c r="G57" s="11">
        <v>0</v>
      </c>
      <c r="H57" s="11">
        <v>12</v>
      </c>
      <c r="I57" s="11" t="s">
        <v>400</v>
      </c>
      <c r="K57" s="11">
        <v>3</v>
      </c>
      <c r="L57" s="11">
        <v>1</v>
      </c>
      <c r="M57" s="11" t="s">
        <v>254</v>
      </c>
      <c r="N57" s="11" t="s">
        <v>396</v>
      </c>
      <c r="O57" s="11">
        <v>0</v>
      </c>
      <c r="P57" s="11" t="s">
        <v>2366</v>
      </c>
      <c r="Q57" s="11" t="s">
        <v>858</v>
      </c>
      <c r="S57" s="11" t="s">
        <v>859</v>
      </c>
      <c r="U57" s="11" t="s">
        <v>860</v>
      </c>
      <c r="Y57" s="11" t="s">
        <v>250</v>
      </c>
      <c r="Z57" s="11" t="s">
        <v>861</v>
      </c>
      <c r="AA57" s="13" t="s">
        <v>251</v>
      </c>
      <c r="AB57" s="13">
        <v>0.15</v>
      </c>
      <c r="AC57" s="11">
        <v>0</v>
      </c>
      <c r="AD57" s="11">
        <v>20</v>
      </c>
      <c r="AE57" s="11">
        <v>1</v>
      </c>
      <c r="AF57" s="13" t="s">
        <v>1004</v>
      </c>
      <c r="AH57" s="13" t="s">
        <v>399</v>
      </c>
      <c r="AI57" s="11">
        <v>800</v>
      </c>
      <c r="AJ57" s="13"/>
      <c r="AK57" s="11">
        <v>18725.385525209997</v>
      </c>
      <c r="AN57" s="11" t="s">
        <v>235</v>
      </c>
      <c r="AO57" s="11">
        <v>0</v>
      </c>
      <c r="AP57" s="11" t="s">
        <v>252</v>
      </c>
      <c r="AR57" s="11">
        <v>18725.385525209997</v>
      </c>
      <c r="AS57" s="11">
        <v>9700.6324877279985</v>
      </c>
      <c r="AT57" s="11">
        <v>139261.76714752844</v>
      </c>
      <c r="AU57" s="13">
        <v>1</v>
      </c>
      <c r="AV57" s="13">
        <v>1</v>
      </c>
      <c r="AW57" s="13">
        <v>0</v>
      </c>
      <c r="AX57" s="13">
        <v>0</v>
      </c>
      <c r="AY57" s="13">
        <v>0</v>
      </c>
      <c r="AZ57" s="13">
        <v>0</v>
      </c>
      <c r="BA57" s="13">
        <v>0</v>
      </c>
      <c r="BB57" s="13">
        <v>0</v>
      </c>
      <c r="BC57" s="13">
        <v>0</v>
      </c>
      <c r="BD57" s="13">
        <v>0</v>
      </c>
      <c r="BE57" s="13">
        <v>0</v>
      </c>
      <c r="BF57" s="13">
        <v>0</v>
      </c>
      <c r="BG57" s="13">
        <v>0</v>
      </c>
      <c r="BH57" s="13">
        <v>0</v>
      </c>
      <c r="BI57" s="13">
        <v>0</v>
      </c>
      <c r="BJ57" s="13">
        <v>0</v>
      </c>
      <c r="BK57" s="13">
        <v>0</v>
      </c>
      <c r="BL57" s="13">
        <v>0</v>
      </c>
      <c r="BM57" s="13">
        <v>0</v>
      </c>
      <c r="BN57" s="13">
        <v>0</v>
      </c>
      <c r="BO57" s="13">
        <v>0</v>
      </c>
      <c r="BP57" s="13">
        <v>1</v>
      </c>
      <c r="BQ57" s="11" t="s">
        <v>250</v>
      </c>
      <c r="BR57" s="11">
        <v>14</v>
      </c>
    </row>
    <row r="58" spans="1:70" s="11" customFormat="1" ht="14.25" x14ac:dyDescent="0.15">
      <c r="A58" s="164"/>
      <c r="B58" s="11" t="s">
        <v>1842</v>
      </c>
      <c r="C58" s="11" t="s">
        <v>2250</v>
      </c>
      <c r="E58" s="11" t="s">
        <v>2251</v>
      </c>
      <c r="G58" s="11">
        <v>1</v>
      </c>
      <c r="H58" s="11">
        <v>13</v>
      </c>
      <c r="I58" s="11" t="s">
        <v>296</v>
      </c>
      <c r="K58" s="11">
        <v>3</v>
      </c>
      <c r="L58" s="11">
        <v>1</v>
      </c>
      <c r="M58" s="11" t="s">
        <v>254</v>
      </c>
      <c r="N58" s="11" t="s">
        <v>396</v>
      </c>
      <c r="O58" s="11">
        <v>0</v>
      </c>
      <c r="P58" s="11" t="s">
        <v>1843</v>
      </c>
      <c r="Q58" s="11" t="s">
        <v>2252</v>
      </c>
      <c r="S58" s="11" t="s">
        <v>2301</v>
      </c>
      <c r="U58" s="11" t="s">
        <v>2253</v>
      </c>
      <c r="Y58" s="11" t="s">
        <v>250</v>
      </c>
      <c r="Z58" s="11" t="s">
        <v>2254</v>
      </c>
      <c r="AA58" s="13" t="s">
        <v>251</v>
      </c>
      <c r="AB58" s="13">
        <v>0.15</v>
      </c>
      <c r="AC58" s="11">
        <v>0</v>
      </c>
      <c r="AD58" s="11">
        <v>20</v>
      </c>
      <c r="AE58" s="11">
        <v>1</v>
      </c>
      <c r="AF58" s="13" t="s">
        <v>2302</v>
      </c>
      <c r="AH58" s="13" t="s">
        <v>399</v>
      </c>
      <c r="AI58" s="11">
        <v>680</v>
      </c>
      <c r="AJ58" s="13"/>
      <c r="AK58" s="11">
        <v>21130.119245289596</v>
      </c>
      <c r="AN58" s="11" t="s">
        <v>235</v>
      </c>
      <c r="AO58" s="11">
        <v>0</v>
      </c>
      <c r="AP58" s="11" t="s">
        <v>252</v>
      </c>
      <c r="AR58" s="11">
        <v>21130.119245289596</v>
      </c>
      <c r="AS58" s="11">
        <v>6741.1174914719995</v>
      </c>
      <c r="AT58" s="11">
        <v>54888.19677648216</v>
      </c>
      <c r="AU58" s="13">
        <v>1</v>
      </c>
      <c r="AV58" s="13">
        <v>1</v>
      </c>
      <c r="AW58" s="13">
        <v>0</v>
      </c>
      <c r="AX58" s="13">
        <v>0</v>
      </c>
      <c r="AY58" s="13">
        <v>0</v>
      </c>
      <c r="AZ58" s="13">
        <v>0</v>
      </c>
      <c r="BA58" s="13">
        <v>0</v>
      </c>
      <c r="BB58" s="13">
        <v>0</v>
      </c>
      <c r="BC58" s="13">
        <v>0</v>
      </c>
      <c r="BD58" s="13">
        <v>0</v>
      </c>
      <c r="BE58" s="13">
        <v>0</v>
      </c>
      <c r="BF58" s="13">
        <v>0</v>
      </c>
      <c r="BG58" s="13">
        <v>0</v>
      </c>
      <c r="BH58" s="13">
        <v>0</v>
      </c>
      <c r="BI58" s="13">
        <v>0</v>
      </c>
      <c r="BJ58" s="13">
        <v>0</v>
      </c>
      <c r="BK58" s="13">
        <v>0</v>
      </c>
      <c r="BL58" s="13">
        <v>0</v>
      </c>
      <c r="BM58" s="13">
        <v>0</v>
      </c>
      <c r="BN58" s="13">
        <v>0</v>
      </c>
      <c r="BO58" s="13">
        <v>0</v>
      </c>
      <c r="BP58" s="13">
        <v>1</v>
      </c>
      <c r="BQ58" s="11" t="s">
        <v>250</v>
      </c>
      <c r="BR58" s="11">
        <v>8</v>
      </c>
    </row>
    <row r="59" spans="1:70" s="11" customFormat="1" ht="14.25" x14ac:dyDescent="0.15">
      <c r="A59" s="164"/>
      <c r="B59" s="11" t="s">
        <v>2367</v>
      </c>
      <c r="C59" s="11" t="s">
        <v>2250</v>
      </c>
      <c r="E59" s="11" t="s">
        <v>2251</v>
      </c>
      <c r="G59" s="11">
        <v>1</v>
      </c>
      <c r="H59" s="11">
        <v>13</v>
      </c>
      <c r="I59" s="11" t="s">
        <v>296</v>
      </c>
      <c r="K59" s="11">
        <v>3</v>
      </c>
      <c r="L59" s="11">
        <v>1</v>
      </c>
      <c r="M59" s="11" t="s">
        <v>254</v>
      </c>
      <c r="N59" s="11" t="s">
        <v>396</v>
      </c>
      <c r="O59" s="11">
        <v>0</v>
      </c>
      <c r="P59" s="11" t="s">
        <v>2368</v>
      </c>
      <c r="Q59" s="11" t="s">
        <v>2252</v>
      </c>
      <c r="S59" s="11" t="s">
        <v>2301</v>
      </c>
      <c r="U59" s="11" t="s">
        <v>2253</v>
      </c>
      <c r="Y59" s="11" t="s">
        <v>250</v>
      </c>
      <c r="Z59" s="11" t="s">
        <v>2254</v>
      </c>
      <c r="AA59" s="13" t="s">
        <v>251</v>
      </c>
      <c r="AB59" s="13">
        <v>0.15</v>
      </c>
      <c r="AC59" s="11">
        <v>0</v>
      </c>
      <c r="AD59" s="11">
        <v>20</v>
      </c>
      <c r="AE59" s="11">
        <v>1</v>
      </c>
      <c r="AF59" s="13" t="s">
        <v>2302</v>
      </c>
      <c r="AH59" s="13" t="s">
        <v>399</v>
      </c>
      <c r="AI59" s="11">
        <v>800</v>
      </c>
      <c r="AJ59" s="13"/>
      <c r="AK59" s="11">
        <v>21130.119245289596</v>
      </c>
      <c r="AN59" s="11" t="s">
        <v>235</v>
      </c>
      <c r="AO59" s="11">
        <v>0</v>
      </c>
      <c r="AP59" s="11" t="s">
        <v>252</v>
      </c>
      <c r="AR59" s="11">
        <v>21130.119245289596</v>
      </c>
      <c r="AS59" s="11">
        <v>6741.1174914719995</v>
      </c>
      <c r="AT59" s="11">
        <v>54888.19677648216</v>
      </c>
      <c r="AU59" s="13">
        <v>1</v>
      </c>
      <c r="AV59" s="13">
        <v>1</v>
      </c>
      <c r="AW59" s="13">
        <v>0</v>
      </c>
      <c r="AX59" s="13">
        <v>0</v>
      </c>
      <c r="AY59" s="13">
        <v>0</v>
      </c>
      <c r="AZ59" s="13">
        <v>0</v>
      </c>
      <c r="BA59" s="13">
        <v>0</v>
      </c>
      <c r="BB59" s="13">
        <v>0</v>
      </c>
      <c r="BC59" s="13">
        <v>0</v>
      </c>
      <c r="BD59" s="13">
        <v>0</v>
      </c>
      <c r="BE59" s="13">
        <v>0</v>
      </c>
      <c r="BF59" s="13">
        <v>0</v>
      </c>
      <c r="BG59" s="13">
        <v>0</v>
      </c>
      <c r="BH59" s="13">
        <v>0</v>
      </c>
      <c r="BI59" s="13">
        <v>0</v>
      </c>
      <c r="BJ59" s="13">
        <v>0</v>
      </c>
      <c r="BK59" s="13">
        <v>0</v>
      </c>
      <c r="BL59" s="13">
        <v>0</v>
      </c>
      <c r="BM59" s="13">
        <v>0</v>
      </c>
      <c r="BN59" s="13">
        <v>0</v>
      </c>
      <c r="BO59" s="13">
        <v>0</v>
      </c>
      <c r="BP59" s="13">
        <v>1</v>
      </c>
      <c r="BQ59" s="11" t="s">
        <v>250</v>
      </c>
      <c r="BR59" s="11">
        <v>8</v>
      </c>
    </row>
    <row r="60" spans="1:70" s="11" customFormat="1" ht="14.25" x14ac:dyDescent="0.15">
      <c r="A60" s="164"/>
      <c r="B60" s="11" t="s">
        <v>1844</v>
      </c>
      <c r="C60" s="11" t="s">
        <v>938</v>
      </c>
      <c r="E60" s="11" t="s">
        <v>939</v>
      </c>
      <c r="G60" s="11">
        <v>0</v>
      </c>
      <c r="H60" s="11">
        <v>14</v>
      </c>
      <c r="I60" s="11" t="s">
        <v>400</v>
      </c>
      <c r="K60" s="11">
        <v>3</v>
      </c>
      <c r="L60" s="11">
        <v>1</v>
      </c>
      <c r="M60" s="11" t="s">
        <v>254</v>
      </c>
      <c r="N60" s="11" t="s">
        <v>396</v>
      </c>
      <c r="O60" s="11">
        <v>0</v>
      </c>
      <c r="P60" s="11" t="s">
        <v>1845</v>
      </c>
      <c r="Q60" s="11" t="s">
        <v>940</v>
      </c>
      <c r="S60" s="11" t="s">
        <v>941</v>
      </c>
      <c r="U60" s="11" t="s">
        <v>942</v>
      </c>
      <c r="Y60" s="11" t="s">
        <v>250</v>
      </c>
      <c r="Z60" s="11" t="s">
        <v>943</v>
      </c>
      <c r="AA60" s="13" t="s">
        <v>251</v>
      </c>
      <c r="AB60" s="13">
        <v>0.15</v>
      </c>
      <c r="AC60" s="11">
        <v>30</v>
      </c>
      <c r="AD60" s="11">
        <v>20</v>
      </c>
      <c r="AE60" s="11">
        <v>1</v>
      </c>
      <c r="AF60" s="13" t="s">
        <v>1022</v>
      </c>
      <c r="AH60" s="13" t="s">
        <v>399</v>
      </c>
      <c r="AI60" s="11">
        <v>0</v>
      </c>
      <c r="AJ60" s="13"/>
      <c r="AK60" s="11">
        <v>19710.932131799997</v>
      </c>
      <c r="AN60" s="11" t="s">
        <v>235</v>
      </c>
      <c r="AO60" s="11">
        <v>0</v>
      </c>
      <c r="AP60" s="11" t="s">
        <v>252</v>
      </c>
      <c r="AR60" s="11">
        <v>19710.932131799997</v>
      </c>
      <c r="AS60" s="11">
        <v>9700.6324877279985</v>
      </c>
      <c r="AT60" s="11">
        <v>145823.83994505598</v>
      </c>
      <c r="AU60" s="13">
        <v>1</v>
      </c>
      <c r="AV60" s="13">
        <v>1</v>
      </c>
      <c r="AW60" s="13">
        <v>0</v>
      </c>
      <c r="AX60" s="13">
        <v>0</v>
      </c>
      <c r="AY60" s="13">
        <v>0</v>
      </c>
      <c r="AZ60" s="13">
        <v>0</v>
      </c>
      <c r="BA60" s="13">
        <v>0</v>
      </c>
      <c r="BB60" s="13">
        <v>0</v>
      </c>
      <c r="BC60" s="13">
        <v>0</v>
      </c>
      <c r="BD60" s="13">
        <v>0</v>
      </c>
      <c r="BE60" s="13">
        <v>0</v>
      </c>
      <c r="BF60" s="13">
        <v>0</v>
      </c>
      <c r="BG60" s="13">
        <v>0</v>
      </c>
      <c r="BH60" s="13">
        <v>0</v>
      </c>
      <c r="BI60" s="13">
        <v>0</v>
      </c>
      <c r="BJ60" s="13">
        <v>0</v>
      </c>
      <c r="BK60" s="13">
        <v>0</v>
      </c>
      <c r="BL60" s="13">
        <v>0</v>
      </c>
      <c r="BM60" s="13">
        <v>0</v>
      </c>
      <c r="BN60" s="13">
        <v>0</v>
      </c>
      <c r="BO60" s="13">
        <v>0</v>
      </c>
      <c r="BP60" s="13">
        <v>1</v>
      </c>
      <c r="BQ60" s="11" t="s">
        <v>250</v>
      </c>
      <c r="BR60" s="11">
        <v>15</v>
      </c>
    </row>
    <row r="61" spans="1:70" s="11" customFormat="1" ht="14.25" x14ac:dyDescent="0.15">
      <c r="A61" s="164"/>
      <c r="B61" s="11" t="s">
        <v>2369</v>
      </c>
      <c r="C61" s="11" t="s">
        <v>2370</v>
      </c>
      <c r="E61" s="11" t="s">
        <v>2371</v>
      </c>
      <c r="G61" s="11">
        <v>0</v>
      </c>
      <c r="H61" s="11">
        <v>14</v>
      </c>
      <c r="I61" s="11" t="s">
        <v>296</v>
      </c>
      <c r="K61" s="11">
        <v>3</v>
      </c>
      <c r="L61" s="11">
        <v>1</v>
      </c>
      <c r="M61" s="11" t="s">
        <v>254</v>
      </c>
      <c r="N61" s="11" t="s">
        <v>396</v>
      </c>
      <c r="O61" s="11">
        <v>0</v>
      </c>
      <c r="P61" s="11" t="s">
        <v>2372</v>
      </c>
      <c r="Q61" s="11" t="s">
        <v>2373</v>
      </c>
      <c r="S61" s="11" t="s">
        <v>2374</v>
      </c>
      <c r="U61" s="11" t="s">
        <v>2375</v>
      </c>
      <c r="Y61" s="11" t="s">
        <v>250</v>
      </c>
      <c r="Z61" s="11" t="s">
        <v>2376</v>
      </c>
      <c r="AA61" s="13" t="s">
        <v>251</v>
      </c>
      <c r="AB61" s="13">
        <v>0.15</v>
      </c>
      <c r="AC61" s="11">
        <v>0</v>
      </c>
      <c r="AD61" s="11">
        <v>20</v>
      </c>
      <c r="AE61" s="11">
        <v>1</v>
      </c>
      <c r="AF61" s="13" t="s">
        <v>2377</v>
      </c>
      <c r="AH61" s="13" t="s">
        <v>2378</v>
      </c>
      <c r="AI61" s="11">
        <v>0</v>
      </c>
      <c r="AJ61" s="13"/>
      <c r="AK61" s="11">
        <v>26491.492785139195</v>
      </c>
      <c r="AN61" s="11" t="s">
        <v>235</v>
      </c>
      <c r="AO61" s="11">
        <v>0</v>
      </c>
      <c r="AP61" s="11" t="s">
        <v>252</v>
      </c>
      <c r="AR61" s="11">
        <v>26491.492785139195</v>
      </c>
      <c r="AS61" s="11">
        <v>6741.1174914719995</v>
      </c>
      <c r="AT61" s="11">
        <v>63332.534742094787</v>
      </c>
      <c r="AU61" s="13">
        <v>1</v>
      </c>
      <c r="AV61" s="13">
        <v>1</v>
      </c>
      <c r="AW61" s="13">
        <v>0</v>
      </c>
      <c r="AX61" s="13">
        <v>0</v>
      </c>
      <c r="AY61" s="13">
        <v>0</v>
      </c>
      <c r="AZ61" s="13">
        <v>0</v>
      </c>
      <c r="BA61" s="13">
        <v>0</v>
      </c>
      <c r="BB61" s="13">
        <v>0</v>
      </c>
      <c r="BC61" s="13">
        <v>0</v>
      </c>
      <c r="BD61" s="13">
        <v>0</v>
      </c>
      <c r="BE61" s="13">
        <v>0</v>
      </c>
      <c r="BF61" s="13">
        <v>0</v>
      </c>
      <c r="BG61" s="13">
        <v>0</v>
      </c>
      <c r="BH61" s="13">
        <v>0</v>
      </c>
      <c r="BI61" s="13">
        <v>0</v>
      </c>
      <c r="BJ61" s="13">
        <v>0</v>
      </c>
      <c r="BK61" s="13">
        <v>0</v>
      </c>
      <c r="BL61" s="13">
        <v>0</v>
      </c>
      <c r="BM61" s="13">
        <v>0</v>
      </c>
      <c r="BN61" s="13">
        <v>0</v>
      </c>
      <c r="BO61" s="13">
        <v>0</v>
      </c>
      <c r="BP61" s="13">
        <v>1</v>
      </c>
      <c r="BQ61" s="11" t="s">
        <v>250</v>
      </c>
      <c r="BR61" s="11">
        <v>10</v>
      </c>
    </row>
    <row r="62" spans="1:70" s="11" customFormat="1" ht="14.25" x14ac:dyDescent="0.15">
      <c r="A62" s="164"/>
      <c r="B62" s="11" t="s">
        <v>1846</v>
      </c>
      <c r="C62" s="11" t="s">
        <v>2370</v>
      </c>
      <c r="E62" s="11" t="s">
        <v>2371</v>
      </c>
      <c r="G62" s="11">
        <v>0</v>
      </c>
      <c r="H62" s="11">
        <v>14</v>
      </c>
      <c r="I62" s="11" t="s">
        <v>296</v>
      </c>
      <c r="K62" s="11">
        <v>3</v>
      </c>
      <c r="L62" s="11">
        <v>1</v>
      </c>
      <c r="M62" s="11" t="s">
        <v>254</v>
      </c>
      <c r="N62" s="11" t="s">
        <v>396</v>
      </c>
      <c r="O62" s="11">
        <v>0</v>
      </c>
      <c r="P62" s="11" t="s">
        <v>1847</v>
      </c>
      <c r="Q62" s="11" t="s">
        <v>2373</v>
      </c>
      <c r="S62" s="11" t="s">
        <v>2374</v>
      </c>
      <c r="U62" s="11" t="s">
        <v>2375</v>
      </c>
      <c r="Y62" s="11" t="s">
        <v>250</v>
      </c>
      <c r="Z62" s="11" t="s">
        <v>2376</v>
      </c>
      <c r="AA62" s="13" t="s">
        <v>251</v>
      </c>
      <c r="AB62" s="13">
        <v>0.15</v>
      </c>
      <c r="AC62" s="11">
        <v>0</v>
      </c>
      <c r="AD62" s="11">
        <v>20</v>
      </c>
      <c r="AE62" s="11">
        <v>1</v>
      </c>
      <c r="AF62" s="13" t="s">
        <v>2377</v>
      </c>
      <c r="AH62" s="13" t="s">
        <v>2378</v>
      </c>
      <c r="AI62" s="11">
        <v>0</v>
      </c>
      <c r="AJ62" s="13"/>
      <c r="AK62" s="11">
        <v>26491.492785139195</v>
      </c>
      <c r="AN62" s="11" t="s">
        <v>235</v>
      </c>
      <c r="AO62" s="11">
        <v>0</v>
      </c>
      <c r="AP62" s="11" t="s">
        <v>252</v>
      </c>
      <c r="AR62" s="11">
        <v>26491.492785139195</v>
      </c>
      <c r="AS62" s="11">
        <v>6741.1174914719995</v>
      </c>
      <c r="AT62" s="11">
        <v>63332.534742094787</v>
      </c>
      <c r="AU62" s="13">
        <v>1</v>
      </c>
      <c r="AV62" s="13">
        <v>1</v>
      </c>
      <c r="AW62" s="13">
        <v>0</v>
      </c>
      <c r="AX62" s="13">
        <v>0</v>
      </c>
      <c r="AY62" s="13">
        <v>0</v>
      </c>
      <c r="AZ62" s="13">
        <v>0</v>
      </c>
      <c r="BA62" s="13">
        <v>0</v>
      </c>
      <c r="BB62" s="13">
        <v>0</v>
      </c>
      <c r="BC62" s="13">
        <v>0</v>
      </c>
      <c r="BD62" s="13">
        <v>0</v>
      </c>
      <c r="BE62" s="13">
        <v>0</v>
      </c>
      <c r="BF62" s="13">
        <v>0</v>
      </c>
      <c r="BG62" s="13">
        <v>0</v>
      </c>
      <c r="BH62" s="13">
        <v>0</v>
      </c>
      <c r="BI62" s="13">
        <v>0</v>
      </c>
      <c r="BJ62" s="13">
        <v>0</v>
      </c>
      <c r="BK62" s="13">
        <v>0</v>
      </c>
      <c r="BL62" s="13">
        <v>0</v>
      </c>
      <c r="BM62" s="13">
        <v>0</v>
      </c>
      <c r="BN62" s="13">
        <v>0</v>
      </c>
      <c r="BO62" s="13">
        <v>0</v>
      </c>
      <c r="BP62" s="13">
        <v>1</v>
      </c>
      <c r="BQ62" s="11" t="s">
        <v>250</v>
      </c>
      <c r="BR62" s="11">
        <v>10</v>
      </c>
    </row>
    <row r="63" spans="1:70" s="11" customFormat="1" ht="14.25" x14ac:dyDescent="0.15">
      <c r="A63" s="164"/>
      <c r="B63" s="11" t="s">
        <v>2379</v>
      </c>
      <c r="C63" s="11" t="s">
        <v>2380</v>
      </c>
      <c r="E63" s="11" t="s">
        <v>2381</v>
      </c>
      <c r="G63" s="11">
        <v>0</v>
      </c>
      <c r="H63" s="11">
        <v>14</v>
      </c>
      <c r="I63" s="11" t="s">
        <v>401</v>
      </c>
      <c r="K63" s="11">
        <v>3</v>
      </c>
      <c r="L63" s="11">
        <v>1</v>
      </c>
      <c r="M63" s="11" t="s">
        <v>254</v>
      </c>
      <c r="N63" s="11" t="s">
        <v>396</v>
      </c>
      <c r="O63" s="11">
        <v>0</v>
      </c>
      <c r="P63" s="11" t="s">
        <v>2382</v>
      </c>
      <c r="Q63" s="11" t="s">
        <v>2383</v>
      </c>
      <c r="S63" s="11" t="s">
        <v>2384</v>
      </c>
      <c r="U63" s="11" t="s">
        <v>2385</v>
      </c>
      <c r="Y63" s="11" t="s">
        <v>250</v>
      </c>
      <c r="Z63" s="11" t="s">
        <v>2386</v>
      </c>
      <c r="AA63" s="13" t="s">
        <v>251</v>
      </c>
      <c r="AB63" s="13">
        <v>0.15</v>
      </c>
      <c r="AC63" s="11">
        <v>30</v>
      </c>
      <c r="AD63" s="11">
        <v>20</v>
      </c>
      <c r="AE63" s="11">
        <v>1</v>
      </c>
      <c r="AF63" s="13" t="s">
        <v>2387</v>
      </c>
      <c r="AH63" s="13" t="s">
        <v>399</v>
      </c>
      <c r="AI63" s="11">
        <v>0</v>
      </c>
      <c r="AJ63" s="13"/>
      <c r="AK63" s="11">
        <v>37003.989922099201</v>
      </c>
      <c r="AN63" s="11" t="s">
        <v>235</v>
      </c>
      <c r="AO63" s="11">
        <v>0</v>
      </c>
      <c r="AP63" s="11" t="s">
        <v>252</v>
      </c>
      <c r="AR63" s="11">
        <v>37003.989922099201</v>
      </c>
      <c r="AS63" s="11">
        <v>8220.874989599999</v>
      </c>
      <c r="AT63" s="11">
        <v>103038.50477819808</v>
      </c>
      <c r="AU63" s="13">
        <v>1</v>
      </c>
      <c r="AV63" s="13">
        <v>1</v>
      </c>
      <c r="AW63" s="13">
        <v>0</v>
      </c>
      <c r="AX63" s="13">
        <v>0</v>
      </c>
      <c r="AY63" s="13">
        <v>0</v>
      </c>
      <c r="AZ63" s="13">
        <v>0</v>
      </c>
      <c r="BA63" s="13">
        <v>0</v>
      </c>
      <c r="BB63" s="13">
        <v>0</v>
      </c>
      <c r="BC63" s="13">
        <v>0</v>
      </c>
      <c r="BD63" s="13">
        <v>0</v>
      </c>
      <c r="BE63" s="13">
        <v>0</v>
      </c>
      <c r="BF63" s="13">
        <v>0</v>
      </c>
      <c r="BG63" s="13">
        <v>0</v>
      </c>
      <c r="BH63" s="13">
        <v>0</v>
      </c>
      <c r="BI63" s="13">
        <v>0</v>
      </c>
      <c r="BJ63" s="13">
        <v>0</v>
      </c>
      <c r="BK63" s="13">
        <v>0</v>
      </c>
      <c r="BL63" s="13">
        <v>0</v>
      </c>
      <c r="BM63" s="13">
        <v>0</v>
      </c>
      <c r="BN63" s="13">
        <v>0</v>
      </c>
      <c r="BO63" s="13">
        <v>0</v>
      </c>
      <c r="BP63" s="13">
        <v>1</v>
      </c>
      <c r="BQ63" s="11" t="s">
        <v>250</v>
      </c>
      <c r="BR63" s="11">
        <v>20</v>
      </c>
    </row>
    <row r="64" spans="1:70" s="11" customFormat="1" ht="14.25" x14ac:dyDescent="0.15">
      <c r="A64" s="164"/>
      <c r="B64" s="11" t="s">
        <v>1848</v>
      </c>
      <c r="C64" s="11" t="s">
        <v>930</v>
      </c>
      <c r="E64" s="11" t="s">
        <v>404</v>
      </c>
      <c r="G64" s="11">
        <v>0</v>
      </c>
      <c r="H64" s="11">
        <v>14</v>
      </c>
      <c r="I64" s="11" t="s">
        <v>296</v>
      </c>
      <c r="K64" s="11">
        <v>3</v>
      </c>
      <c r="L64" s="11">
        <v>1</v>
      </c>
      <c r="M64" s="11" t="s">
        <v>254</v>
      </c>
      <c r="N64" s="11" t="s">
        <v>396</v>
      </c>
      <c r="O64" s="11">
        <v>0</v>
      </c>
      <c r="P64" s="11" t="s">
        <v>1849</v>
      </c>
      <c r="Q64" s="11" t="s">
        <v>257</v>
      </c>
      <c r="S64" s="11" t="s">
        <v>403</v>
      </c>
      <c r="U64" s="11" t="s">
        <v>402</v>
      </c>
      <c r="Y64" s="11" t="s">
        <v>250</v>
      </c>
      <c r="Z64" s="11" t="s">
        <v>256</v>
      </c>
      <c r="AA64" s="13" t="s">
        <v>251</v>
      </c>
      <c r="AB64" s="13">
        <v>0.15</v>
      </c>
      <c r="AC64" s="11">
        <v>0</v>
      </c>
      <c r="AD64" s="11">
        <v>20</v>
      </c>
      <c r="AE64" s="11">
        <v>1</v>
      </c>
      <c r="AF64" s="13" t="s">
        <v>1019</v>
      </c>
      <c r="AH64" s="13" t="s">
        <v>399</v>
      </c>
      <c r="AI64" s="11">
        <v>1000</v>
      </c>
      <c r="AJ64" s="13"/>
      <c r="AK64" s="11">
        <v>35006.615466076801</v>
      </c>
      <c r="AN64" s="11" t="s">
        <v>235</v>
      </c>
      <c r="AO64" s="11">
        <v>0</v>
      </c>
      <c r="AP64" s="11" t="s">
        <v>252</v>
      </c>
      <c r="AR64" s="11">
        <v>35006.615466076801</v>
      </c>
      <c r="AS64" s="11">
        <v>6741.1174914719995</v>
      </c>
      <c r="AT64" s="11">
        <v>80221.210673320064</v>
      </c>
      <c r="AU64" s="13">
        <v>1</v>
      </c>
      <c r="AV64" s="13">
        <v>1</v>
      </c>
      <c r="AW64" s="13">
        <v>0</v>
      </c>
      <c r="AX64" s="13">
        <v>0</v>
      </c>
      <c r="AY64" s="13">
        <v>0</v>
      </c>
      <c r="AZ64" s="13">
        <v>0</v>
      </c>
      <c r="BA64" s="13">
        <v>0</v>
      </c>
      <c r="BB64" s="13">
        <v>0</v>
      </c>
      <c r="BC64" s="13">
        <v>0</v>
      </c>
      <c r="BD64" s="13">
        <v>0</v>
      </c>
      <c r="BE64" s="13">
        <v>0</v>
      </c>
      <c r="BF64" s="13">
        <v>0</v>
      </c>
      <c r="BG64" s="13">
        <v>0</v>
      </c>
      <c r="BH64" s="13">
        <v>0</v>
      </c>
      <c r="BI64" s="13">
        <v>0</v>
      </c>
      <c r="BJ64" s="13">
        <v>0</v>
      </c>
      <c r="BK64" s="13">
        <v>0</v>
      </c>
      <c r="BL64" s="13">
        <v>0</v>
      </c>
      <c r="BM64" s="13">
        <v>0</v>
      </c>
      <c r="BN64" s="13">
        <v>0</v>
      </c>
      <c r="BO64" s="13">
        <v>0</v>
      </c>
      <c r="BP64" s="13">
        <v>1</v>
      </c>
      <c r="BQ64" s="11" t="s">
        <v>250</v>
      </c>
      <c r="BR64" s="11">
        <v>17</v>
      </c>
    </row>
    <row r="65" spans="1:70" s="11" customFormat="1" ht="14.25" x14ac:dyDescent="0.15">
      <c r="A65" s="164"/>
      <c r="B65" s="11" t="s">
        <v>1850</v>
      </c>
      <c r="C65" s="11" t="s">
        <v>950</v>
      </c>
      <c r="E65" s="11" t="s">
        <v>951</v>
      </c>
      <c r="G65" s="11">
        <v>1</v>
      </c>
      <c r="H65" s="11">
        <v>14</v>
      </c>
      <c r="I65" s="11" t="s">
        <v>400</v>
      </c>
      <c r="K65" s="11">
        <v>3</v>
      </c>
      <c r="L65" s="11">
        <v>1</v>
      </c>
      <c r="M65" s="11" t="s">
        <v>254</v>
      </c>
      <c r="N65" s="11" t="s">
        <v>396</v>
      </c>
      <c r="O65" s="11">
        <v>0</v>
      </c>
      <c r="P65" s="11" t="s">
        <v>1851</v>
      </c>
      <c r="Q65" s="11" t="s">
        <v>952</v>
      </c>
      <c r="S65" s="11" t="s">
        <v>953</v>
      </c>
      <c r="U65" s="11" t="s">
        <v>954</v>
      </c>
      <c r="Y65" s="11" t="s">
        <v>250</v>
      </c>
      <c r="Z65" s="11" t="s">
        <v>955</v>
      </c>
      <c r="AA65" s="13" t="s">
        <v>251</v>
      </c>
      <c r="AB65" s="13">
        <v>0.15</v>
      </c>
      <c r="AC65" s="11">
        <v>0</v>
      </c>
      <c r="AD65" s="11">
        <v>20</v>
      </c>
      <c r="AE65" s="11">
        <v>1</v>
      </c>
      <c r="AF65" s="13" t="s">
        <v>1024</v>
      </c>
      <c r="AH65" s="13" t="s">
        <v>399</v>
      </c>
      <c r="AI65" s="11">
        <v>1000</v>
      </c>
      <c r="AJ65" s="13"/>
      <c r="AK65" s="11">
        <v>23061.790594205995</v>
      </c>
      <c r="AN65" s="11" t="s">
        <v>235</v>
      </c>
      <c r="AO65" s="11">
        <v>0</v>
      </c>
      <c r="AP65" s="11" t="s">
        <v>252</v>
      </c>
      <c r="AR65" s="11">
        <v>23061.790594205995</v>
      </c>
      <c r="AS65" s="11">
        <v>9700.6324877279985</v>
      </c>
      <c r="AT65" s="11">
        <v>165874.61793750117</v>
      </c>
      <c r="AU65" s="13">
        <v>1</v>
      </c>
      <c r="AV65" s="13">
        <v>1</v>
      </c>
      <c r="AW65" s="13">
        <v>0</v>
      </c>
      <c r="AX65" s="13">
        <v>0</v>
      </c>
      <c r="AY65" s="13">
        <v>0</v>
      </c>
      <c r="AZ65" s="13">
        <v>0</v>
      </c>
      <c r="BA65" s="13">
        <v>0</v>
      </c>
      <c r="BB65" s="13">
        <v>0</v>
      </c>
      <c r="BC65" s="13">
        <v>0</v>
      </c>
      <c r="BD65" s="13">
        <v>0</v>
      </c>
      <c r="BE65" s="13">
        <v>0</v>
      </c>
      <c r="BF65" s="13">
        <v>0</v>
      </c>
      <c r="BG65" s="13">
        <v>0</v>
      </c>
      <c r="BH65" s="13">
        <v>0</v>
      </c>
      <c r="BI65" s="13">
        <v>0</v>
      </c>
      <c r="BJ65" s="13">
        <v>0</v>
      </c>
      <c r="BK65" s="13">
        <v>0</v>
      </c>
      <c r="BL65" s="13">
        <v>0</v>
      </c>
      <c r="BM65" s="13">
        <v>0</v>
      </c>
      <c r="BN65" s="13">
        <v>0</v>
      </c>
      <c r="BO65" s="13">
        <v>0</v>
      </c>
      <c r="BP65" s="13">
        <v>1</v>
      </c>
      <c r="BQ65" s="11" t="s">
        <v>250</v>
      </c>
      <c r="BR65" s="11">
        <v>18</v>
      </c>
    </row>
    <row r="66" spans="1:70" s="13" customFormat="1" ht="14.25" x14ac:dyDescent="0.15">
      <c r="A66" s="164"/>
      <c r="B66" s="13" t="s">
        <v>3070</v>
      </c>
      <c r="C66" s="13" t="s">
        <v>2245</v>
      </c>
      <c r="E66" s="13" t="s">
        <v>2246</v>
      </c>
      <c r="G66" s="13">
        <v>1</v>
      </c>
      <c r="H66" s="13">
        <v>14</v>
      </c>
      <c r="I66" s="13" t="s">
        <v>296</v>
      </c>
      <c r="K66" s="13">
        <v>3</v>
      </c>
      <c r="L66" s="13">
        <v>1</v>
      </c>
      <c r="M66" s="13" t="s">
        <v>254</v>
      </c>
      <c r="N66" s="13" t="s">
        <v>396</v>
      </c>
      <c r="O66" s="13">
        <v>0</v>
      </c>
      <c r="P66" s="13" t="s">
        <v>2388</v>
      </c>
      <c r="Q66" s="13" t="s">
        <v>2247</v>
      </c>
      <c r="S66" s="13" t="s">
        <v>2270</v>
      </c>
      <c r="U66" s="11" t="s">
        <v>2248</v>
      </c>
      <c r="Y66" s="13" t="s">
        <v>250</v>
      </c>
      <c r="Z66" s="162" t="s">
        <v>3183</v>
      </c>
      <c r="AA66" s="13" t="s">
        <v>251</v>
      </c>
      <c r="AB66" s="13">
        <v>0.15</v>
      </c>
      <c r="AC66" s="13">
        <v>0</v>
      </c>
      <c r="AD66" s="13">
        <v>20</v>
      </c>
      <c r="AE66" s="13">
        <v>1</v>
      </c>
      <c r="AF66" s="13" t="s">
        <v>2905</v>
      </c>
      <c r="AH66" s="13" t="s">
        <v>3171</v>
      </c>
      <c r="AI66" s="13">
        <v>800</v>
      </c>
      <c r="AK66" s="13">
        <v>31537.491410879997</v>
      </c>
      <c r="AN66" s="163" t="s">
        <v>235</v>
      </c>
      <c r="AO66" s="163">
        <v>0</v>
      </c>
      <c r="AP66" s="163" t="s">
        <v>252</v>
      </c>
      <c r="AR66" s="13">
        <v>31537.491410879997</v>
      </c>
      <c r="AS66" s="13">
        <v>6741.1174914719995</v>
      </c>
      <c r="AT66" s="13">
        <v>83429.025787936</v>
      </c>
      <c r="AU66" s="13">
        <v>1</v>
      </c>
      <c r="AV66" s="13">
        <v>1</v>
      </c>
      <c r="AW66" s="13">
        <v>0</v>
      </c>
      <c r="AX66" s="13">
        <v>0</v>
      </c>
      <c r="AY66" s="13">
        <v>0</v>
      </c>
      <c r="AZ66" s="13">
        <v>0</v>
      </c>
      <c r="BA66" s="13">
        <v>0</v>
      </c>
      <c r="BB66" s="13">
        <v>0</v>
      </c>
      <c r="BC66" s="13">
        <v>0</v>
      </c>
      <c r="BD66" s="13">
        <v>0</v>
      </c>
      <c r="BE66" s="13">
        <v>0</v>
      </c>
      <c r="BF66" s="13">
        <v>0</v>
      </c>
      <c r="BG66" s="13">
        <v>0</v>
      </c>
      <c r="BH66" s="13">
        <v>0</v>
      </c>
      <c r="BI66" s="13">
        <v>0</v>
      </c>
      <c r="BJ66" s="13">
        <v>0</v>
      </c>
      <c r="BK66" s="13">
        <v>0</v>
      </c>
      <c r="BL66" s="13">
        <v>0</v>
      </c>
      <c r="BM66" s="13">
        <v>0</v>
      </c>
      <c r="BN66" s="13">
        <v>0</v>
      </c>
      <c r="BO66" s="13">
        <v>0</v>
      </c>
      <c r="BP66" s="13">
        <v>1</v>
      </c>
      <c r="BQ66" s="13" t="s">
        <v>250</v>
      </c>
      <c r="BR66" s="13">
        <v>15</v>
      </c>
    </row>
    <row r="67" spans="1:70" s="13" customFormat="1" ht="14.25" x14ac:dyDescent="0.15">
      <c r="A67" s="164"/>
      <c r="B67" s="13" t="s">
        <v>2389</v>
      </c>
      <c r="C67" s="13" t="s">
        <v>2245</v>
      </c>
      <c r="E67" s="13" t="s">
        <v>2246</v>
      </c>
      <c r="G67" s="13">
        <v>1</v>
      </c>
      <c r="H67" s="13">
        <v>14</v>
      </c>
      <c r="I67" s="13" t="s">
        <v>296</v>
      </c>
      <c r="K67" s="13">
        <v>3</v>
      </c>
      <c r="L67" s="13">
        <v>1</v>
      </c>
      <c r="M67" s="13" t="s">
        <v>254</v>
      </c>
      <c r="N67" s="13" t="s">
        <v>396</v>
      </c>
      <c r="O67" s="13">
        <v>0</v>
      </c>
      <c r="P67" s="13" t="s">
        <v>2390</v>
      </c>
      <c r="Q67" s="13" t="s">
        <v>2247</v>
      </c>
      <c r="S67" s="13" t="s">
        <v>2270</v>
      </c>
      <c r="U67" s="11" t="s">
        <v>2248</v>
      </c>
      <c r="Y67" s="13" t="s">
        <v>250</v>
      </c>
      <c r="Z67" s="162" t="s">
        <v>3183</v>
      </c>
      <c r="AA67" s="13" t="s">
        <v>251</v>
      </c>
      <c r="AB67" s="13">
        <v>0.15</v>
      </c>
      <c r="AC67" s="13">
        <v>0</v>
      </c>
      <c r="AD67" s="13">
        <v>20</v>
      </c>
      <c r="AE67" s="13">
        <v>1</v>
      </c>
      <c r="AF67" s="13" t="s">
        <v>2271</v>
      </c>
      <c r="AH67" s="13" t="s">
        <v>399</v>
      </c>
      <c r="AI67" s="13">
        <v>800</v>
      </c>
      <c r="AK67" s="13">
        <v>33546.674568959999</v>
      </c>
      <c r="AN67" s="163" t="s">
        <v>235</v>
      </c>
      <c r="AO67" s="163">
        <v>0</v>
      </c>
      <c r="AP67" s="163" t="s">
        <v>252</v>
      </c>
      <c r="AR67" s="13">
        <v>33546.674568959999</v>
      </c>
      <c r="AS67" s="13">
        <v>7181.7485271839987</v>
      </c>
      <c r="AT67" s="13">
        <v>77603.667366203998</v>
      </c>
      <c r="AU67" s="13">
        <v>1</v>
      </c>
      <c r="AV67" s="13">
        <v>1</v>
      </c>
      <c r="AW67" s="13">
        <v>0</v>
      </c>
      <c r="AX67" s="13">
        <v>0</v>
      </c>
      <c r="AY67" s="13">
        <v>0</v>
      </c>
      <c r="AZ67" s="13">
        <v>0</v>
      </c>
      <c r="BA67" s="13">
        <v>0</v>
      </c>
      <c r="BB67" s="13">
        <v>0</v>
      </c>
      <c r="BC67" s="13">
        <v>0</v>
      </c>
      <c r="BD67" s="13">
        <v>0</v>
      </c>
      <c r="BE67" s="13">
        <v>0</v>
      </c>
      <c r="BF67" s="13">
        <v>0</v>
      </c>
      <c r="BG67" s="13">
        <v>0</v>
      </c>
      <c r="BH67" s="13">
        <v>0</v>
      </c>
      <c r="BI67" s="13">
        <v>0</v>
      </c>
      <c r="BJ67" s="13">
        <v>0</v>
      </c>
      <c r="BK67" s="13">
        <v>0</v>
      </c>
      <c r="BL67" s="13">
        <v>0</v>
      </c>
      <c r="BM67" s="13">
        <v>0</v>
      </c>
      <c r="BN67" s="13">
        <v>0</v>
      </c>
      <c r="BO67" s="13">
        <v>0</v>
      </c>
      <c r="BP67" s="13">
        <v>1</v>
      </c>
      <c r="BQ67" s="13" t="s">
        <v>250</v>
      </c>
      <c r="BR67" s="13">
        <v>15</v>
      </c>
    </row>
    <row r="68" spans="1:70" s="13" customFormat="1" ht="14.25" x14ac:dyDescent="0.15">
      <c r="A68" s="164"/>
      <c r="B68" s="13" t="s">
        <v>1852</v>
      </c>
      <c r="C68" s="13" t="s">
        <v>2391</v>
      </c>
      <c r="E68" s="13" t="s">
        <v>2392</v>
      </c>
      <c r="G68" s="13">
        <v>0</v>
      </c>
      <c r="H68" s="13">
        <v>12</v>
      </c>
      <c r="I68" s="13" t="s">
        <v>401</v>
      </c>
      <c r="K68" s="13">
        <v>3</v>
      </c>
      <c r="L68" s="13">
        <v>1</v>
      </c>
      <c r="M68" s="13" t="s">
        <v>254</v>
      </c>
      <c r="N68" s="13" t="s">
        <v>396</v>
      </c>
      <c r="O68" s="13">
        <v>0</v>
      </c>
      <c r="P68" s="13" t="s">
        <v>1853</v>
      </c>
      <c r="Q68" s="13" t="s">
        <v>2393</v>
      </c>
      <c r="S68" s="13" t="s">
        <v>2394</v>
      </c>
      <c r="U68" s="11" t="s">
        <v>2395</v>
      </c>
      <c r="Y68" s="13" t="s">
        <v>250</v>
      </c>
      <c r="Z68" s="13" t="s">
        <v>2396</v>
      </c>
      <c r="AA68" s="13" t="s">
        <v>251</v>
      </c>
      <c r="AB68" s="13">
        <v>0.15</v>
      </c>
      <c r="AC68" s="13">
        <v>0</v>
      </c>
      <c r="AD68" s="13">
        <v>20</v>
      </c>
      <c r="AE68" s="13">
        <v>1</v>
      </c>
      <c r="AF68" s="13" t="s">
        <v>2397</v>
      </c>
      <c r="AH68" s="13" t="s">
        <v>399</v>
      </c>
      <c r="AI68" s="13">
        <v>680</v>
      </c>
      <c r="AK68" s="13">
        <v>27368.495335843203</v>
      </c>
      <c r="AN68" s="163" t="s">
        <v>235</v>
      </c>
      <c r="AO68" s="163">
        <v>0</v>
      </c>
      <c r="AP68" s="163" t="s">
        <v>252</v>
      </c>
      <c r="AR68" s="13">
        <v>27368.495335843203</v>
      </c>
      <c r="AS68" s="13">
        <v>8758.2299112000001</v>
      </c>
      <c r="AT68" s="13">
        <v>80344.388435510438</v>
      </c>
      <c r="AU68" s="13">
        <v>1</v>
      </c>
      <c r="AV68" s="13">
        <v>1</v>
      </c>
      <c r="AW68" s="13">
        <v>0</v>
      </c>
      <c r="AX68" s="13">
        <v>0</v>
      </c>
      <c r="AY68" s="13">
        <v>0</v>
      </c>
      <c r="AZ68" s="13">
        <v>0</v>
      </c>
      <c r="BA68" s="13">
        <v>0</v>
      </c>
      <c r="BB68" s="13">
        <v>0</v>
      </c>
      <c r="BC68" s="13">
        <v>0</v>
      </c>
      <c r="BD68" s="13">
        <v>0</v>
      </c>
      <c r="BE68" s="13">
        <v>0</v>
      </c>
      <c r="BF68" s="13">
        <v>0</v>
      </c>
      <c r="BG68" s="13">
        <v>0</v>
      </c>
      <c r="BH68" s="13">
        <v>0</v>
      </c>
      <c r="BI68" s="13">
        <v>0</v>
      </c>
      <c r="BJ68" s="13">
        <v>0</v>
      </c>
      <c r="BK68" s="13">
        <v>0</v>
      </c>
      <c r="BL68" s="13">
        <v>0</v>
      </c>
      <c r="BM68" s="13">
        <v>0</v>
      </c>
      <c r="BN68" s="13">
        <v>0</v>
      </c>
      <c r="BO68" s="13">
        <v>0</v>
      </c>
      <c r="BP68" s="13">
        <v>1</v>
      </c>
      <c r="BQ68" s="13" t="s">
        <v>250</v>
      </c>
      <c r="BR68" s="13">
        <v>13</v>
      </c>
    </row>
    <row r="69" spans="1:70" s="13" customFormat="1" ht="14.25" x14ac:dyDescent="0.15">
      <c r="A69" s="164"/>
      <c r="B69" s="13" t="s">
        <v>1854</v>
      </c>
      <c r="C69" s="11" t="s">
        <v>2319</v>
      </c>
      <c r="E69" s="13" t="s">
        <v>2320</v>
      </c>
      <c r="G69" s="13">
        <v>0</v>
      </c>
      <c r="H69" s="13">
        <v>15</v>
      </c>
      <c r="I69" s="13" t="s">
        <v>296</v>
      </c>
      <c r="K69" s="13">
        <v>3</v>
      </c>
      <c r="L69" s="13">
        <v>1</v>
      </c>
      <c r="M69" s="13" t="s">
        <v>254</v>
      </c>
      <c r="N69" s="13" t="s">
        <v>396</v>
      </c>
      <c r="O69" s="13">
        <v>0</v>
      </c>
      <c r="P69" s="13" t="s">
        <v>1855</v>
      </c>
      <c r="Q69" s="13" t="s">
        <v>2321</v>
      </c>
      <c r="S69" s="13" t="s">
        <v>2322</v>
      </c>
      <c r="U69" s="42" t="s">
        <v>2323</v>
      </c>
      <c r="Y69" s="13" t="s">
        <v>250</v>
      </c>
      <c r="Z69" s="13" t="s">
        <v>2324</v>
      </c>
      <c r="AA69" s="13" t="s">
        <v>251</v>
      </c>
      <c r="AB69" s="13">
        <v>0.15</v>
      </c>
      <c r="AC69" s="13">
        <v>30</v>
      </c>
      <c r="AD69" s="13">
        <v>20</v>
      </c>
      <c r="AE69" s="13">
        <v>1</v>
      </c>
      <c r="AF69" s="13" t="s">
        <v>2325</v>
      </c>
      <c r="AH69" s="13" t="s">
        <v>399</v>
      </c>
      <c r="AI69" s="13">
        <v>680</v>
      </c>
      <c r="AK69" s="13">
        <v>33546.674568959999</v>
      </c>
      <c r="AN69" s="163" t="s">
        <v>235</v>
      </c>
      <c r="AO69" s="163">
        <v>0</v>
      </c>
      <c r="AP69" s="163" t="s">
        <v>252</v>
      </c>
      <c r="AR69" s="13">
        <v>33546.674568959999</v>
      </c>
      <c r="AS69" s="13">
        <v>7181.7485271839987</v>
      </c>
      <c r="AT69" s="13">
        <v>77603.667366203998</v>
      </c>
      <c r="AU69" s="13">
        <v>1</v>
      </c>
      <c r="AV69" s="13">
        <v>1</v>
      </c>
      <c r="AW69" s="13">
        <v>0</v>
      </c>
      <c r="AX69" s="13">
        <v>0</v>
      </c>
      <c r="AY69" s="13">
        <v>0</v>
      </c>
      <c r="AZ69" s="13">
        <v>0</v>
      </c>
      <c r="BA69" s="13">
        <v>0</v>
      </c>
      <c r="BB69" s="13">
        <v>0</v>
      </c>
      <c r="BC69" s="13">
        <v>0</v>
      </c>
      <c r="BD69" s="13">
        <v>0</v>
      </c>
      <c r="BE69" s="13">
        <v>0</v>
      </c>
      <c r="BF69" s="13">
        <v>0</v>
      </c>
      <c r="BG69" s="13">
        <v>0</v>
      </c>
      <c r="BH69" s="13">
        <v>0</v>
      </c>
      <c r="BI69" s="13">
        <v>0</v>
      </c>
      <c r="BJ69" s="13">
        <v>0</v>
      </c>
      <c r="BK69" s="13">
        <v>0</v>
      </c>
      <c r="BL69" s="13">
        <v>0</v>
      </c>
      <c r="BM69" s="13">
        <v>0</v>
      </c>
      <c r="BN69" s="13">
        <v>0</v>
      </c>
      <c r="BO69" s="13">
        <v>0</v>
      </c>
      <c r="BP69" s="13">
        <v>1</v>
      </c>
      <c r="BQ69" s="13" t="s">
        <v>250</v>
      </c>
      <c r="BR69" s="13">
        <v>17</v>
      </c>
    </row>
    <row r="70" spans="1:70" s="13" customFormat="1" ht="14.25" x14ac:dyDescent="0.15">
      <c r="A70" s="164"/>
      <c r="B70" s="13" t="s">
        <v>2398</v>
      </c>
      <c r="C70" s="13" t="s">
        <v>924</v>
      </c>
      <c r="E70" s="13" t="s">
        <v>925</v>
      </c>
      <c r="G70" s="13">
        <v>0</v>
      </c>
      <c r="H70" s="13">
        <v>13</v>
      </c>
      <c r="I70" s="13" t="s">
        <v>296</v>
      </c>
      <c r="K70" s="13">
        <v>3</v>
      </c>
      <c r="L70" s="13">
        <v>1</v>
      </c>
      <c r="M70" s="13" t="s">
        <v>254</v>
      </c>
      <c r="N70" s="13" t="s">
        <v>396</v>
      </c>
      <c r="O70" s="13">
        <v>0</v>
      </c>
      <c r="P70" s="13" t="s">
        <v>2399</v>
      </c>
      <c r="Q70" s="13" t="s">
        <v>926</v>
      </c>
      <c r="S70" s="13" t="s">
        <v>927</v>
      </c>
      <c r="U70" s="42" t="s">
        <v>928</v>
      </c>
      <c r="Y70" s="13" t="s">
        <v>250</v>
      </c>
      <c r="Z70" s="13" t="s">
        <v>929</v>
      </c>
      <c r="AA70" s="13" t="s">
        <v>251</v>
      </c>
      <c r="AB70" s="13">
        <v>0.15</v>
      </c>
      <c r="AC70" s="13">
        <v>0</v>
      </c>
      <c r="AD70" s="13">
        <v>20</v>
      </c>
      <c r="AE70" s="13">
        <v>1</v>
      </c>
      <c r="AF70" s="13" t="s">
        <v>1018</v>
      </c>
      <c r="AH70" s="13" t="s">
        <v>399</v>
      </c>
      <c r="AI70" s="13">
        <v>1000</v>
      </c>
      <c r="AK70" s="13">
        <v>35559.475043097598</v>
      </c>
      <c r="AN70" s="163" t="s">
        <v>235</v>
      </c>
      <c r="AO70" s="163">
        <v>0</v>
      </c>
      <c r="AP70" s="163" t="s">
        <v>252</v>
      </c>
      <c r="AR70" s="13">
        <v>35559.475043097598</v>
      </c>
      <c r="AS70" s="13">
        <v>7181.7485271839987</v>
      </c>
      <c r="AT70" s="13">
        <v>81095.832397683174</v>
      </c>
      <c r="AU70" s="13">
        <v>1</v>
      </c>
      <c r="AV70" s="13">
        <v>1</v>
      </c>
      <c r="AW70" s="13">
        <v>0</v>
      </c>
      <c r="AX70" s="13">
        <v>0</v>
      </c>
      <c r="AY70" s="13">
        <v>0</v>
      </c>
      <c r="AZ70" s="13">
        <v>0</v>
      </c>
      <c r="BA70" s="13">
        <v>0</v>
      </c>
      <c r="BB70" s="13">
        <v>0</v>
      </c>
      <c r="BC70" s="13">
        <v>0</v>
      </c>
      <c r="BD70" s="13">
        <v>0</v>
      </c>
      <c r="BE70" s="13">
        <v>0</v>
      </c>
      <c r="BF70" s="13">
        <v>0</v>
      </c>
      <c r="BG70" s="13">
        <v>0</v>
      </c>
      <c r="BH70" s="13">
        <v>0</v>
      </c>
      <c r="BI70" s="13">
        <v>0</v>
      </c>
      <c r="BJ70" s="13">
        <v>0</v>
      </c>
      <c r="BK70" s="13">
        <v>0</v>
      </c>
      <c r="BL70" s="13">
        <v>0</v>
      </c>
      <c r="BM70" s="13">
        <v>0</v>
      </c>
      <c r="BN70" s="13">
        <v>0</v>
      </c>
      <c r="BO70" s="13">
        <v>0</v>
      </c>
      <c r="BP70" s="13">
        <v>1</v>
      </c>
      <c r="BQ70" s="13" t="s">
        <v>250</v>
      </c>
      <c r="BR70" s="13">
        <v>16</v>
      </c>
    </row>
    <row r="71" spans="1:70" s="13" customFormat="1" ht="14.25" x14ac:dyDescent="0.15">
      <c r="A71" s="164"/>
      <c r="B71" s="13" t="s">
        <v>1856</v>
      </c>
      <c r="C71" s="13" t="s">
        <v>2245</v>
      </c>
      <c r="E71" s="13" t="s">
        <v>2246</v>
      </c>
      <c r="G71" s="13">
        <v>1</v>
      </c>
      <c r="H71" s="13">
        <v>14</v>
      </c>
      <c r="I71" s="13" t="s">
        <v>296</v>
      </c>
      <c r="K71" s="13">
        <v>3</v>
      </c>
      <c r="L71" s="13">
        <v>1</v>
      </c>
      <c r="M71" s="13" t="s">
        <v>254</v>
      </c>
      <c r="N71" s="13" t="s">
        <v>396</v>
      </c>
      <c r="O71" s="13">
        <v>0</v>
      </c>
      <c r="P71" s="13" t="s">
        <v>1857</v>
      </c>
      <c r="Q71" s="13" t="s">
        <v>2247</v>
      </c>
      <c r="S71" s="13" t="s">
        <v>2270</v>
      </c>
      <c r="U71" s="42" t="s">
        <v>2248</v>
      </c>
      <c r="Y71" s="13" t="s">
        <v>250</v>
      </c>
      <c r="Z71" s="162" t="s">
        <v>3183</v>
      </c>
      <c r="AA71" s="13" t="s">
        <v>251</v>
      </c>
      <c r="AB71" s="13">
        <v>0.15</v>
      </c>
      <c r="AC71" s="13">
        <v>0</v>
      </c>
      <c r="AD71" s="13">
        <v>20</v>
      </c>
      <c r="AE71" s="13">
        <v>1</v>
      </c>
      <c r="AF71" s="13" t="s">
        <v>2271</v>
      </c>
      <c r="AH71" s="13" t="s">
        <v>399</v>
      </c>
      <c r="AI71" s="13">
        <v>800</v>
      </c>
      <c r="AK71" s="13">
        <v>33546.674568959999</v>
      </c>
      <c r="AN71" s="163" t="s">
        <v>235</v>
      </c>
      <c r="AO71" s="163">
        <v>0</v>
      </c>
      <c r="AP71" s="163" t="s">
        <v>252</v>
      </c>
      <c r="AR71" s="13">
        <v>33546.674568959999</v>
      </c>
      <c r="AS71" s="13">
        <v>7181.7485271839987</v>
      </c>
      <c r="AT71" s="13">
        <v>77603.667366203998</v>
      </c>
      <c r="AU71" s="13">
        <v>1</v>
      </c>
      <c r="AV71" s="13">
        <v>1</v>
      </c>
      <c r="AW71" s="13">
        <v>0</v>
      </c>
      <c r="AX71" s="13">
        <v>0</v>
      </c>
      <c r="AY71" s="13">
        <v>0</v>
      </c>
      <c r="AZ71" s="13">
        <v>0</v>
      </c>
      <c r="BA71" s="13">
        <v>0</v>
      </c>
      <c r="BB71" s="13">
        <v>0</v>
      </c>
      <c r="BC71" s="13">
        <v>0</v>
      </c>
      <c r="BD71" s="13">
        <v>0</v>
      </c>
      <c r="BE71" s="13">
        <v>0</v>
      </c>
      <c r="BF71" s="13">
        <v>0</v>
      </c>
      <c r="BG71" s="13">
        <v>0</v>
      </c>
      <c r="BH71" s="13">
        <v>0</v>
      </c>
      <c r="BI71" s="13">
        <v>0</v>
      </c>
      <c r="BJ71" s="13">
        <v>0</v>
      </c>
      <c r="BK71" s="13">
        <v>0</v>
      </c>
      <c r="BL71" s="13">
        <v>0</v>
      </c>
      <c r="BM71" s="13">
        <v>0</v>
      </c>
      <c r="BN71" s="13">
        <v>0</v>
      </c>
      <c r="BO71" s="13">
        <v>0</v>
      </c>
      <c r="BP71" s="13">
        <v>1</v>
      </c>
      <c r="BQ71" s="13" t="s">
        <v>250</v>
      </c>
      <c r="BR71" s="13">
        <v>15</v>
      </c>
    </row>
    <row r="72" spans="1:70" s="13" customFormat="1" ht="14.25" x14ac:dyDescent="0.15">
      <c r="A72" s="164"/>
      <c r="B72" s="13" t="s">
        <v>1858</v>
      </c>
      <c r="C72" s="11" t="s">
        <v>2245</v>
      </c>
      <c r="E72" s="13" t="s">
        <v>2246</v>
      </c>
      <c r="G72" s="13">
        <v>1</v>
      </c>
      <c r="H72" s="13">
        <v>14</v>
      </c>
      <c r="I72" s="13" t="s">
        <v>296</v>
      </c>
      <c r="K72" s="13">
        <v>3</v>
      </c>
      <c r="L72" s="13">
        <v>1</v>
      </c>
      <c r="M72" s="13" t="s">
        <v>254</v>
      </c>
      <c r="N72" s="13" t="s">
        <v>396</v>
      </c>
      <c r="O72" s="13">
        <v>0</v>
      </c>
      <c r="P72" s="13" t="s">
        <v>1859</v>
      </c>
      <c r="Q72" s="13" t="s">
        <v>2247</v>
      </c>
      <c r="S72" s="13" t="s">
        <v>2270</v>
      </c>
      <c r="U72" s="42" t="s">
        <v>2248</v>
      </c>
      <c r="Y72" s="13" t="s">
        <v>250</v>
      </c>
      <c r="Z72" s="162" t="s">
        <v>3183</v>
      </c>
      <c r="AA72" s="13" t="s">
        <v>251</v>
      </c>
      <c r="AB72" s="13">
        <v>0.15</v>
      </c>
      <c r="AC72" s="13">
        <v>30</v>
      </c>
      <c r="AD72" s="13">
        <v>20</v>
      </c>
      <c r="AE72" s="13">
        <v>1</v>
      </c>
      <c r="AF72" s="13" t="s">
        <v>2271</v>
      </c>
      <c r="AH72" s="13" t="s">
        <v>399</v>
      </c>
      <c r="AI72" s="13">
        <v>300</v>
      </c>
      <c r="AK72" s="13">
        <v>33546.674568959999</v>
      </c>
      <c r="AN72" s="163" t="s">
        <v>235</v>
      </c>
      <c r="AO72" s="163">
        <v>0</v>
      </c>
      <c r="AP72" s="163" t="s">
        <v>252</v>
      </c>
      <c r="AR72" s="13">
        <v>33546.674568959999</v>
      </c>
      <c r="AS72" s="13">
        <v>7181.7485271839987</v>
      </c>
      <c r="AT72" s="13">
        <v>77603.667366203998</v>
      </c>
      <c r="AU72" s="13">
        <v>1</v>
      </c>
      <c r="AV72" s="13">
        <v>1</v>
      </c>
      <c r="AW72" s="13">
        <v>0</v>
      </c>
      <c r="AX72" s="13">
        <v>0</v>
      </c>
      <c r="AY72" s="13">
        <v>0</v>
      </c>
      <c r="AZ72" s="13">
        <v>0</v>
      </c>
      <c r="BA72" s="13">
        <v>0</v>
      </c>
      <c r="BB72" s="13">
        <v>0</v>
      </c>
      <c r="BC72" s="13">
        <v>0</v>
      </c>
      <c r="BD72" s="13">
        <v>0</v>
      </c>
      <c r="BE72" s="13">
        <v>0</v>
      </c>
      <c r="BF72" s="13">
        <v>0</v>
      </c>
      <c r="BG72" s="13">
        <v>0</v>
      </c>
      <c r="BH72" s="13">
        <v>0</v>
      </c>
      <c r="BI72" s="13">
        <v>0</v>
      </c>
      <c r="BJ72" s="13">
        <v>0</v>
      </c>
      <c r="BK72" s="13">
        <v>0</v>
      </c>
      <c r="BL72" s="13">
        <v>0</v>
      </c>
      <c r="BM72" s="13">
        <v>0</v>
      </c>
      <c r="BN72" s="13">
        <v>0</v>
      </c>
      <c r="BO72" s="13">
        <v>0</v>
      </c>
      <c r="BP72" s="13">
        <v>1</v>
      </c>
      <c r="BQ72" s="13" t="s">
        <v>250</v>
      </c>
      <c r="BR72" s="13">
        <v>15</v>
      </c>
    </row>
    <row r="73" spans="1:70" s="13" customFormat="1" ht="14.25" x14ac:dyDescent="0.15">
      <c r="A73" s="164"/>
      <c r="B73" s="13" t="s">
        <v>2400</v>
      </c>
      <c r="C73" s="13" t="s">
        <v>930</v>
      </c>
      <c r="E73" s="13" t="s">
        <v>404</v>
      </c>
      <c r="G73" s="13">
        <v>0</v>
      </c>
      <c r="H73" s="13">
        <v>14</v>
      </c>
      <c r="I73" s="13" t="s">
        <v>296</v>
      </c>
      <c r="K73" s="13">
        <v>3</v>
      </c>
      <c r="L73" s="13">
        <v>1</v>
      </c>
      <c r="M73" s="13" t="s">
        <v>254</v>
      </c>
      <c r="N73" s="13" t="s">
        <v>396</v>
      </c>
      <c r="O73" s="13">
        <v>0</v>
      </c>
      <c r="P73" s="13" t="s">
        <v>2401</v>
      </c>
      <c r="Q73" s="13" t="s">
        <v>257</v>
      </c>
      <c r="S73" s="13" t="s">
        <v>403</v>
      </c>
      <c r="U73" s="42" t="s">
        <v>402</v>
      </c>
      <c r="Y73" s="13" t="s">
        <v>250</v>
      </c>
      <c r="Z73" s="13" t="s">
        <v>256</v>
      </c>
      <c r="AA73" s="13" t="s">
        <v>251</v>
      </c>
      <c r="AB73" s="13">
        <v>0.15</v>
      </c>
      <c r="AC73" s="13">
        <v>0</v>
      </c>
      <c r="AD73" s="13">
        <v>20</v>
      </c>
      <c r="AE73" s="13">
        <v>1</v>
      </c>
      <c r="AF73" s="13" t="s">
        <v>1019</v>
      </c>
      <c r="AH73" s="13" t="s">
        <v>399</v>
      </c>
      <c r="AI73" s="13">
        <v>800</v>
      </c>
      <c r="AK73" s="13">
        <v>37236.808771545599</v>
      </c>
      <c r="AN73" s="163" t="s">
        <v>235</v>
      </c>
      <c r="AO73" s="163">
        <v>0</v>
      </c>
      <c r="AP73" s="163" t="s">
        <v>252</v>
      </c>
      <c r="AR73" s="13">
        <v>37236.808771545599</v>
      </c>
      <c r="AS73" s="13">
        <v>7181.7485271839987</v>
      </c>
      <c r="AT73" s="13">
        <v>84782.006597577871</v>
      </c>
      <c r="AU73" s="13">
        <v>1</v>
      </c>
      <c r="AV73" s="13">
        <v>1</v>
      </c>
      <c r="AW73" s="13">
        <v>0</v>
      </c>
      <c r="AX73" s="13">
        <v>0</v>
      </c>
      <c r="AY73" s="13">
        <v>0</v>
      </c>
      <c r="AZ73" s="13">
        <v>0</v>
      </c>
      <c r="BA73" s="13">
        <v>0</v>
      </c>
      <c r="BB73" s="13">
        <v>0</v>
      </c>
      <c r="BC73" s="13">
        <v>0</v>
      </c>
      <c r="BD73" s="13">
        <v>0</v>
      </c>
      <c r="BE73" s="13">
        <v>0</v>
      </c>
      <c r="BF73" s="13">
        <v>0</v>
      </c>
      <c r="BG73" s="13">
        <v>0</v>
      </c>
      <c r="BH73" s="13">
        <v>0</v>
      </c>
      <c r="BI73" s="13">
        <v>0</v>
      </c>
      <c r="BJ73" s="13">
        <v>0</v>
      </c>
      <c r="BK73" s="13">
        <v>0</v>
      </c>
      <c r="BL73" s="13">
        <v>0</v>
      </c>
      <c r="BM73" s="13">
        <v>0</v>
      </c>
      <c r="BN73" s="13">
        <v>0</v>
      </c>
      <c r="BO73" s="13">
        <v>0</v>
      </c>
      <c r="BP73" s="13">
        <v>1</v>
      </c>
      <c r="BQ73" s="13" t="s">
        <v>250</v>
      </c>
      <c r="BR73" s="13">
        <v>17</v>
      </c>
    </row>
    <row r="74" spans="1:70" s="13" customFormat="1" ht="14.25" x14ac:dyDescent="0.15">
      <c r="A74" s="164"/>
      <c r="B74" s="13" t="s">
        <v>2402</v>
      </c>
      <c r="C74" s="13" t="s">
        <v>2403</v>
      </c>
      <c r="E74" s="13" t="s">
        <v>2404</v>
      </c>
      <c r="G74" s="13">
        <v>0</v>
      </c>
      <c r="H74" s="13">
        <v>14</v>
      </c>
      <c r="I74" s="13" t="s">
        <v>296</v>
      </c>
      <c r="K74" s="13">
        <v>3</v>
      </c>
      <c r="L74" s="13">
        <v>1</v>
      </c>
      <c r="M74" s="13" t="s">
        <v>254</v>
      </c>
      <c r="N74" s="13" t="s">
        <v>396</v>
      </c>
      <c r="O74" s="13">
        <v>0</v>
      </c>
      <c r="P74" s="13" t="s">
        <v>2405</v>
      </c>
      <c r="Q74" s="13" t="s">
        <v>2406</v>
      </c>
      <c r="S74" s="13" t="s">
        <v>2407</v>
      </c>
      <c r="U74" s="42" t="s">
        <v>2408</v>
      </c>
      <c r="Y74" s="13" t="s">
        <v>250</v>
      </c>
      <c r="Z74" s="13" t="s">
        <v>2409</v>
      </c>
      <c r="AA74" s="13" t="s">
        <v>251</v>
      </c>
      <c r="AB74" s="13">
        <v>0.15</v>
      </c>
      <c r="AC74" s="13">
        <v>0</v>
      </c>
      <c r="AD74" s="13">
        <v>20</v>
      </c>
      <c r="AE74" s="13">
        <v>1</v>
      </c>
      <c r="AF74" s="13" t="s">
        <v>2410</v>
      </c>
      <c r="AH74" s="13" t="s">
        <v>399</v>
      </c>
      <c r="AI74" s="13">
        <v>1000</v>
      </c>
      <c r="AK74" s="13">
        <v>31869.340840511992</v>
      </c>
      <c r="AN74" s="163" t="s">
        <v>235</v>
      </c>
      <c r="AO74" s="163">
        <v>0</v>
      </c>
      <c r="AP74" s="163" t="s">
        <v>252</v>
      </c>
      <c r="AR74" s="13">
        <v>31869.340840511992</v>
      </c>
      <c r="AS74" s="13">
        <v>7181.7485271839987</v>
      </c>
      <c r="AT74" s="13">
        <v>74111.502334724806</v>
      </c>
      <c r="AU74" s="13">
        <v>1</v>
      </c>
      <c r="AV74" s="13">
        <v>1</v>
      </c>
      <c r="AW74" s="13">
        <v>0</v>
      </c>
      <c r="AX74" s="13">
        <v>0</v>
      </c>
      <c r="AY74" s="13">
        <v>0</v>
      </c>
      <c r="AZ74" s="13">
        <v>0</v>
      </c>
      <c r="BA74" s="13">
        <v>0</v>
      </c>
      <c r="BB74" s="13">
        <v>0</v>
      </c>
      <c r="BC74" s="13">
        <v>0</v>
      </c>
      <c r="BD74" s="13">
        <v>0</v>
      </c>
      <c r="BE74" s="13">
        <v>0</v>
      </c>
      <c r="BF74" s="13">
        <v>0</v>
      </c>
      <c r="BG74" s="13">
        <v>0</v>
      </c>
      <c r="BH74" s="13">
        <v>0</v>
      </c>
      <c r="BI74" s="13">
        <v>0</v>
      </c>
      <c r="BJ74" s="13">
        <v>0</v>
      </c>
      <c r="BK74" s="13">
        <v>0</v>
      </c>
      <c r="BL74" s="13">
        <v>0</v>
      </c>
      <c r="BM74" s="13">
        <v>0</v>
      </c>
      <c r="BN74" s="13">
        <v>0</v>
      </c>
      <c r="BO74" s="13">
        <v>0</v>
      </c>
      <c r="BP74" s="13">
        <v>1</v>
      </c>
      <c r="BQ74" s="13" t="s">
        <v>250</v>
      </c>
      <c r="BR74" s="13">
        <v>14</v>
      </c>
    </row>
    <row r="75" spans="1:70" s="13" customFormat="1" x14ac:dyDescent="0.15">
      <c r="B75" s="13" t="s">
        <v>2411</v>
      </c>
      <c r="C75" s="13" t="s">
        <v>881</v>
      </c>
      <c r="E75" s="13" t="s">
        <v>726</v>
      </c>
      <c r="G75" s="13">
        <v>0</v>
      </c>
      <c r="H75" s="13">
        <v>12</v>
      </c>
      <c r="I75" s="13" t="s">
        <v>400</v>
      </c>
      <c r="K75" s="13">
        <v>3</v>
      </c>
      <c r="L75" s="13">
        <v>1</v>
      </c>
      <c r="M75" s="13" t="s">
        <v>254</v>
      </c>
      <c r="N75" s="13" t="s">
        <v>396</v>
      </c>
      <c r="O75" s="13">
        <v>0</v>
      </c>
      <c r="P75" s="13" t="s">
        <v>2412</v>
      </c>
      <c r="Q75" s="13" t="s">
        <v>727</v>
      </c>
      <c r="S75" s="13" t="s">
        <v>728</v>
      </c>
      <c r="U75" s="13" t="s">
        <v>729</v>
      </c>
      <c r="Y75" s="13" t="s">
        <v>250</v>
      </c>
      <c r="Z75" s="13" t="s">
        <v>730</v>
      </c>
      <c r="AA75" s="13" t="s">
        <v>251</v>
      </c>
      <c r="AB75" s="13">
        <v>0.15</v>
      </c>
      <c r="AC75" s="13">
        <v>30</v>
      </c>
      <c r="AD75" s="13">
        <v>20</v>
      </c>
      <c r="AE75" s="13">
        <v>1</v>
      </c>
      <c r="AF75" s="13" t="s">
        <v>1009</v>
      </c>
      <c r="AH75" s="13" t="s">
        <v>399</v>
      </c>
      <c r="AI75" s="13">
        <v>0</v>
      </c>
      <c r="AK75" s="13">
        <v>14047.669975752002</v>
      </c>
      <c r="AN75" s="163" t="s">
        <v>235</v>
      </c>
      <c r="AO75" s="163">
        <v>0</v>
      </c>
      <c r="AP75" s="163" t="s">
        <v>252</v>
      </c>
      <c r="AR75" s="13">
        <v>14047.669975752002</v>
      </c>
      <c r="AS75" s="13">
        <v>10334.711295215999</v>
      </c>
      <c r="AT75" s="13">
        <v>115200.45818633078</v>
      </c>
      <c r="AU75" s="13">
        <v>1</v>
      </c>
      <c r="AV75" s="13">
        <v>1</v>
      </c>
      <c r="AW75" s="13">
        <v>0</v>
      </c>
      <c r="AX75" s="13">
        <v>0</v>
      </c>
      <c r="AY75" s="13">
        <v>0</v>
      </c>
      <c r="AZ75" s="13">
        <v>0</v>
      </c>
      <c r="BA75" s="13">
        <v>0</v>
      </c>
      <c r="BB75" s="13">
        <v>0</v>
      </c>
      <c r="BC75" s="13">
        <v>0</v>
      </c>
      <c r="BD75" s="13">
        <v>0</v>
      </c>
      <c r="BE75" s="13">
        <v>0</v>
      </c>
      <c r="BF75" s="13">
        <v>0</v>
      </c>
      <c r="BG75" s="13">
        <v>0</v>
      </c>
      <c r="BH75" s="13">
        <v>0</v>
      </c>
      <c r="BI75" s="13">
        <v>0</v>
      </c>
      <c r="BJ75" s="13">
        <v>0</v>
      </c>
      <c r="BK75" s="13">
        <v>0</v>
      </c>
      <c r="BL75" s="13">
        <v>0</v>
      </c>
      <c r="BM75" s="13">
        <v>0</v>
      </c>
      <c r="BN75" s="13">
        <v>0</v>
      </c>
      <c r="BO75" s="13">
        <v>0</v>
      </c>
      <c r="BP75" s="13">
        <v>1</v>
      </c>
      <c r="BQ75" s="13" t="s">
        <v>250</v>
      </c>
      <c r="BR75" s="13">
        <v>8</v>
      </c>
    </row>
    <row r="76" spans="1:70" s="13" customFormat="1" x14ac:dyDescent="0.15">
      <c r="B76" s="13" t="s">
        <v>2413</v>
      </c>
      <c r="C76" s="13" t="s">
        <v>2245</v>
      </c>
      <c r="E76" s="13" t="s">
        <v>2246</v>
      </c>
      <c r="G76" s="13">
        <v>1</v>
      </c>
      <c r="H76" s="13">
        <v>14</v>
      </c>
      <c r="I76" s="13" t="s">
        <v>296</v>
      </c>
      <c r="K76" s="13">
        <v>3</v>
      </c>
      <c r="L76" s="13">
        <v>1</v>
      </c>
      <c r="M76" s="13" t="s">
        <v>254</v>
      </c>
      <c r="N76" s="13" t="s">
        <v>396</v>
      </c>
      <c r="O76" s="13">
        <v>0</v>
      </c>
      <c r="P76" s="13" t="s">
        <v>2414</v>
      </c>
      <c r="Q76" s="13" t="s">
        <v>2247</v>
      </c>
      <c r="S76" s="13" t="s">
        <v>2270</v>
      </c>
      <c r="U76" s="13" t="s">
        <v>2248</v>
      </c>
      <c r="Y76" s="13" t="s">
        <v>250</v>
      </c>
      <c r="Z76" s="162" t="s">
        <v>3183</v>
      </c>
      <c r="AA76" s="13" t="s">
        <v>251</v>
      </c>
      <c r="AB76" s="13">
        <v>0.15</v>
      </c>
      <c r="AC76" s="13">
        <v>0</v>
      </c>
      <c r="AD76" s="13">
        <v>20</v>
      </c>
      <c r="AE76" s="13">
        <v>1</v>
      </c>
      <c r="AF76" s="13" t="s">
        <v>2271</v>
      </c>
      <c r="AH76" s="13" t="s">
        <v>399</v>
      </c>
      <c r="AI76" s="13">
        <v>1000</v>
      </c>
      <c r="AK76" s="13">
        <v>33546.674568959999</v>
      </c>
      <c r="AN76" s="163" t="s">
        <v>235</v>
      </c>
      <c r="AO76" s="163">
        <v>0</v>
      </c>
      <c r="AP76" s="163" t="s">
        <v>252</v>
      </c>
      <c r="AR76" s="13">
        <v>33546.674568959999</v>
      </c>
      <c r="AS76" s="13">
        <v>7181.7485271839987</v>
      </c>
      <c r="AT76" s="13">
        <v>77603.667366203998</v>
      </c>
      <c r="AU76" s="13">
        <v>1</v>
      </c>
      <c r="AV76" s="13">
        <v>1</v>
      </c>
      <c r="AW76" s="13">
        <v>0</v>
      </c>
      <c r="AX76" s="13">
        <v>0</v>
      </c>
      <c r="AY76" s="13">
        <v>0</v>
      </c>
      <c r="AZ76" s="13">
        <v>0</v>
      </c>
      <c r="BA76" s="13">
        <v>0</v>
      </c>
      <c r="BB76" s="13">
        <v>0</v>
      </c>
      <c r="BC76" s="13">
        <v>0</v>
      </c>
      <c r="BD76" s="13">
        <v>0</v>
      </c>
      <c r="BE76" s="13">
        <v>0</v>
      </c>
      <c r="BF76" s="13">
        <v>0</v>
      </c>
      <c r="BG76" s="13">
        <v>0</v>
      </c>
      <c r="BH76" s="13">
        <v>0</v>
      </c>
      <c r="BI76" s="13">
        <v>0</v>
      </c>
      <c r="BJ76" s="13">
        <v>0</v>
      </c>
      <c r="BK76" s="13">
        <v>0</v>
      </c>
      <c r="BL76" s="13">
        <v>0</v>
      </c>
      <c r="BM76" s="13">
        <v>0</v>
      </c>
      <c r="BN76" s="13">
        <v>0</v>
      </c>
      <c r="BO76" s="13">
        <v>0</v>
      </c>
      <c r="BP76" s="13">
        <v>1</v>
      </c>
      <c r="BQ76" s="13" t="s">
        <v>250</v>
      </c>
      <c r="BR76" s="13">
        <v>15</v>
      </c>
    </row>
    <row r="77" spans="1:70" s="13" customFormat="1" x14ac:dyDescent="0.15">
      <c r="B77" s="13" t="s">
        <v>2415</v>
      </c>
      <c r="C77" s="13" t="s">
        <v>2416</v>
      </c>
      <c r="E77" s="13" t="s">
        <v>2417</v>
      </c>
      <c r="G77" s="13">
        <v>2</v>
      </c>
      <c r="H77" s="13">
        <v>11</v>
      </c>
      <c r="I77" s="13" t="s">
        <v>809</v>
      </c>
      <c r="K77" s="13">
        <v>3</v>
      </c>
      <c r="L77" s="13">
        <v>1</v>
      </c>
      <c r="M77" s="13" t="s">
        <v>254</v>
      </c>
      <c r="N77" s="13" t="s">
        <v>396</v>
      </c>
      <c r="O77" s="13">
        <v>0</v>
      </c>
      <c r="P77" s="13" t="s">
        <v>2418</v>
      </c>
      <c r="Q77" s="13" t="s">
        <v>2419</v>
      </c>
      <c r="Y77" s="13" t="s">
        <v>250</v>
      </c>
      <c r="Z77" s="13" t="s">
        <v>235</v>
      </c>
      <c r="AA77" s="13" t="s">
        <v>251</v>
      </c>
      <c r="AB77" s="13">
        <v>0.15</v>
      </c>
      <c r="AC77" s="13">
        <v>0</v>
      </c>
      <c r="AD77" s="13">
        <v>20</v>
      </c>
      <c r="AE77" s="13">
        <v>1</v>
      </c>
      <c r="AF77" s="13" t="s">
        <v>235</v>
      </c>
      <c r="AH77" s="13" t="s">
        <v>399</v>
      </c>
      <c r="AI77" s="13">
        <v>0</v>
      </c>
      <c r="AK77" s="13">
        <v>21590.1531</v>
      </c>
      <c r="AN77" s="163" t="s">
        <v>235</v>
      </c>
      <c r="AO77" s="163">
        <v>0</v>
      </c>
      <c r="AP77" s="163" t="s">
        <v>252</v>
      </c>
      <c r="AR77" s="13">
        <v>21590.1531</v>
      </c>
      <c r="AS77" s="13">
        <v>5850.9900000000007</v>
      </c>
      <c r="AT77" s="13">
        <v>1</v>
      </c>
      <c r="AU77" s="13">
        <v>1</v>
      </c>
      <c r="AV77" s="13">
        <v>1</v>
      </c>
      <c r="AW77" s="13">
        <v>0</v>
      </c>
      <c r="AX77" s="13">
        <v>0</v>
      </c>
      <c r="AY77" s="13">
        <v>0</v>
      </c>
      <c r="AZ77" s="13">
        <v>0</v>
      </c>
      <c r="BA77" s="13">
        <v>0</v>
      </c>
      <c r="BB77" s="13">
        <v>0</v>
      </c>
      <c r="BC77" s="13">
        <v>0</v>
      </c>
      <c r="BD77" s="13">
        <v>0</v>
      </c>
      <c r="BE77" s="13">
        <v>0</v>
      </c>
      <c r="BF77" s="13">
        <v>0</v>
      </c>
      <c r="BG77" s="13">
        <v>0</v>
      </c>
      <c r="BH77" s="13">
        <v>0</v>
      </c>
      <c r="BI77" s="13">
        <v>0</v>
      </c>
      <c r="BJ77" s="13">
        <v>0</v>
      </c>
      <c r="BK77" s="13">
        <v>0</v>
      </c>
      <c r="BL77" s="13">
        <v>0</v>
      </c>
      <c r="BM77" s="13">
        <v>0</v>
      </c>
      <c r="BN77" s="13">
        <v>0</v>
      </c>
      <c r="BO77" s="13">
        <v>0</v>
      </c>
      <c r="BP77" s="13">
        <v>1</v>
      </c>
      <c r="BQ77" s="13" t="s">
        <v>250</v>
      </c>
      <c r="BR77" s="13">
        <v>11</v>
      </c>
    </row>
    <row r="78" spans="1:70" s="13" customFormat="1" x14ac:dyDescent="0.15">
      <c r="B78" s="13" t="s">
        <v>1860</v>
      </c>
      <c r="C78" s="13" t="s">
        <v>2416</v>
      </c>
      <c r="E78" s="13" t="s">
        <v>2417</v>
      </c>
      <c r="G78" s="13">
        <v>2</v>
      </c>
      <c r="H78" s="13">
        <v>11</v>
      </c>
      <c r="I78" s="13" t="s">
        <v>809</v>
      </c>
      <c r="K78" s="13">
        <v>3</v>
      </c>
      <c r="L78" s="13">
        <v>1</v>
      </c>
      <c r="M78" s="13" t="s">
        <v>254</v>
      </c>
      <c r="N78" s="13" t="s">
        <v>396</v>
      </c>
      <c r="O78" s="13">
        <v>0</v>
      </c>
      <c r="P78" s="13" t="s">
        <v>1861</v>
      </c>
      <c r="Q78" s="13" t="s">
        <v>2419</v>
      </c>
      <c r="Y78" s="13" t="s">
        <v>250</v>
      </c>
      <c r="Z78" s="13" t="s">
        <v>235</v>
      </c>
      <c r="AA78" s="13" t="s">
        <v>251</v>
      </c>
      <c r="AB78" s="13">
        <v>0.15</v>
      </c>
      <c r="AC78" s="13">
        <v>0</v>
      </c>
      <c r="AD78" s="13">
        <v>20</v>
      </c>
      <c r="AE78" s="13">
        <v>1</v>
      </c>
      <c r="AF78" s="13" t="s">
        <v>235</v>
      </c>
      <c r="AH78" s="13" t="s">
        <v>399</v>
      </c>
      <c r="AI78" s="13">
        <v>0</v>
      </c>
      <c r="AK78" s="13">
        <v>21590.1531</v>
      </c>
      <c r="AN78" s="163" t="s">
        <v>235</v>
      </c>
      <c r="AO78" s="163">
        <v>0</v>
      </c>
      <c r="AP78" s="163" t="s">
        <v>252</v>
      </c>
      <c r="AR78" s="13">
        <v>21590.1531</v>
      </c>
      <c r="AS78" s="13">
        <v>5850.9900000000007</v>
      </c>
      <c r="AT78" s="13">
        <v>1</v>
      </c>
      <c r="AU78" s="13">
        <v>1</v>
      </c>
      <c r="AV78" s="13">
        <v>1</v>
      </c>
      <c r="AW78" s="13">
        <v>0</v>
      </c>
      <c r="AX78" s="13">
        <v>0</v>
      </c>
      <c r="AY78" s="13">
        <v>0</v>
      </c>
      <c r="AZ78" s="13">
        <v>0</v>
      </c>
      <c r="BA78" s="13">
        <v>0</v>
      </c>
      <c r="BB78" s="13">
        <v>0</v>
      </c>
      <c r="BC78" s="13">
        <v>0</v>
      </c>
      <c r="BD78" s="13">
        <v>0</v>
      </c>
      <c r="BE78" s="13">
        <v>0</v>
      </c>
      <c r="BF78" s="13">
        <v>0</v>
      </c>
      <c r="BG78" s="13">
        <v>0</v>
      </c>
      <c r="BH78" s="13">
        <v>0</v>
      </c>
      <c r="BI78" s="13">
        <v>0</v>
      </c>
      <c r="BJ78" s="13">
        <v>0</v>
      </c>
      <c r="BK78" s="13">
        <v>0</v>
      </c>
      <c r="BL78" s="13">
        <v>0</v>
      </c>
      <c r="BM78" s="13">
        <v>0</v>
      </c>
      <c r="BN78" s="13">
        <v>0</v>
      </c>
      <c r="BO78" s="13">
        <v>0</v>
      </c>
      <c r="BP78" s="13">
        <v>1</v>
      </c>
      <c r="BQ78" s="13" t="s">
        <v>250</v>
      </c>
      <c r="BR78" s="13">
        <v>11</v>
      </c>
    </row>
    <row r="79" spans="1:70" s="13" customFormat="1" x14ac:dyDescent="0.15">
      <c r="B79" s="13" t="s">
        <v>2420</v>
      </c>
      <c r="C79" s="13" t="s">
        <v>2416</v>
      </c>
      <c r="E79" s="13" t="s">
        <v>2417</v>
      </c>
      <c r="G79" s="13">
        <v>2</v>
      </c>
      <c r="H79" s="13">
        <v>11</v>
      </c>
      <c r="I79" s="13" t="s">
        <v>809</v>
      </c>
      <c r="K79" s="13">
        <v>3</v>
      </c>
      <c r="L79" s="13">
        <v>1</v>
      </c>
      <c r="M79" s="13" t="s">
        <v>254</v>
      </c>
      <c r="N79" s="13" t="s">
        <v>396</v>
      </c>
      <c r="O79" s="13">
        <v>0</v>
      </c>
      <c r="P79" s="13" t="s">
        <v>2421</v>
      </c>
      <c r="Q79" s="13" t="s">
        <v>2419</v>
      </c>
      <c r="Y79" s="13" t="s">
        <v>250</v>
      </c>
      <c r="Z79" s="13" t="s">
        <v>235</v>
      </c>
      <c r="AA79" s="13" t="s">
        <v>251</v>
      </c>
      <c r="AB79" s="13">
        <v>0.15</v>
      </c>
      <c r="AC79" s="13">
        <v>0</v>
      </c>
      <c r="AD79" s="13">
        <v>20</v>
      </c>
      <c r="AE79" s="13">
        <v>1</v>
      </c>
      <c r="AF79" s="13" t="s">
        <v>235</v>
      </c>
      <c r="AH79" s="13" t="s">
        <v>399</v>
      </c>
      <c r="AI79" s="13">
        <v>0</v>
      </c>
      <c r="AK79" s="13">
        <v>21590.1531</v>
      </c>
      <c r="AN79" s="163" t="s">
        <v>235</v>
      </c>
      <c r="AO79" s="163">
        <v>0</v>
      </c>
      <c r="AP79" s="163" t="s">
        <v>252</v>
      </c>
      <c r="AR79" s="13">
        <v>21590.1531</v>
      </c>
      <c r="AS79" s="13">
        <v>5850.9900000000007</v>
      </c>
      <c r="AT79" s="13">
        <v>1</v>
      </c>
      <c r="AU79" s="13">
        <v>1</v>
      </c>
      <c r="AV79" s="13">
        <v>1</v>
      </c>
      <c r="AW79" s="13">
        <v>0</v>
      </c>
      <c r="AX79" s="13">
        <v>0</v>
      </c>
      <c r="AY79" s="13">
        <v>0</v>
      </c>
      <c r="AZ79" s="13">
        <v>0</v>
      </c>
      <c r="BA79" s="13">
        <v>0</v>
      </c>
      <c r="BB79" s="13">
        <v>0</v>
      </c>
      <c r="BC79" s="13">
        <v>0</v>
      </c>
      <c r="BD79" s="13">
        <v>0</v>
      </c>
      <c r="BE79" s="13">
        <v>0</v>
      </c>
      <c r="BF79" s="13">
        <v>0</v>
      </c>
      <c r="BG79" s="13">
        <v>0</v>
      </c>
      <c r="BH79" s="13">
        <v>0</v>
      </c>
      <c r="BI79" s="13">
        <v>0</v>
      </c>
      <c r="BJ79" s="13">
        <v>0</v>
      </c>
      <c r="BK79" s="13">
        <v>0</v>
      </c>
      <c r="BL79" s="13">
        <v>0</v>
      </c>
      <c r="BM79" s="13">
        <v>0</v>
      </c>
      <c r="BN79" s="13">
        <v>0</v>
      </c>
      <c r="BO79" s="13">
        <v>0</v>
      </c>
      <c r="BP79" s="13">
        <v>1</v>
      </c>
      <c r="BQ79" s="13" t="s">
        <v>250</v>
      </c>
      <c r="BR79" s="13">
        <v>11</v>
      </c>
    </row>
    <row r="80" spans="1:70" s="13" customFormat="1" x14ac:dyDescent="0.15">
      <c r="B80" s="13" t="s">
        <v>1862</v>
      </c>
      <c r="C80" s="13" t="s">
        <v>924</v>
      </c>
      <c r="E80" s="13" t="s">
        <v>925</v>
      </c>
      <c r="G80" s="13">
        <v>0</v>
      </c>
      <c r="H80" s="13">
        <v>13</v>
      </c>
      <c r="I80" s="13" t="s">
        <v>296</v>
      </c>
      <c r="K80" s="13">
        <v>3</v>
      </c>
      <c r="L80" s="13">
        <v>1</v>
      </c>
      <c r="M80" s="13" t="s">
        <v>254</v>
      </c>
      <c r="N80" s="13" t="s">
        <v>396</v>
      </c>
      <c r="O80" s="13">
        <v>0</v>
      </c>
      <c r="P80" s="13" t="s">
        <v>1863</v>
      </c>
      <c r="Q80" s="13" t="s">
        <v>926</v>
      </c>
      <c r="S80" s="13" t="s">
        <v>927</v>
      </c>
      <c r="U80" s="13" t="s">
        <v>928</v>
      </c>
      <c r="Y80" s="13" t="s">
        <v>250</v>
      </c>
      <c r="Z80" s="13" t="s">
        <v>929</v>
      </c>
      <c r="AA80" s="13" t="s">
        <v>251</v>
      </c>
      <c r="AB80" s="13">
        <v>0.15</v>
      </c>
      <c r="AC80" s="13">
        <v>0</v>
      </c>
      <c r="AD80" s="13">
        <v>20</v>
      </c>
      <c r="AE80" s="13">
        <v>1</v>
      </c>
      <c r="AF80" s="13" t="s">
        <v>1018</v>
      </c>
      <c r="AH80" s="13" t="s">
        <v>399</v>
      </c>
      <c r="AI80" s="13">
        <v>680</v>
      </c>
      <c r="AK80" s="13">
        <v>35559.475043097598</v>
      </c>
      <c r="AN80" s="163" t="s">
        <v>235</v>
      </c>
      <c r="AO80" s="163">
        <v>0</v>
      </c>
      <c r="AP80" s="163" t="s">
        <v>252</v>
      </c>
      <c r="AR80" s="13">
        <v>35559.475043097598</v>
      </c>
      <c r="AS80" s="13">
        <v>7181.7485271839987</v>
      </c>
      <c r="AT80" s="13">
        <v>52712.291058494062</v>
      </c>
      <c r="AU80" s="13">
        <v>1</v>
      </c>
      <c r="AV80" s="13">
        <v>1</v>
      </c>
      <c r="AW80" s="13">
        <v>0</v>
      </c>
      <c r="AX80" s="13">
        <v>0</v>
      </c>
      <c r="AY80" s="13">
        <v>0</v>
      </c>
      <c r="AZ80" s="13">
        <v>0</v>
      </c>
      <c r="BA80" s="13">
        <v>0</v>
      </c>
      <c r="BB80" s="13">
        <v>0</v>
      </c>
      <c r="BC80" s="13">
        <v>0</v>
      </c>
      <c r="BD80" s="13">
        <v>0</v>
      </c>
      <c r="BE80" s="13">
        <v>0</v>
      </c>
      <c r="BF80" s="13">
        <v>0</v>
      </c>
      <c r="BG80" s="13">
        <v>0</v>
      </c>
      <c r="BH80" s="13">
        <v>0</v>
      </c>
      <c r="BI80" s="13">
        <v>0</v>
      </c>
      <c r="BJ80" s="13">
        <v>0</v>
      </c>
      <c r="BK80" s="13">
        <v>0</v>
      </c>
      <c r="BL80" s="13">
        <v>0</v>
      </c>
      <c r="BM80" s="13">
        <v>0</v>
      </c>
      <c r="BN80" s="13">
        <v>0</v>
      </c>
      <c r="BO80" s="13">
        <v>0</v>
      </c>
      <c r="BP80" s="13">
        <v>1</v>
      </c>
      <c r="BQ80" s="13" t="s">
        <v>250</v>
      </c>
      <c r="BR80" s="13">
        <v>16</v>
      </c>
    </row>
    <row r="81" spans="1:70" s="13" customFormat="1" x14ac:dyDescent="0.15">
      <c r="B81" s="13" t="s">
        <v>2422</v>
      </c>
      <c r="C81" s="13" t="s">
        <v>2256</v>
      </c>
      <c r="E81" s="13" t="s">
        <v>2257</v>
      </c>
      <c r="G81" s="13">
        <v>0</v>
      </c>
      <c r="H81" s="13">
        <v>14</v>
      </c>
      <c r="I81" s="13" t="s">
        <v>401</v>
      </c>
      <c r="K81" s="13">
        <v>3</v>
      </c>
      <c r="L81" s="13">
        <v>1</v>
      </c>
      <c r="M81" s="13" t="s">
        <v>254</v>
      </c>
      <c r="N81" s="13" t="s">
        <v>396</v>
      </c>
      <c r="O81" s="13">
        <v>0</v>
      </c>
      <c r="P81" s="13" t="s">
        <v>2423</v>
      </c>
      <c r="Q81" s="13" t="s">
        <v>2258</v>
      </c>
      <c r="S81" s="13" t="s">
        <v>2338</v>
      </c>
      <c r="U81" s="13" t="s">
        <v>2259</v>
      </c>
      <c r="Y81" s="13" t="s">
        <v>250</v>
      </c>
      <c r="Z81" s="13" t="s">
        <v>2260</v>
      </c>
      <c r="AA81" s="13" t="s">
        <v>251</v>
      </c>
      <c r="AB81" s="13">
        <v>0.15</v>
      </c>
      <c r="AC81" s="13">
        <v>0</v>
      </c>
      <c r="AD81" s="13">
        <v>20</v>
      </c>
      <c r="AE81" s="13">
        <v>1</v>
      </c>
      <c r="AF81" s="13" t="s">
        <v>2339</v>
      </c>
      <c r="AH81" s="13" t="s">
        <v>258</v>
      </c>
      <c r="AI81" s="13">
        <v>0</v>
      </c>
      <c r="AK81" s="13">
        <v>34133.741373916804</v>
      </c>
      <c r="AN81" s="163" t="s">
        <v>235</v>
      </c>
      <c r="AO81" s="163">
        <v>0</v>
      </c>
      <c r="AP81" s="163" t="s">
        <v>252</v>
      </c>
      <c r="AR81" s="13">
        <v>34133.741373916804</v>
      </c>
      <c r="AS81" s="13">
        <v>8758.2299112000001</v>
      </c>
      <c r="AT81" s="13">
        <v>62870.037286795428</v>
      </c>
      <c r="AU81" s="13">
        <v>1</v>
      </c>
      <c r="AV81" s="13">
        <v>1</v>
      </c>
      <c r="AW81" s="13">
        <v>0</v>
      </c>
      <c r="AX81" s="13">
        <v>0</v>
      </c>
      <c r="AY81" s="13">
        <v>0</v>
      </c>
      <c r="AZ81" s="13">
        <v>0</v>
      </c>
      <c r="BA81" s="13">
        <v>0</v>
      </c>
      <c r="BB81" s="13">
        <v>0</v>
      </c>
      <c r="BC81" s="13">
        <v>0</v>
      </c>
      <c r="BD81" s="13">
        <v>0</v>
      </c>
      <c r="BE81" s="13">
        <v>0</v>
      </c>
      <c r="BF81" s="13">
        <v>0</v>
      </c>
      <c r="BG81" s="13">
        <v>0</v>
      </c>
      <c r="BH81" s="13">
        <v>0</v>
      </c>
      <c r="BI81" s="13">
        <v>0</v>
      </c>
      <c r="BJ81" s="13">
        <v>0</v>
      </c>
      <c r="BK81" s="13">
        <v>0</v>
      </c>
      <c r="BL81" s="13">
        <v>0</v>
      </c>
      <c r="BM81" s="13">
        <v>0</v>
      </c>
      <c r="BN81" s="13">
        <v>0</v>
      </c>
      <c r="BO81" s="13">
        <v>0</v>
      </c>
      <c r="BP81" s="13">
        <v>1</v>
      </c>
      <c r="BQ81" s="13" t="s">
        <v>250</v>
      </c>
      <c r="BR81" s="13">
        <v>17</v>
      </c>
    </row>
    <row r="82" spans="1:70" s="13" customFormat="1" x14ac:dyDescent="0.15">
      <c r="B82" s="13" t="s">
        <v>1864</v>
      </c>
      <c r="C82" s="13" t="s">
        <v>2424</v>
      </c>
      <c r="E82" s="13" t="s">
        <v>2425</v>
      </c>
      <c r="G82" s="13">
        <v>0</v>
      </c>
      <c r="H82" s="13">
        <v>14</v>
      </c>
      <c r="I82" s="13" t="s">
        <v>809</v>
      </c>
      <c r="K82" s="13">
        <v>3</v>
      </c>
      <c r="L82" s="13">
        <v>1</v>
      </c>
      <c r="M82" s="13" t="s">
        <v>254</v>
      </c>
      <c r="N82" s="13" t="s">
        <v>396</v>
      </c>
      <c r="O82" s="13">
        <v>0</v>
      </c>
      <c r="P82" s="13" t="s">
        <v>1865</v>
      </c>
      <c r="Q82" s="13" t="s">
        <v>2426</v>
      </c>
      <c r="S82" s="13" t="s">
        <v>2427</v>
      </c>
      <c r="U82" s="13" t="s">
        <v>2428</v>
      </c>
      <c r="Y82" s="13" t="s">
        <v>250</v>
      </c>
      <c r="Z82" s="13" t="s">
        <v>2429</v>
      </c>
      <c r="AA82" s="13" t="s">
        <v>251</v>
      </c>
      <c r="AB82" s="13">
        <v>0.15</v>
      </c>
      <c r="AC82" s="13">
        <v>30</v>
      </c>
      <c r="AD82" s="13">
        <v>20</v>
      </c>
      <c r="AE82" s="13">
        <v>1</v>
      </c>
      <c r="AF82" s="13" t="s">
        <v>2430</v>
      </c>
      <c r="AH82" s="13" t="s">
        <v>399</v>
      </c>
      <c r="AI82" s="13">
        <v>1000</v>
      </c>
      <c r="AK82" s="13">
        <v>27955.562140800001</v>
      </c>
      <c r="AN82" s="163" t="s">
        <v>235</v>
      </c>
      <c r="AO82" s="163">
        <v>0</v>
      </c>
      <c r="AP82" s="163" t="s">
        <v>252</v>
      </c>
      <c r="AR82" s="13">
        <v>27955.562140800001</v>
      </c>
      <c r="AS82" s="13">
        <v>8758.2299112000001</v>
      </c>
      <c r="AT82" s="13">
        <v>71045.610969060013</v>
      </c>
      <c r="AU82" s="13">
        <v>1</v>
      </c>
      <c r="AV82" s="13">
        <v>1</v>
      </c>
      <c r="AW82" s="13">
        <v>0</v>
      </c>
      <c r="AX82" s="13">
        <v>0</v>
      </c>
      <c r="AY82" s="13">
        <v>0</v>
      </c>
      <c r="AZ82" s="13">
        <v>0</v>
      </c>
      <c r="BA82" s="13">
        <v>0</v>
      </c>
      <c r="BB82" s="13">
        <v>0</v>
      </c>
      <c r="BC82" s="13">
        <v>0</v>
      </c>
      <c r="BD82" s="13">
        <v>0</v>
      </c>
      <c r="BE82" s="13">
        <v>0</v>
      </c>
      <c r="BF82" s="13">
        <v>0</v>
      </c>
      <c r="BG82" s="13">
        <v>0</v>
      </c>
      <c r="BH82" s="13">
        <v>0</v>
      </c>
      <c r="BI82" s="13">
        <v>0</v>
      </c>
      <c r="BJ82" s="13">
        <v>0</v>
      </c>
      <c r="BK82" s="13">
        <v>0</v>
      </c>
      <c r="BL82" s="13">
        <v>0</v>
      </c>
      <c r="BM82" s="13">
        <v>0</v>
      </c>
      <c r="BN82" s="13">
        <v>0</v>
      </c>
      <c r="BO82" s="13">
        <v>0</v>
      </c>
      <c r="BP82" s="13">
        <v>1</v>
      </c>
      <c r="BQ82" s="13" t="s">
        <v>250</v>
      </c>
      <c r="BR82" s="13">
        <v>15</v>
      </c>
    </row>
    <row r="83" spans="1:70" s="13" customFormat="1" x14ac:dyDescent="0.15">
      <c r="B83" s="13" t="s">
        <v>1866</v>
      </c>
      <c r="C83" s="13" t="s">
        <v>2256</v>
      </c>
      <c r="E83" s="13" t="s">
        <v>2257</v>
      </c>
      <c r="G83" s="13">
        <v>0</v>
      </c>
      <c r="H83" s="13">
        <v>14</v>
      </c>
      <c r="I83" s="13" t="s">
        <v>401</v>
      </c>
      <c r="K83" s="13">
        <v>3</v>
      </c>
      <c r="L83" s="13">
        <v>1</v>
      </c>
      <c r="M83" s="13" t="s">
        <v>254</v>
      </c>
      <c r="N83" s="13" t="s">
        <v>396</v>
      </c>
      <c r="O83" s="13">
        <v>0</v>
      </c>
      <c r="P83" s="13" t="s">
        <v>1867</v>
      </c>
      <c r="Q83" s="13" t="s">
        <v>2258</v>
      </c>
      <c r="S83" s="13" t="s">
        <v>2338</v>
      </c>
      <c r="U83" s="13" t="s">
        <v>2259</v>
      </c>
      <c r="Y83" s="13" t="s">
        <v>250</v>
      </c>
      <c r="Z83" s="13" t="s">
        <v>2260</v>
      </c>
      <c r="AA83" s="13" t="s">
        <v>251</v>
      </c>
      <c r="AB83" s="13">
        <v>0.15</v>
      </c>
      <c r="AC83" s="13">
        <v>0</v>
      </c>
      <c r="AD83" s="13">
        <v>20</v>
      </c>
      <c r="AE83" s="13">
        <v>1</v>
      </c>
      <c r="AF83" s="13" t="s">
        <v>2339</v>
      </c>
      <c r="AH83" s="13" t="s">
        <v>258</v>
      </c>
      <c r="AI83" s="13">
        <v>0</v>
      </c>
      <c r="AK83" s="13">
        <v>34133.741373916804</v>
      </c>
      <c r="AN83" s="163" t="s">
        <v>235</v>
      </c>
      <c r="AO83" s="163">
        <v>0</v>
      </c>
      <c r="AP83" s="163" t="s">
        <v>252</v>
      </c>
      <c r="AR83" s="13">
        <v>34133.741373916804</v>
      </c>
      <c r="AS83" s="13">
        <v>8758.2299112000001</v>
      </c>
      <c r="AT83" s="13">
        <v>62870.037286795428</v>
      </c>
      <c r="AU83" s="13">
        <v>1</v>
      </c>
      <c r="AV83" s="13">
        <v>1</v>
      </c>
      <c r="AW83" s="13">
        <v>0</v>
      </c>
      <c r="AX83" s="13">
        <v>0</v>
      </c>
      <c r="AY83" s="13">
        <v>0</v>
      </c>
      <c r="AZ83" s="13">
        <v>0</v>
      </c>
      <c r="BA83" s="13">
        <v>0</v>
      </c>
      <c r="BB83" s="13">
        <v>0</v>
      </c>
      <c r="BC83" s="13">
        <v>0</v>
      </c>
      <c r="BD83" s="13">
        <v>0</v>
      </c>
      <c r="BE83" s="13">
        <v>0</v>
      </c>
      <c r="BF83" s="13">
        <v>0</v>
      </c>
      <c r="BG83" s="13">
        <v>0</v>
      </c>
      <c r="BH83" s="13">
        <v>0</v>
      </c>
      <c r="BI83" s="13">
        <v>0</v>
      </c>
      <c r="BJ83" s="13">
        <v>0</v>
      </c>
      <c r="BK83" s="13">
        <v>0</v>
      </c>
      <c r="BL83" s="13">
        <v>0</v>
      </c>
      <c r="BM83" s="13">
        <v>0</v>
      </c>
      <c r="BN83" s="13">
        <v>0</v>
      </c>
      <c r="BO83" s="13">
        <v>0</v>
      </c>
      <c r="BP83" s="13">
        <v>1</v>
      </c>
      <c r="BQ83" s="13" t="s">
        <v>250</v>
      </c>
      <c r="BR83" s="13">
        <v>17</v>
      </c>
    </row>
    <row r="84" spans="1:70" s="13" customFormat="1" ht="14.25" x14ac:dyDescent="0.15">
      <c r="A84" s="164"/>
      <c r="B84" s="13" t="s">
        <v>2431</v>
      </c>
      <c r="C84" s="13" t="s">
        <v>2370</v>
      </c>
      <c r="E84" s="13" t="s">
        <v>2371</v>
      </c>
      <c r="G84" s="13">
        <v>0</v>
      </c>
      <c r="H84" s="13">
        <v>14</v>
      </c>
      <c r="I84" s="13" t="s">
        <v>296</v>
      </c>
      <c r="K84" s="13">
        <v>3</v>
      </c>
      <c r="L84" s="13">
        <v>1</v>
      </c>
      <c r="M84" s="13" t="s">
        <v>254</v>
      </c>
      <c r="N84" s="13" t="s">
        <v>396</v>
      </c>
      <c r="O84" s="13">
        <v>0</v>
      </c>
      <c r="P84" s="13" t="s">
        <v>2432</v>
      </c>
      <c r="Q84" s="13" t="s">
        <v>2373</v>
      </c>
      <c r="S84" s="13" t="s">
        <v>2374</v>
      </c>
      <c r="U84" s="42" t="s">
        <v>2375</v>
      </c>
      <c r="Y84" s="13" t="s">
        <v>250</v>
      </c>
      <c r="Z84" s="13" t="s">
        <v>2376</v>
      </c>
      <c r="AA84" s="13" t="s">
        <v>251</v>
      </c>
      <c r="AB84" s="13">
        <v>0.15</v>
      </c>
      <c r="AC84" s="13">
        <v>0</v>
      </c>
      <c r="AD84" s="13">
        <v>20</v>
      </c>
      <c r="AE84" s="13">
        <v>1</v>
      </c>
      <c r="AF84" s="13" t="s">
        <v>2377</v>
      </c>
      <c r="AH84" s="13" t="s">
        <v>399</v>
      </c>
      <c r="AI84" s="13">
        <v>1000</v>
      </c>
      <c r="AK84" s="13">
        <v>28179.206637926396</v>
      </c>
      <c r="AN84" s="163" t="s">
        <v>235</v>
      </c>
      <c r="AO84" s="163">
        <v>0</v>
      </c>
      <c r="AP84" s="163" t="s">
        <v>252</v>
      </c>
      <c r="AR84" s="13">
        <v>28179.206637926396</v>
      </c>
      <c r="AS84" s="13">
        <v>7181.7485271839987</v>
      </c>
      <c r="AT84" s="13">
        <v>43506.556017178125</v>
      </c>
      <c r="AU84" s="13">
        <v>1</v>
      </c>
      <c r="AV84" s="13">
        <v>1</v>
      </c>
      <c r="AW84" s="13">
        <v>0</v>
      </c>
      <c r="AX84" s="13">
        <v>0</v>
      </c>
      <c r="AY84" s="13">
        <v>0</v>
      </c>
      <c r="AZ84" s="13">
        <v>0</v>
      </c>
      <c r="BA84" s="13">
        <v>0</v>
      </c>
      <c r="BB84" s="13">
        <v>0</v>
      </c>
      <c r="BC84" s="13">
        <v>0</v>
      </c>
      <c r="BD84" s="13">
        <v>0</v>
      </c>
      <c r="BE84" s="13">
        <v>0</v>
      </c>
      <c r="BF84" s="13">
        <v>0</v>
      </c>
      <c r="BG84" s="13">
        <v>0</v>
      </c>
      <c r="BH84" s="13">
        <v>0</v>
      </c>
      <c r="BI84" s="13">
        <v>0</v>
      </c>
      <c r="BJ84" s="13">
        <v>0</v>
      </c>
      <c r="BK84" s="13">
        <v>0</v>
      </c>
      <c r="BL84" s="13">
        <v>0</v>
      </c>
      <c r="BM84" s="13">
        <v>0</v>
      </c>
      <c r="BN84" s="13">
        <v>0</v>
      </c>
      <c r="BO84" s="13">
        <v>0</v>
      </c>
      <c r="BP84" s="13">
        <v>1</v>
      </c>
      <c r="BQ84" s="13" t="s">
        <v>250</v>
      </c>
      <c r="BR84" s="13">
        <v>10</v>
      </c>
    </row>
    <row r="85" spans="1:70" s="13" customFormat="1" ht="14.25" x14ac:dyDescent="0.15">
      <c r="A85" s="164"/>
      <c r="B85" s="13" t="s">
        <v>2433</v>
      </c>
      <c r="C85" s="11" t="s">
        <v>2434</v>
      </c>
      <c r="E85" s="13" t="s">
        <v>2435</v>
      </c>
      <c r="G85" s="13">
        <v>1</v>
      </c>
      <c r="H85" s="13">
        <v>14</v>
      </c>
      <c r="I85" s="13" t="s">
        <v>400</v>
      </c>
      <c r="K85" s="13">
        <v>3</v>
      </c>
      <c r="L85" s="13">
        <v>1</v>
      </c>
      <c r="M85" s="13" t="s">
        <v>254</v>
      </c>
      <c r="N85" s="13" t="s">
        <v>396</v>
      </c>
      <c r="O85" s="13">
        <v>0</v>
      </c>
      <c r="P85" s="13" t="s">
        <v>2436</v>
      </c>
      <c r="Q85" s="13" t="s">
        <v>2437</v>
      </c>
      <c r="S85" s="13" t="s">
        <v>2438</v>
      </c>
      <c r="U85" s="42" t="s">
        <v>2439</v>
      </c>
      <c r="Y85" s="13" t="s">
        <v>250</v>
      </c>
      <c r="Z85" s="13" t="s">
        <v>2440</v>
      </c>
      <c r="AA85" s="13" t="s">
        <v>251</v>
      </c>
      <c r="AB85" s="13">
        <v>0.15</v>
      </c>
      <c r="AC85" s="13">
        <v>30</v>
      </c>
      <c r="AD85" s="13">
        <v>20</v>
      </c>
      <c r="AE85" s="13">
        <v>1</v>
      </c>
      <c r="AF85" s="13" t="s">
        <v>2441</v>
      </c>
      <c r="AH85" s="13" t="s">
        <v>399</v>
      </c>
      <c r="AI85" s="13">
        <v>0</v>
      </c>
      <c r="AK85" s="13">
        <v>15515.336988144001</v>
      </c>
      <c r="AN85" s="163" t="s">
        <v>235</v>
      </c>
      <c r="AO85" s="163">
        <v>0</v>
      </c>
      <c r="AP85" s="163" t="s">
        <v>252</v>
      </c>
      <c r="AR85" s="11">
        <v>15515.336988144001</v>
      </c>
      <c r="AS85" s="13">
        <v>10334.711295215999</v>
      </c>
      <c r="AT85" s="13">
        <v>79638.577615767819</v>
      </c>
      <c r="AU85" s="13">
        <v>1</v>
      </c>
      <c r="AV85" s="13">
        <v>1</v>
      </c>
      <c r="AW85" s="13">
        <v>0</v>
      </c>
      <c r="AX85" s="13">
        <v>0</v>
      </c>
      <c r="AY85" s="13">
        <v>0</v>
      </c>
      <c r="AZ85" s="13">
        <v>0</v>
      </c>
      <c r="BA85" s="13">
        <v>0</v>
      </c>
      <c r="BB85" s="13">
        <v>0</v>
      </c>
      <c r="BC85" s="13">
        <v>0</v>
      </c>
      <c r="BD85" s="13">
        <v>0</v>
      </c>
      <c r="BE85" s="13">
        <v>0</v>
      </c>
      <c r="BF85" s="13">
        <v>0</v>
      </c>
      <c r="BG85" s="13">
        <v>0</v>
      </c>
      <c r="BH85" s="13">
        <v>0</v>
      </c>
      <c r="BI85" s="13">
        <v>0</v>
      </c>
      <c r="BJ85" s="13">
        <v>0</v>
      </c>
      <c r="BK85" s="13">
        <v>0</v>
      </c>
      <c r="BL85" s="13">
        <v>0</v>
      </c>
      <c r="BM85" s="13">
        <v>0</v>
      </c>
      <c r="BN85" s="13">
        <v>0</v>
      </c>
      <c r="BO85" s="13">
        <v>0</v>
      </c>
      <c r="BP85" s="13">
        <v>1</v>
      </c>
      <c r="BQ85" s="13" t="s">
        <v>250</v>
      </c>
      <c r="BR85" s="13">
        <v>10</v>
      </c>
    </row>
    <row r="86" spans="1:70" s="13" customFormat="1" ht="14.25" x14ac:dyDescent="0.15">
      <c r="A86" s="164"/>
      <c r="B86" s="13" t="s">
        <v>1868</v>
      </c>
      <c r="C86" s="13" t="s">
        <v>2256</v>
      </c>
      <c r="E86" s="13" t="s">
        <v>2257</v>
      </c>
      <c r="G86" s="13">
        <v>0</v>
      </c>
      <c r="H86" s="13">
        <v>14</v>
      </c>
      <c r="I86" s="13" t="s">
        <v>401</v>
      </c>
      <c r="K86" s="13">
        <v>3</v>
      </c>
      <c r="L86" s="13">
        <v>1</v>
      </c>
      <c r="M86" s="13" t="s">
        <v>254</v>
      </c>
      <c r="N86" s="13" t="s">
        <v>396</v>
      </c>
      <c r="O86" s="13">
        <v>0</v>
      </c>
      <c r="P86" s="13" t="s">
        <v>1869</v>
      </c>
      <c r="Q86" s="13" t="s">
        <v>2258</v>
      </c>
      <c r="S86" s="13" t="s">
        <v>2338</v>
      </c>
      <c r="U86" s="42" t="s">
        <v>2259</v>
      </c>
      <c r="Y86" s="13" t="s">
        <v>250</v>
      </c>
      <c r="Z86" s="13" t="s">
        <v>2260</v>
      </c>
      <c r="AA86" s="13" t="s">
        <v>251</v>
      </c>
      <c r="AB86" s="13">
        <v>0.15</v>
      </c>
      <c r="AC86" s="13">
        <v>0</v>
      </c>
      <c r="AD86" s="13">
        <v>20</v>
      </c>
      <c r="AE86" s="13">
        <v>1</v>
      </c>
      <c r="AF86" s="13" t="s">
        <v>2339</v>
      </c>
      <c r="AH86" s="13" t="s">
        <v>258</v>
      </c>
      <c r="AI86" s="13">
        <v>0</v>
      </c>
      <c r="AK86" s="13">
        <v>34133.741373916804</v>
      </c>
      <c r="AN86" s="163" t="s">
        <v>235</v>
      </c>
      <c r="AO86" s="163">
        <v>0</v>
      </c>
      <c r="AP86" s="163" t="s">
        <v>252</v>
      </c>
      <c r="AR86" s="11">
        <v>34133.741373916804</v>
      </c>
      <c r="AS86" s="13">
        <v>8758.2299112000001</v>
      </c>
      <c r="AT86" s="13">
        <v>62870.037286795428</v>
      </c>
      <c r="AU86" s="13">
        <v>1</v>
      </c>
      <c r="AV86" s="13">
        <v>1</v>
      </c>
      <c r="AW86" s="13">
        <v>0</v>
      </c>
      <c r="AX86" s="13">
        <v>0</v>
      </c>
      <c r="AY86" s="13">
        <v>0</v>
      </c>
      <c r="AZ86" s="13">
        <v>0</v>
      </c>
      <c r="BA86" s="13">
        <v>0</v>
      </c>
      <c r="BB86" s="13">
        <v>0</v>
      </c>
      <c r="BC86" s="13">
        <v>0</v>
      </c>
      <c r="BD86" s="13">
        <v>0</v>
      </c>
      <c r="BE86" s="13">
        <v>0</v>
      </c>
      <c r="BF86" s="13">
        <v>0</v>
      </c>
      <c r="BG86" s="13">
        <v>0</v>
      </c>
      <c r="BH86" s="13">
        <v>0</v>
      </c>
      <c r="BI86" s="13">
        <v>0</v>
      </c>
      <c r="BJ86" s="13">
        <v>0</v>
      </c>
      <c r="BK86" s="13">
        <v>0</v>
      </c>
      <c r="BL86" s="13">
        <v>0</v>
      </c>
      <c r="BM86" s="13">
        <v>0</v>
      </c>
      <c r="BN86" s="13">
        <v>0</v>
      </c>
      <c r="BO86" s="13">
        <v>0</v>
      </c>
      <c r="BP86" s="13">
        <v>1</v>
      </c>
      <c r="BQ86" s="13" t="s">
        <v>250</v>
      </c>
      <c r="BR86" s="13">
        <v>17</v>
      </c>
    </row>
    <row r="87" spans="1:70" s="13" customFormat="1" ht="14.25" x14ac:dyDescent="0.15">
      <c r="A87" s="164"/>
      <c r="B87" s="13" t="s">
        <v>1870</v>
      </c>
      <c r="C87" s="13" t="s">
        <v>2250</v>
      </c>
      <c r="E87" s="13" t="s">
        <v>2251</v>
      </c>
      <c r="G87" s="13">
        <v>1</v>
      </c>
      <c r="H87" s="13">
        <v>13</v>
      </c>
      <c r="I87" s="13" t="s">
        <v>296</v>
      </c>
      <c r="K87" s="13">
        <v>3</v>
      </c>
      <c r="L87" s="13">
        <v>1</v>
      </c>
      <c r="M87" s="13" t="s">
        <v>254</v>
      </c>
      <c r="N87" s="13" t="s">
        <v>396</v>
      </c>
      <c r="O87" s="13">
        <v>0</v>
      </c>
      <c r="P87" s="13" t="s">
        <v>1871</v>
      </c>
      <c r="Q87" s="13" t="s">
        <v>2252</v>
      </c>
      <c r="S87" s="13" t="s">
        <v>2301</v>
      </c>
      <c r="U87" s="42" t="s">
        <v>2253</v>
      </c>
      <c r="Y87" s="13" t="s">
        <v>250</v>
      </c>
      <c r="Z87" s="13" t="s">
        <v>2254</v>
      </c>
      <c r="AA87" s="13" t="s">
        <v>251</v>
      </c>
      <c r="AB87" s="13">
        <v>0.15</v>
      </c>
      <c r="AC87" s="13">
        <v>0</v>
      </c>
      <c r="AD87" s="13">
        <v>20</v>
      </c>
      <c r="AE87" s="13">
        <v>1</v>
      </c>
      <c r="AF87" s="13" t="s">
        <v>2302</v>
      </c>
      <c r="AH87" s="13" t="s">
        <v>399</v>
      </c>
      <c r="AI87" s="13">
        <v>0</v>
      </c>
      <c r="AK87" s="13">
        <v>22476.271961203198</v>
      </c>
      <c r="AN87" s="163" t="s">
        <v>235</v>
      </c>
      <c r="AO87" s="163">
        <v>0</v>
      </c>
      <c r="AP87" s="163" t="s">
        <v>252</v>
      </c>
      <c r="AR87" s="11">
        <v>22476.271961203198</v>
      </c>
      <c r="AS87" s="13">
        <v>7181.7485271839987</v>
      </c>
      <c r="AT87" s="13">
        <v>37705.681881554374</v>
      </c>
      <c r="AU87" s="13">
        <v>1</v>
      </c>
      <c r="AV87" s="13">
        <v>1</v>
      </c>
      <c r="AW87" s="13">
        <v>0</v>
      </c>
      <c r="AX87" s="13">
        <v>0</v>
      </c>
      <c r="AY87" s="13">
        <v>0</v>
      </c>
      <c r="AZ87" s="13">
        <v>0</v>
      </c>
      <c r="BA87" s="13">
        <v>0</v>
      </c>
      <c r="BB87" s="13">
        <v>0</v>
      </c>
      <c r="BC87" s="13">
        <v>0</v>
      </c>
      <c r="BD87" s="13">
        <v>0</v>
      </c>
      <c r="BE87" s="13">
        <v>0</v>
      </c>
      <c r="BF87" s="13">
        <v>0</v>
      </c>
      <c r="BG87" s="13">
        <v>0</v>
      </c>
      <c r="BH87" s="13">
        <v>0</v>
      </c>
      <c r="BI87" s="13">
        <v>0</v>
      </c>
      <c r="BJ87" s="13">
        <v>0</v>
      </c>
      <c r="BK87" s="13">
        <v>0</v>
      </c>
      <c r="BL87" s="13">
        <v>0</v>
      </c>
      <c r="BM87" s="13">
        <v>0</v>
      </c>
      <c r="BN87" s="13">
        <v>0</v>
      </c>
      <c r="BO87" s="13">
        <v>0</v>
      </c>
      <c r="BP87" s="13">
        <v>1</v>
      </c>
      <c r="BQ87" s="13" t="s">
        <v>250</v>
      </c>
      <c r="BR87" s="13">
        <v>8</v>
      </c>
    </row>
    <row r="88" spans="1:70" s="13" customFormat="1" ht="14.25" x14ac:dyDescent="0.15">
      <c r="A88" s="164"/>
      <c r="B88" s="13" t="s">
        <v>2442</v>
      </c>
      <c r="C88" s="13" t="s">
        <v>2340</v>
      </c>
      <c r="E88" s="13" t="s">
        <v>2341</v>
      </c>
      <c r="G88" s="13">
        <v>0</v>
      </c>
      <c r="H88" s="13">
        <v>14</v>
      </c>
      <c r="I88" s="13" t="s">
        <v>401</v>
      </c>
      <c r="K88" s="13">
        <v>3</v>
      </c>
      <c r="L88" s="13">
        <v>1</v>
      </c>
      <c r="M88" s="13" t="s">
        <v>254</v>
      </c>
      <c r="N88" s="13" t="s">
        <v>396</v>
      </c>
      <c r="O88" s="13">
        <v>0</v>
      </c>
      <c r="P88" s="13" t="s">
        <v>2443</v>
      </c>
      <c r="Q88" s="13" t="s">
        <v>2342</v>
      </c>
      <c r="S88" s="13" t="s">
        <v>2343</v>
      </c>
      <c r="U88" s="42" t="s">
        <v>2344</v>
      </c>
      <c r="Y88" s="13" t="s">
        <v>250</v>
      </c>
      <c r="Z88" s="13" t="s">
        <v>2345</v>
      </c>
      <c r="AA88" s="13" t="s">
        <v>251</v>
      </c>
      <c r="AB88" s="13">
        <v>0.15</v>
      </c>
      <c r="AC88" s="13">
        <v>30</v>
      </c>
      <c r="AD88" s="13">
        <v>20</v>
      </c>
      <c r="AE88" s="13">
        <v>1</v>
      </c>
      <c r="AF88" s="13" t="s">
        <v>2346</v>
      </c>
      <c r="AH88" s="13" t="s">
        <v>399</v>
      </c>
      <c r="AI88" s="13">
        <v>0</v>
      </c>
      <c r="AK88" s="13">
        <v>32596.185456172803</v>
      </c>
      <c r="AN88" s="163" t="s">
        <v>235</v>
      </c>
      <c r="AO88" s="163">
        <v>0</v>
      </c>
      <c r="AP88" s="163" t="s">
        <v>252</v>
      </c>
      <c r="AR88" s="13">
        <v>32596.185456172803</v>
      </c>
      <c r="AS88" s="13">
        <v>8758.2299112000001</v>
      </c>
      <c r="AT88" s="13">
        <v>60136.557404760846</v>
      </c>
      <c r="AU88" s="13">
        <v>1</v>
      </c>
      <c r="AV88" s="13">
        <v>1</v>
      </c>
      <c r="AW88" s="13">
        <v>0</v>
      </c>
      <c r="AX88" s="13">
        <v>0</v>
      </c>
      <c r="AY88" s="13">
        <v>0</v>
      </c>
      <c r="AZ88" s="13">
        <v>0</v>
      </c>
      <c r="BA88" s="13">
        <v>0</v>
      </c>
      <c r="BB88" s="13">
        <v>0</v>
      </c>
      <c r="BC88" s="13">
        <v>0</v>
      </c>
      <c r="BD88" s="13">
        <v>0</v>
      </c>
      <c r="BE88" s="13">
        <v>0</v>
      </c>
      <c r="BF88" s="13">
        <v>0</v>
      </c>
      <c r="BG88" s="13">
        <v>0</v>
      </c>
      <c r="BH88" s="13">
        <v>0</v>
      </c>
      <c r="BI88" s="13">
        <v>0</v>
      </c>
      <c r="BJ88" s="13">
        <v>0</v>
      </c>
      <c r="BK88" s="13">
        <v>0</v>
      </c>
      <c r="BL88" s="13">
        <v>0</v>
      </c>
      <c r="BM88" s="13">
        <v>0</v>
      </c>
      <c r="BN88" s="13">
        <v>0</v>
      </c>
      <c r="BO88" s="13">
        <v>0</v>
      </c>
      <c r="BP88" s="13">
        <v>1</v>
      </c>
      <c r="BQ88" s="13" t="s">
        <v>250</v>
      </c>
      <c r="BR88" s="13">
        <v>16</v>
      </c>
    </row>
    <row r="89" spans="1:70" s="13" customFormat="1" ht="14.25" x14ac:dyDescent="0.15">
      <c r="A89" s="164"/>
      <c r="B89" s="13" t="s">
        <v>2444</v>
      </c>
      <c r="C89" s="13" t="s">
        <v>2256</v>
      </c>
      <c r="E89" s="13" t="s">
        <v>2257</v>
      </c>
      <c r="G89" s="13">
        <v>0</v>
      </c>
      <c r="H89" s="13">
        <v>14</v>
      </c>
      <c r="I89" s="13" t="s">
        <v>401</v>
      </c>
      <c r="K89" s="13">
        <v>3</v>
      </c>
      <c r="L89" s="13">
        <v>1</v>
      </c>
      <c r="M89" s="13" t="s">
        <v>254</v>
      </c>
      <c r="N89" s="13" t="s">
        <v>396</v>
      </c>
      <c r="O89" s="13">
        <v>0</v>
      </c>
      <c r="P89" s="13" t="s">
        <v>2445</v>
      </c>
      <c r="Q89" s="13" t="s">
        <v>2258</v>
      </c>
      <c r="S89" s="13" t="s">
        <v>2338</v>
      </c>
      <c r="U89" s="42" t="s">
        <v>2259</v>
      </c>
      <c r="Y89" s="13" t="s">
        <v>250</v>
      </c>
      <c r="Z89" s="13" t="s">
        <v>2260</v>
      </c>
      <c r="AA89" s="13" t="s">
        <v>251</v>
      </c>
      <c r="AB89" s="13">
        <v>0.15</v>
      </c>
      <c r="AC89" s="13">
        <v>0</v>
      </c>
      <c r="AD89" s="13">
        <v>20</v>
      </c>
      <c r="AE89" s="13">
        <v>1</v>
      </c>
      <c r="AF89" s="13" t="s">
        <v>2339</v>
      </c>
      <c r="AH89" s="13" t="s">
        <v>258</v>
      </c>
      <c r="AI89" s="13">
        <v>0</v>
      </c>
      <c r="AK89" s="13">
        <v>34133.741373916804</v>
      </c>
      <c r="AN89" s="163" t="s">
        <v>235</v>
      </c>
      <c r="AO89" s="163">
        <v>0</v>
      </c>
      <c r="AP89" s="163" t="s">
        <v>252</v>
      </c>
      <c r="AR89" s="13">
        <v>34133.741373916804</v>
      </c>
      <c r="AS89" s="13">
        <v>8758.2299112000001</v>
      </c>
      <c r="AT89" s="13">
        <v>62870.037286795428</v>
      </c>
      <c r="AU89" s="13">
        <v>1</v>
      </c>
      <c r="AV89" s="13">
        <v>1</v>
      </c>
      <c r="AW89" s="13">
        <v>0</v>
      </c>
      <c r="AX89" s="13">
        <v>0</v>
      </c>
      <c r="AY89" s="13">
        <v>0</v>
      </c>
      <c r="AZ89" s="13">
        <v>0</v>
      </c>
      <c r="BA89" s="13">
        <v>0</v>
      </c>
      <c r="BB89" s="13">
        <v>0</v>
      </c>
      <c r="BC89" s="13">
        <v>0</v>
      </c>
      <c r="BD89" s="13">
        <v>0</v>
      </c>
      <c r="BE89" s="13">
        <v>0</v>
      </c>
      <c r="BF89" s="13">
        <v>0</v>
      </c>
      <c r="BG89" s="13">
        <v>0</v>
      </c>
      <c r="BH89" s="13">
        <v>0</v>
      </c>
      <c r="BI89" s="13">
        <v>0</v>
      </c>
      <c r="BJ89" s="13">
        <v>0</v>
      </c>
      <c r="BK89" s="13">
        <v>0</v>
      </c>
      <c r="BL89" s="13">
        <v>0</v>
      </c>
      <c r="BM89" s="13">
        <v>0</v>
      </c>
      <c r="BN89" s="13">
        <v>0</v>
      </c>
      <c r="BO89" s="13">
        <v>0</v>
      </c>
      <c r="BP89" s="13">
        <v>1</v>
      </c>
      <c r="BQ89" s="13" t="s">
        <v>250</v>
      </c>
      <c r="BR89" s="13">
        <v>17</v>
      </c>
    </row>
    <row r="90" spans="1:70" s="13" customFormat="1" ht="14.25" x14ac:dyDescent="0.15">
      <c r="A90" s="164"/>
      <c r="B90" s="13" t="s">
        <v>1872</v>
      </c>
      <c r="C90" s="11" t="s">
        <v>874</v>
      </c>
      <c r="E90" s="13" t="s">
        <v>875</v>
      </c>
      <c r="G90" s="13">
        <v>1</v>
      </c>
      <c r="H90" s="13">
        <v>14</v>
      </c>
      <c r="I90" s="13" t="s">
        <v>400</v>
      </c>
      <c r="K90" s="13">
        <v>3</v>
      </c>
      <c r="L90" s="13">
        <v>1</v>
      </c>
      <c r="M90" s="13" t="s">
        <v>254</v>
      </c>
      <c r="N90" s="13" t="s">
        <v>396</v>
      </c>
      <c r="O90" s="13">
        <v>0</v>
      </c>
      <c r="P90" s="13" t="s">
        <v>1873</v>
      </c>
      <c r="Q90" s="13" t="s">
        <v>876</v>
      </c>
      <c r="S90" s="13" t="s">
        <v>877</v>
      </c>
      <c r="U90" s="42" t="s">
        <v>878</v>
      </c>
      <c r="Y90" s="13" t="s">
        <v>879</v>
      </c>
      <c r="Z90" s="13" t="s">
        <v>235</v>
      </c>
      <c r="AA90" s="13" t="s">
        <v>251</v>
      </c>
      <c r="AB90" s="13">
        <v>0.15</v>
      </c>
      <c r="AC90" s="13">
        <v>0</v>
      </c>
      <c r="AD90" s="13">
        <v>20</v>
      </c>
      <c r="AE90" s="13">
        <v>1</v>
      </c>
      <c r="AF90" s="13" t="s">
        <v>1007</v>
      </c>
      <c r="AH90" s="13" t="s">
        <v>399</v>
      </c>
      <c r="AI90" s="13">
        <v>0</v>
      </c>
      <c r="AK90" s="13">
        <v>21271.240209257998</v>
      </c>
      <c r="AN90" s="163" t="s">
        <v>235</v>
      </c>
      <c r="AO90" s="163">
        <v>0</v>
      </c>
      <c r="AP90" s="163" t="s">
        <v>252</v>
      </c>
      <c r="AR90" s="13">
        <v>21271.240209257998</v>
      </c>
      <c r="AS90" s="13">
        <v>9474.4519374960018</v>
      </c>
      <c r="AT90" s="13">
        <v>153172.88186233878</v>
      </c>
      <c r="AU90" s="13">
        <v>1</v>
      </c>
      <c r="AV90" s="13">
        <v>1</v>
      </c>
      <c r="AW90" s="13">
        <v>0</v>
      </c>
      <c r="AX90" s="13">
        <v>0</v>
      </c>
      <c r="AY90" s="13">
        <v>0</v>
      </c>
      <c r="AZ90" s="13">
        <v>0</v>
      </c>
      <c r="BA90" s="13">
        <v>0</v>
      </c>
      <c r="BB90" s="13">
        <v>0</v>
      </c>
      <c r="BC90" s="13">
        <v>0</v>
      </c>
      <c r="BD90" s="13">
        <v>0</v>
      </c>
      <c r="BE90" s="13">
        <v>0</v>
      </c>
      <c r="BF90" s="13">
        <v>0</v>
      </c>
      <c r="BG90" s="13">
        <v>0</v>
      </c>
      <c r="BH90" s="13">
        <v>0</v>
      </c>
      <c r="BI90" s="13">
        <v>0</v>
      </c>
      <c r="BJ90" s="13">
        <v>0</v>
      </c>
      <c r="BK90" s="13">
        <v>0</v>
      </c>
      <c r="BL90" s="13">
        <v>0</v>
      </c>
      <c r="BM90" s="13">
        <v>0</v>
      </c>
      <c r="BN90" s="13">
        <v>0</v>
      </c>
      <c r="BO90" s="13">
        <v>0</v>
      </c>
      <c r="BP90" s="13">
        <v>1</v>
      </c>
      <c r="BQ90" s="13" t="s">
        <v>880</v>
      </c>
      <c r="BR90" s="13">
        <v>17</v>
      </c>
    </row>
    <row r="91" spans="1:70" s="13" customFormat="1" ht="14.25" x14ac:dyDescent="0.15">
      <c r="A91" s="164"/>
      <c r="B91" s="13" t="s">
        <v>2446</v>
      </c>
      <c r="C91" s="11" t="s">
        <v>2447</v>
      </c>
      <c r="E91" s="13" t="s">
        <v>2448</v>
      </c>
      <c r="G91" s="13">
        <v>0</v>
      </c>
      <c r="H91" s="13">
        <v>13</v>
      </c>
      <c r="I91" s="13" t="s">
        <v>397</v>
      </c>
      <c r="K91" s="13">
        <v>3</v>
      </c>
      <c r="L91" s="13">
        <v>1</v>
      </c>
      <c r="M91" s="13" t="s">
        <v>254</v>
      </c>
      <c r="N91" s="13" t="s">
        <v>396</v>
      </c>
      <c r="O91" s="13">
        <v>0</v>
      </c>
      <c r="P91" s="13" t="s">
        <v>2449</v>
      </c>
      <c r="Q91" s="13" t="s">
        <v>2450</v>
      </c>
      <c r="S91" s="13" t="s">
        <v>2451</v>
      </c>
      <c r="U91" s="42" t="s">
        <v>2452</v>
      </c>
      <c r="Y91" s="13" t="s">
        <v>250</v>
      </c>
      <c r="Z91" s="13" t="s">
        <v>2453</v>
      </c>
      <c r="AA91" s="13" t="s">
        <v>251</v>
      </c>
      <c r="AB91" s="13">
        <v>0.15</v>
      </c>
      <c r="AC91" s="13">
        <v>0</v>
      </c>
      <c r="AD91" s="13">
        <v>20</v>
      </c>
      <c r="AE91" s="13">
        <v>1</v>
      </c>
      <c r="AF91" s="13" t="s">
        <v>2454</v>
      </c>
      <c r="AH91" s="13" t="s">
        <v>399</v>
      </c>
      <c r="AI91" s="13">
        <v>0</v>
      </c>
      <c r="AK91" s="13">
        <v>28167.465713736958</v>
      </c>
      <c r="AN91" s="163" t="s">
        <v>235</v>
      </c>
      <c r="AO91" s="163">
        <v>0</v>
      </c>
      <c r="AP91" s="163" t="s">
        <v>252</v>
      </c>
      <c r="AR91" s="13">
        <v>28167.465713736958</v>
      </c>
      <c r="AS91" s="13">
        <v>8029.1965572000008</v>
      </c>
      <c r="AT91" s="13">
        <v>119496.57450253381</v>
      </c>
      <c r="AU91" s="13">
        <v>1</v>
      </c>
      <c r="AV91" s="13">
        <v>1</v>
      </c>
      <c r="AW91" s="13">
        <v>0</v>
      </c>
      <c r="AX91" s="13">
        <v>0</v>
      </c>
      <c r="AY91" s="13">
        <v>0</v>
      </c>
      <c r="AZ91" s="13">
        <v>0</v>
      </c>
      <c r="BA91" s="13">
        <v>0</v>
      </c>
      <c r="BB91" s="13">
        <v>0</v>
      </c>
      <c r="BC91" s="13">
        <v>0</v>
      </c>
      <c r="BD91" s="13">
        <v>0</v>
      </c>
      <c r="BE91" s="13">
        <v>0</v>
      </c>
      <c r="BF91" s="13">
        <v>0</v>
      </c>
      <c r="BG91" s="13">
        <v>0</v>
      </c>
      <c r="BH91" s="13">
        <v>0</v>
      </c>
      <c r="BI91" s="13">
        <v>0</v>
      </c>
      <c r="BJ91" s="13">
        <v>0</v>
      </c>
      <c r="BK91" s="13">
        <v>0</v>
      </c>
      <c r="BL91" s="13">
        <v>0</v>
      </c>
      <c r="BM91" s="13">
        <v>0</v>
      </c>
      <c r="BN91" s="13">
        <v>0</v>
      </c>
      <c r="BO91" s="13">
        <v>0</v>
      </c>
      <c r="BP91" s="13">
        <v>1</v>
      </c>
      <c r="BQ91" s="13" t="s">
        <v>250</v>
      </c>
      <c r="BR91" s="13">
        <v>16</v>
      </c>
    </row>
    <row r="92" spans="1:70" s="13" customFormat="1" ht="14.25" x14ac:dyDescent="0.15">
      <c r="A92" s="164"/>
      <c r="B92" s="13" t="s">
        <v>2455</v>
      </c>
      <c r="C92" s="11" t="s">
        <v>1163</v>
      </c>
      <c r="E92" s="13" t="s">
        <v>1164</v>
      </c>
      <c r="G92" s="13">
        <v>0</v>
      </c>
      <c r="H92" s="13">
        <v>13</v>
      </c>
      <c r="I92" s="13" t="s">
        <v>296</v>
      </c>
      <c r="K92" s="13">
        <v>3</v>
      </c>
      <c r="L92" s="13">
        <v>1</v>
      </c>
      <c r="M92" s="13" t="s">
        <v>254</v>
      </c>
      <c r="N92" s="13" t="s">
        <v>396</v>
      </c>
      <c r="O92" s="13">
        <v>0</v>
      </c>
      <c r="P92" s="13" t="s">
        <v>2456</v>
      </c>
      <c r="Q92" s="13" t="s">
        <v>1165</v>
      </c>
      <c r="S92" s="13" t="s">
        <v>1166</v>
      </c>
      <c r="U92" s="42" t="s">
        <v>1167</v>
      </c>
      <c r="Y92" s="13" t="s">
        <v>3303</v>
      </c>
      <c r="Z92" s="13" t="s">
        <v>444</v>
      </c>
      <c r="AA92" s="13" t="s">
        <v>251</v>
      </c>
      <c r="AB92" s="13">
        <v>0.15</v>
      </c>
      <c r="AC92" s="13">
        <v>0</v>
      </c>
      <c r="AD92" s="13">
        <v>20</v>
      </c>
      <c r="AE92" s="13">
        <v>1</v>
      </c>
      <c r="AF92" s="13" t="s">
        <v>1169</v>
      </c>
      <c r="AH92" s="13" t="s">
        <v>399</v>
      </c>
      <c r="AI92" s="13">
        <v>0</v>
      </c>
      <c r="AK92" s="13">
        <v>34033.984334812805</v>
      </c>
      <c r="AN92" s="163" t="s">
        <v>235</v>
      </c>
      <c r="AO92" s="163">
        <v>0</v>
      </c>
      <c r="AP92" s="163" t="s">
        <v>252</v>
      </c>
      <c r="AR92" s="13">
        <v>34033.984334812805</v>
      </c>
      <c r="AS92" s="13">
        <v>6583.9411769040007</v>
      </c>
      <c r="AT92" s="13">
        <v>77129.607178908191</v>
      </c>
      <c r="AU92" s="13">
        <v>1</v>
      </c>
      <c r="AV92" s="13">
        <v>1</v>
      </c>
      <c r="AW92" s="13">
        <v>0</v>
      </c>
      <c r="AX92" s="13">
        <v>0</v>
      </c>
      <c r="AY92" s="13">
        <v>0</v>
      </c>
      <c r="AZ92" s="13">
        <v>0</v>
      </c>
      <c r="BA92" s="13">
        <v>0</v>
      </c>
      <c r="BB92" s="13">
        <v>0</v>
      </c>
      <c r="BC92" s="13">
        <v>0</v>
      </c>
      <c r="BD92" s="13">
        <v>0</v>
      </c>
      <c r="BE92" s="13">
        <v>0</v>
      </c>
      <c r="BF92" s="13">
        <v>0</v>
      </c>
      <c r="BG92" s="13">
        <v>0</v>
      </c>
      <c r="BH92" s="13">
        <v>0</v>
      </c>
      <c r="BI92" s="13">
        <v>0</v>
      </c>
      <c r="BJ92" s="13">
        <v>0</v>
      </c>
      <c r="BK92" s="13">
        <v>0</v>
      </c>
      <c r="BL92" s="13">
        <v>0</v>
      </c>
      <c r="BM92" s="13">
        <v>0</v>
      </c>
      <c r="BN92" s="13">
        <v>0</v>
      </c>
      <c r="BO92" s="13">
        <v>0</v>
      </c>
      <c r="BP92" s="13">
        <v>1</v>
      </c>
      <c r="BQ92" s="11" t="s">
        <v>2337</v>
      </c>
      <c r="BR92" s="13">
        <v>17</v>
      </c>
    </row>
    <row r="93" spans="1:70" s="13" customFormat="1" ht="14.25" x14ac:dyDescent="0.15">
      <c r="A93" s="164"/>
      <c r="B93" s="13" t="s">
        <v>2457</v>
      </c>
      <c r="C93" s="13" t="s">
        <v>2447</v>
      </c>
      <c r="E93" s="13" t="s">
        <v>2448</v>
      </c>
      <c r="G93" s="13">
        <v>0</v>
      </c>
      <c r="H93" s="13">
        <v>13</v>
      </c>
      <c r="I93" s="13" t="s">
        <v>397</v>
      </c>
      <c r="K93" s="13">
        <v>3</v>
      </c>
      <c r="L93" s="13">
        <v>1</v>
      </c>
      <c r="M93" s="13" t="s">
        <v>254</v>
      </c>
      <c r="N93" s="13" t="s">
        <v>396</v>
      </c>
      <c r="O93" s="13">
        <v>0</v>
      </c>
      <c r="P93" s="13" t="s">
        <v>2458</v>
      </c>
      <c r="Q93" s="13" t="s">
        <v>2450</v>
      </c>
      <c r="S93" s="13" t="s">
        <v>2451</v>
      </c>
      <c r="U93" s="42" t="s">
        <v>2452</v>
      </c>
      <c r="Y93" s="13" t="s">
        <v>250</v>
      </c>
      <c r="Z93" s="13" t="s">
        <v>2453</v>
      </c>
      <c r="AA93" s="13" t="s">
        <v>251</v>
      </c>
      <c r="AB93" s="13">
        <v>0.15</v>
      </c>
      <c r="AC93" s="13">
        <v>0</v>
      </c>
      <c r="AD93" s="13">
        <v>20</v>
      </c>
      <c r="AE93" s="13">
        <v>1</v>
      </c>
      <c r="AF93" s="13" t="s">
        <v>2454</v>
      </c>
      <c r="AH93" s="13" t="s">
        <v>399</v>
      </c>
      <c r="AI93" s="13">
        <v>0</v>
      </c>
      <c r="AK93" s="13">
        <v>28167.465713736958</v>
      </c>
      <c r="AN93" s="163" t="s">
        <v>235</v>
      </c>
      <c r="AO93" s="163">
        <v>0</v>
      </c>
      <c r="AP93" s="163" t="s">
        <v>252</v>
      </c>
      <c r="AR93" s="13">
        <v>28167.465713736958</v>
      </c>
      <c r="AS93" s="13">
        <v>8029.1965572000008</v>
      </c>
      <c r="AT93" s="13">
        <v>119496.57450253381</v>
      </c>
      <c r="AU93" s="13">
        <v>1</v>
      </c>
      <c r="AV93" s="13">
        <v>1</v>
      </c>
      <c r="AW93" s="13">
        <v>0</v>
      </c>
      <c r="AX93" s="13">
        <v>0</v>
      </c>
      <c r="AY93" s="13">
        <v>0</v>
      </c>
      <c r="AZ93" s="13">
        <v>0</v>
      </c>
      <c r="BA93" s="13">
        <v>0</v>
      </c>
      <c r="BB93" s="13">
        <v>0</v>
      </c>
      <c r="BC93" s="13">
        <v>0</v>
      </c>
      <c r="BD93" s="13">
        <v>0</v>
      </c>
      <c r="BE93" s="13">
        <v>0</v>
      </c>
      <c r="BF93" s="13">
        <v>0</v>
      </c>
      <c r="BG93" s="13">
        <v>0</v>
      </c>
      <c r="BH93" s="13">
        <v>0</v>
      </c>
      <c r="BI93" s="13">
        <v>0</v>
      </c>
      <c r="BJ93" s="13">
        <v>0</v>
      </c>
      <c r="BK93" s="13">
        <v>0</v>
      </c>
      <c r="BL93" s="13">
        <v>0</v>
      </c>
      <c r="BM93" s="13">
        <v>0</v>
      </c>
      <c r="BN93" s="13">
        <v>0</v>
      </c>
      <c r="BO93" s="13">
        <v>0</v>
      </c>
      <c r="BP93" s="13">
        <v>1</v>
      </c>
      <c r="BQ93" s="13" t="s">
        <v>250</v>
      </c>
      <c r="BR93" s="13">
        <v>16</v>
      </c>
    </row>
    <row r="94" spans="1:70" s="13" customFormat="1" ht="14.25" x14ac:dyDescent="0.15">
      <c r="A94" s="164"/>
      <c r="B94" s="13" t="s">
        <v>2459</v>
      </c>
      <c r="C94" s="13" t="s">
        <v>900</v>
      </c>
      <c r="E94" s="13" t="s">
        <v>901</v>
      </c>
      <c r="G94" s="13">
        <v>1</v>
      </c>
      <c r="H94" s="13">
        <v>14</v>
      </c>
      <c r="I94" s="13" t="s">
        <v>421</v>
      </c>
      <c r="K94" s="13">
        <v>3</v>
      </c>
      <c r="L94" s="13">
        <v>1</v>
      </c>
      <c r="M94" s="13" t="s">
        <v>254</v>
      </c>
      <c r="N94" s="13" t="s">
        <v>396</v>
      </c>
      <c r="O94" s="13">
        <v>0</v>
      </c>
      <c r="P94" s="13" t="s">
        <v>2460</v>
      </c>
      <c r="Q94" s="13" t="s">
        <v>902</v>
      </c>
      <c r="S94" s="13" t="s">
        <v>903</v>
      </c>
      <c r="U94" s="42" t="s">
        <v>904</v>
      </c>
      <c r="Y94" s="13" t="s">
        <v>250</v>
      </c>
      <c r="Z94" s="13" t="s">
        <v>905</v>
      </c>
      <c r="AA94" s="13" t="s">
        <v>251</v>
      </c>
      <c r="AB94" s="13">
        <v>0.15</v>
      </c>
      <c r="AC94" s="13">
        <v>0</v>
      </c>
      <c r="AD94" s="13">
        <v>20</v>
      </c>
      <c r="AE94" s="13">
        <v>1</v>
      </c>
      <c r="AF94" s="13" t="s">
        <v>2461</v>
      </c>
      <c r="AH94" s="13" t="s">
        <v>258</v>
      </c>
      <c r="AI94" s="13">
        <v>0</v>
      </c>
      <c r="AK94" s="13">
        <v>27084.101647823998</v>
      </c>
      <c r="AN94" s="163" t="s">
        <v>235</v>
      </c>
      <c r="AO94" s="163">
        <v>0</v>
      </c>
      <c r="AP94" s="163" t="s">
        <v>252</v>
      </c>
      <c r="AR94" s="13">
        <v>27084.101647823998</v>
      </c>
      <c r="AS94" s="13">
        <v>8029.1965572000008</v>
      </c>
      <c r="AT94" s="13">
        <v>117333.853058448</v>
      </c>
      <c r="AU94" s="13">
        <v>1</v>
      </c>
      <c r="AV94" s="13">
        <v>1</v>
      </c>
      <c r="AW94" s="13">
        <v>0</v>
      </c>
      <c r="AX94" s="13">
        <v>0</v>
      </c>
      <c r="AY94" s="13">
        <v>0</v>
      </c>
      <c r="AZ94" s="13">
        <v>0</v>
      </c>
      <c r="BA94" s="13">
        <v>0</v>
      </c>
      <c r="BB94" s="13">
        <v>0</v>
      </c>
      <c r="BC94" s="13">
        <v>0</v>
      </c>
      <c r="BD94" s="13">
        <v>0</v>
      </c>
      <c r="BE94" s="13">
        <v>0</v>
      </c>
      <c r="BF94" s="13">
        <v>0</v>
      </c>
      <c r="BG94" s="13">
        <v>0</v>
      </c>
      <c r="BH94" s="13">
        <v>0</v>
      </c>
      <c r="BI94" s="13">
        <v>0</v>
      </c>
      <c r="BJ94" s="13">
        <v>0</v>
      </c>
      <c r="BK94" s="13">
        <v>0</v>
      </c>
      <c r="BL94" s="13">
        <v>0</v>
      </c>
      <c r="BM94" s="13">
        <v>0</v>
      </c>
      <c r="BN94" s="13">
        <v>0</v>
      </c>
      <c r="BO94" s="13">
        <v>0</v>
      </c>
      <c r="BP94" s="13">
        <v>1</v>
      </c>
      <c r="BQ94" s="13" t="s">
        <v>250</v>
      </c>
      <c r="BR94" s="13">
        <v>18</v>
      </c>
    </row>
    <row r="95" spans="1:70" s="13" customFormat="1" ht="14.25" x14ac:dyDescent="0.15">
      <c r="A95" s="164"/>
      <c r="B95" s="13" t="s">
        <v>2462</v>
      </c>
      <c r="C95" s="13" t="s">
        <v>912</v>
      </c>
      <c r="E95" s="13" t="s">
        <v>913</v>
      </c>
      <c r="G95" s="13">
        <v>0</v>
      </c>
      <c r="H95" s="13">
        <v>14</v>
      </c>
      <c r="I95" s="13" t="s">
        <v>400</v>
      </c>
      <c r="K95" s="13">
        <v>3</v>
      </c>
      <c r="L95" s="13">
        <v>1</v>
      </c>
      <c r="M95" s="13" t="s">
        <v>254</v>
      </c>
      <c r="N95" s="13" t="s">
        <v>396</v>
      </c>
      <c r="O95" s="13">
        <v>0</v>
      </c>
      <c r="P95" s="13" t="s">
        <v>2463</v>
      </c>
      <c r="Q95" s="13" t="s">
        <v>914</v>
      </c>
      <c r="S95" s="13" t="s">
        <v>915</v>
      </c>
      <c r="U95" s="42" t="s">
        <v>916</v>
      </c>
      <c r="Y95" s="13" t="s">
        <v>250</v>
      </c>
      <c r="Z95" s="13" t="s">
        <v>917</v>
      </c>
      <c r="AA95" s="13" t="s">
        <v>251</v>
      </c>
      <c r="AB95" s="13">
        <v>0.15</v>
      </c>
      <c r="AC95" s="13">
        <v>30</v>
      </c>
      <c r="AD95" s="13">
        <v>20</v>
      </c>
      <c r="AE95" s="13">
        <v>1</v>
      </c>
      <c r="AF95" s="13" t="s">
        <v>1015</v>
      </c>
      <c r="AH95" s="13" t="s">
        <v>399</v>
      </c>
      <c r="AI95" s="13">
        <v>0</v>
      </c>
      <c r="AK95" s="13">
        <v>22421.036977325992</v>
      </c>
      <c r="AN95" s="163" t="s">
        <v>235</v>
      </c>
      <c r="AO95" s="163">
        <v>0</v>
      </c>
      <c r="AP95" s="163" t="s">
        <v>252</v>
      </c>
      <c r="AR95" s="13">
        <v>22421.036977325992</v>
      </c>
      <c r="AS95" s="13">
        <v>9474.4519374960018</v>
      </c>
      <c r="AT95" s="13">
        <v>159482.0623509477</v>
      </c>
      <c r="AU95" s="13">
        <v>1</v>
      </c>
      <c r="AV95" s="13">
        <v>1</v>
      </c>
      <c r="AW95" s="13">
        <v>0</v>
      </c>
      <c r="AX95" s="13">
        <v>0</v>
      </c>
      <c r="AY95" s="13">
        <v>0</v>
      </c>
      <c r="AZ95" s="13">
        <v>0</v>
      </c>
      <c r="BA95" s="13">
        <v>0</v>
      </c>
      <c r="BB95" s="13">
        <v>0</v>
      </c>
      <c r="BC95" s="13">
        <v>0</v>
      </c>
      <c r="BD95" s="13">
        <v>0</v>
      </c>
      <c r="BE95" s="13">
        <v>0</v>
      </c>
      <c r="BF95" s="13">
        <v>0</v>
      </c>
      <c r="BG95" s="13">
        <v>0</v>
      </c>
      <c r="BH95" s="13">
        <v>0</v>
      </c>
      <c r="BI95" s="13">
        <v>0</v>
      </c>
      <c r="BJ95" s="13">
        <v>0</v>
      </c>
      <c r="BK95" s="13">
        <v>0</v>
      </c>
      <c r="BL95" s="13">
        <v>0</v>
      </c>
      <c r="BM95" s="13">
        <v>0</v>
      </c>
      <c r="BN95" s="13">
        <v>0</v>
      </c>
      <c r="BO95" s="13">
        <v>0</v>
      </c>
      <c r="BP95" s="13">
        <v>1</v>
      </c>
      <c r="BQ95" s="13" t="s">
        <v>250</v>
      </c>
      <c r="BR95" s="13">
        <v>18</v>
      </c>
    </row>
    <row r="96" spans="1:70" s="13" customFormat="1" ht="14.25" x14ac:dyDescent="0.15">
      <c r="A96" s="164"/>
      <c r="B96" s="13" t="s">
        <v>2464</v>
      </c>
      <c r="C96" s="13" t="s">
        <v>988</v>
      </c>
      <c r="E96" s="13" t="s">
        <v>989</v>
      </c>
      <c r="G96" s="13">
        <v>0</v>
      </c>
      <c r="H96" s="13">
        <v>14</v>
      </c>
      <c r="I96" s="13" t="s">
        <v>397</v>
      </c>
      <c r="K96" s="13">
        <v>3</v>
      </c>
      <c r="L96" s="13">
        <v>1</v>
      </c>
      <c r="M96" s="13" t="s">
        <v>254</v>
      </c>
      <c r="N96" s="13" t="s">
        <v>396</v>
      </c>
      <c r="O96" s="13">
        <v>0</v>
      </c>
      <c r="P96" s="13" t="s">
        <v>2465</v>
      </c>
      <c r="Q96" s="13" t="s">
        <v>990</v>
      </c>
      <c r="S96" s="13" t="s">
        <v>991</v>
      </c>
      <c r="U96" s="42" t="s">
        <v>992</v>
      </c>
      <c r="Y96" s="13" t="s">
        <v>993</v>
      </c>
      <c r="Z96" s="13" t="s">
        <v>235</v>
      </c>
      <c r="AA96" s="13" t="s">
        <v>251</v>
      </c>
      <c r="AB96" s="13">
        <v>0.15</v>
      </c>
      <c r="AC96" s="13">
        <v>0</v>
      </c>
      <c r="AD96" s="13">
        <v>20</v>
      </c>
      <c r="AE96" s="13">
        <v>1</v>
      </c>
      <c r="AF96" s="13" t="s">
        <v>1032</v>
      </c>
      <c r="AH96" s="13" t="s">
        <v>399</v>
      </c>
      <c r="AI96" s="13">
        <v>0</v>
      </c>
      <c r="AK96" s="13">
        <v>26573.080862015995</v>
      </c>
      <c r="AN96" s="163" t="s">
        <v>235</v>
      </c>
      <c r="AO96" s="163">
        <v>0</v>
      </c>
      <c r="AP96" s="163" t="s">
        <v>252</v>
      </c>
      <c r="AR96" s="13">
        <v>26573.080862015995</v>
      </c>
      <c r="AS96" s="13">
        <v>8029.1965572000008</v>
      </c>
      <c r="AT96" s="13">
        <v>114350.78899764</v>
      </c>
      <c r="AU96" s="13">
        <v>1</v>
      </c>
      <c r="AV96" s="13">
        <v>1</v>
      </c>
      <c r="AW96" s="13">
        <v>0</v>
      </c>
      <c r="AX96" s="13">
        <v>0</v>
      </c>
      <c r="AY96" s="13">
        <v>0</v>
      </c>
      <c r="AZ96" s="13">
        <v>0</v>
      </c>
      <c r="BA96" s="13">
        <v>0</v>
      </c>
      <c r="BB96" s="13">
        <v>0</v>
      </c>
      <c r="BC96" s="13">
        <v>0</v>
      </c>
      <c r="BD96" s="13">
        <v>0</v>
      </c>
      <c r="BE96" s="13">
        <v>0</v>
      </c>
      <c r="BF96" s="13">
        <v>0</v>
      </c>
      <c r="BG96" s="13">
        <v>0</v>
      </c>
      <c r="BH96" s="13">
        <v>0</v>
      </c>
      <c r="BI96" s="13">
        <v>0</v>
      </c>
      <c r="BJ96" s="13">
        <v>0</v>
      </c>
      <c r="BK96" s="13">
        <v>0</v>
      </c>
      <c r="BL96" s="13">
        <v>0</v>
      </c>
      <c r="BM96" s="13">
        <v>0</v>
      </c>
      <c r="BN96" s="13">
        <v>0</v>
      </c>
      <c r="BO96" s="13">
        <v>0</v>
      </c>
      <c r="BP96" s="13">
        <v>1</v>
      </c>
      <c r="BQ96" s="13" t="s">
        <v>1033</v>
      </c>
      <c r="BR96" s="13">
        <v>15</v>
      </c>
    </row>
    <row r="97" spans="1:70" s="13" customFormat="1" ht="14.25" x14ac:dyDescent="0.15">
      <c r="A97" s="164"/>
      <c r="B97" s="13" t="s">
        <v>2466</v>
      </c>
      <c r="C97" s="13" t="s">
        <v>1163</v>
      </c>
      <c r="E97" s="13" t="s">
        <v>1164</v>
      </c>
      <c r="G97" s="13">
        <v>0</v>
      </c>
      <c r="H97" s="13">
        <v>13</v>
      </c>
      <c r="I97" s="13" t="s">
        <v>296</v>
      </c>
      <c r="K97" s="13">
        <v>3</v>
      </c>
      <c r="L97" s="13">
        <v>1</v>
      </c>
      <c r="M97" s="13" t="s">
        <v>254</v>
      </c>
      <c r="N97" s="13" t="s">
        <v>396</v>
      </c>
      <c r="O97" s="13">
        <v>0</v>
      </c>
      <c r="P97" s="13" t="s">
        <v>2467</v>
      </c>
      <c r="Q97" s="13" t="s">
        <v>1165</v>
      </c>
      <c r="S97" s="13" t="s">
        <v>1166</v>
      </c>
      <c r="U97" s="42" t="s">
        <v>1167</v>
      </c>
      <c r="Y97" s="13" t="s">
        <v>3303</v>
      </c>
      <c r="Z97" s="13" t="s">
        <v>444</v>
      </c>
      <c r="AA97" s="13" t="s">
        <v>251</v>
      </c>
      <c r="AB97" s="13">
        <v>0.15</v>
      </c>
      <c r="AC97" s="13">
        <v>30</v>
      </c>
      <c r="AD97" s="13">
        <v>20</v>
      </c>
      <c r="AE97" s="13">
        <v>1</v>
      </c>
      <c r="AF97" s="13" t="s">
        <v>1169</v>
      </c>
      <c r="AH97" s="13" t="s">
        <v>399</v>
      </c>
      <c r="AI97" s="13">
        <v>0</v>
      </c>
      <c r="AK97" s="13">
        <v>34033.984334812805</v>
      </c>
      <c r="AN97" s="163" t="s">
        <v>235</v>
      </c>
      <c r="AO97" s="163">
        <v>0</v>
      </c>
      <c r="AP97" s="163" t="s">
        <v>252</v>
      </c>
      <c r="AR97" s="13">
        <v>34033.984334812805</v>
      </c>
      <c r="AS97" s="13">
        <v>6583.9411769040007</v>
      </c>
      <c r="AT97" s="13">
        <v>77129.607178908191</v>
      </c>
      <c r="AU97" s="13">
        <v>1</v>
      </c>
      <c r="AV97" s="13">
        <v>1</v>
      </c>
      <c r="AW97" s="13">
        <v>0</v>
      </c>
      <c r="AX97" s="13">
        <v>0</v>
      </c>
      <c r="AY97" s="13">
        <v>0</v>
      </c>
      <c r="AZ97" s="13">
        <v>0</v>
      </c>
      <c r="BA97" s="13">
        <v>0</v>
      </c>
      <c r="BB97" s="13">
        <v>0</v>
      </c>
      <c r="BC97" s="13">
        <v>0</v>
      </c>
      <c r="BD97" s="13">
        <v>0</v>
      </c>
      <c r="BE97" s="13">
        <v>0</v>
      </c>
      <c r="BF97" s="13">
        <v>0</v>
      </c>
      <c r="BG97" s="13">
        <v>0</v>
      </c>
      <c r="BH97" s="13">
        <v>0</v>
      </c>
      <c r="BI97" s="13">
        <v>0</v>
      </c>
      <c r="BJ97" s="13">
        <v>0</v>
      </c>
      <c r="BK97" s="13">
        <v>0</v>
      </c>
      <c r="BL97" s="13">
        <v>0</v>
      </c>
      <c r="BM97" s="13">
        <v>0</v>
      </c>
      <c r="BN97" s="13">
        <v>0</v>
      </c>
      <c r="BO97" s="13">
        <v>0</v>
      </c>
      <c r="BP97" s="13">
        <v>1</v>
      </c>
      <c r="BQ97" s="11" t="s">
        <v>2337</v>
      </c>
      <c r="BR97" s="13">
        <v>17</v>
      </c>
    </row>
    <row r="98" spans="1:70" s="13" customFormat="1" ht="14.25" x14ac:dyDescent="0.15">
      <c r="A98" s="164"/>
      <c r="B98" s="13" t="s">
        <v>2468</v>
      </c>
      <c r="C98" s="13" t="s">
        <v>2469</v>
      </c>
      <c r="E98" s="13" t="s">
        <v>2470</v>
      </c>
      <c r="G98" s="13">
        <v>0</v>
      </c>
      <c r="H98" s="13">
        <v>13</v>
      </c>
      <c r="I98" s="13" t="s">
        <v>397</v>
      </c>
      <c r="K98" s="13">
        <v>3</v>
      </c>
      <c r="L98" s="13">
        <v>1</v>
      </c>
      <c r="M98" s="13" t="s">
        <v>254</v>
      </c>
      <c r="N98" s="13" t="s">
        <v>396</v>
      </c>
      <c r="O98" s="13">
        <v>0</v>
      </c>
      <c r="P98" s="13" t="s">
        <v>2471</v>
      </c>
      <c r="Q98" s="13" t="s">
        <v>2472</v>
      </c>
      <c r="S98" s="13" t="s">
        <v>2473</v>
      </c>
      <c r="U98" s="42" t="s">
        <v>2474</v>
      </c>
      <c r="Y98" s="13" t="s">
        <v>250</v>
      </c>
      <c r="Z98" s="13" t="s">
        <v>2475</v>
      </c>
      <c r="AA98" s="13" t="s">
        <v>251</v>
      </c>
      <c r="AB98" s="13">
        <v>0.15</v>
      </c>
      <c r="AC98" s="13">
        <v>0</v>
      </c>
      <c r="AD98" s="13">
        <v>20</v>
      </c>
      <c r="AE98" s="13">
        <v>1</v>
      </c>
      <c r="AF98" s="13" t="s">
        <v>2476</v>
      </c>
      <c r="AH98" s="13" t="s">
        <v>258</v>
      </c>
      <c r="AI98" s="13">
        <v>680</v>
      </c>
      <c r="AK98" s="13">
        <v>23650.04196719424</v>
      </c>
      <c r="AN98" s="163" t="s">
        <v>235</v>
      </c>
      <c r="AO98" s="163">
        <v>0</v>
      </c>
      <c r="AP98" s="163" t="s">
        <v>252</v>
      </c>
      <c r="AR98" s="13">
        <v>23650.04196719424</v>
      </c>
      <c r="AS98" s="13">
        <v>8029.1965572000008</v>
      </c>
      <c r="AT98" s="13">
        <v>103773.3410153583</v>
      </c>
      <c r="AU98" s="13">
        <v>1</v>
      </c>
      <c r="AV98" s="13">
        <v>1</v>
      </c>
      <c r="AW98" s="13">
        <v>0</v>
      </c>
      <c r="AX98" s="13">
        <v>0</v>
      </c>
      <c r="AY98" s="13">
        <v>0</v>
      </c>
      <c r="AZ98" s="13">
        <v>0</v>
      </c>
      <c r="BA98" s="13">
        <v>0</v>
      </c>
      <c r="BB98" s="13">
        <v>0</v>
      </c>
      <c r="BC98" s="13">
        <v>0</v>
      </c>
      <c r="BD98" s="13">
        <v>0</v>
      </c>
      <c r="BE98" s="13">
        <v>0</v>
      </c>
      <c r="BF98" s="13">
        <v>0</v>
      </c>
      <c r="BG98" s="13">
        <v>0</v>
      </c>
      <c r="BH98" s="13">
        <v>0</v>
      </c>
      <c r="BI98" s="13">
        <v>0</v>
      </c>
      <c r="BJ98" s="13">
        <v>0</v>
      </c>
      <c r="BK98" s="13">
        <v>0</v>
      </c>
      <c r="BL98" s="13">
        <v>0</v>
      </c>
      <c r="BM98" s="13">
        <v>0</v>
      </c>
      <c r="BN98" s="13">
        <v>0</v>
      </c>
      <c r="BO98" s="13">
        <v>0</v>
      </c>
      <c r="BP98" s="13">
        <v>1</v>
      </c>
      <c r="BQ98" s="13" t="s">
        <v>250</v>
      </c>
      <c r="BR98" s="13">
        <v>13</v>
      </c>
    </row>
    <row r="99" spans="1:70" s="13" customFormat="1" ht="14.25" x14ac:dyDescent="0.15">
      <c r="A99" s="164"/>
      <c r="B99" s="13" t="s">
        <v>2477</v>
      </c>
      <c r="C99" s="11" t="s">
        <v>2469</v>
      </c>
      <c r="E99" s="13" t="s">
        <v>2470</v>
      </c>
      <c r="G99" s="13">
        <v>0</v>
      </c>
      <c r="H99" s="13">
        <v>13</v>
      </c>
      <c r="I99" s="13" t="s">
        <v>397</v>
      </c>
      <c r="K99" s="13">
        <v>3</v>
      </c>
      <c r="L99" s="13">
        <v>1</v>
      </c>
      <c r="M99" s="13" t="s">
        <v>254</v>
      </c>
      <c r="N99" s="13" t="s">
        <v>396</v>
      </c>
      <c r="O99" s="13">
        <v>0</v>
      </c>
      <c r="P99" s="13" t="s">
        <v>2478</v>
      </c>
      <c r="Q99" s="13" t="s">
        <v>2472</v>
      </c>
      <c r="S99" s="13" t="s">
        <v>2473</v>
      </c>
      <c r="U99" s="42" t="s">
        <v>2474</v>
      </c>
      <c r="Y99" s="13" t="s">
        <v>250</v>
      </c>
      <c r="Z99" s="13" t="s">
        <v>2475</v>
      </c>
      <c r="AA99" s="13" t="s">
        <v>251</v>
      </c>
      <c r="AB99" s="13">
        <v>0.15</v>
      </c>
      <c r="AC99" s="13">
        <v>0</v>
      </c>
      <c r="AD99" s="13">
        <v>20</v>
      </c>
      <c r="AE99" s="13">
        <v>1</v>
      </c>
      <c r="AF99" s="13" t="s">
        <v>2476</v>
      </c>
      <c r="AH99" s="13" t="s">
        <v>258</v>
      </c>
      <c r="AI99" s="13">
        <v>1000</v>
      </c>
      <c r="AK99" s="13">
        <v>23650.04196719424</v>
      </c>
      <c r="AN99" s="163" t="s">
        <v>235</v>
      </c>
      <c r="AO99" s="163">
        <v>0</v>
      </c>
      <c r="AP99" s="163" t="s">
        <v>252</v>
      </c>
      <c r="AR99" s="13">
        <v>23650.04196719424</v>
      </c>
      <c r="AS99" s="13">
        <v>8029.1965572000008</v>
      </c>
      <c r="AT99" s="13">
        <v>103773.3410153583</v>
      </c>
      <c r="AU99" s="13">
        <v>1</v>
      </c>
      <c r="AV99" s="13">
        <v>1</v>
      </c>
      <c r="AW99" s="13">
        <v>0</v>
      </c>
      <c r="AX99" s="13">
        <v>0</v>
      </c>
      <c r="AY99" s="13">
        <v>0</v>
      </c>
      <c r="AZ99" s="13">
        <v>0</v>
      </c>
      <c r="BA99" s="13">
        <v>0</v>
      </c>
      <c r="BB99" s="13">
        <v>0</v>
      </c>
      <c r="BC99" s="13">
        <v>0</v>
      </c>
      <c r="BD99" s="13">
        <v>0</v>
      </c>
      <c r="BE99" s="13">
        <v>0</v>
      </c>
      <c r="BF99" s="13">
        <v>0</v>
      </c>
      <c r="BG99" s="13">
        <v>0</v>
      </c>
      <c r="BH99" s="13">
        <v>0</v>
      </c>
      <c r="BI99" s="13">
        <v>0</v>
      </c>
      <c r="BJ99" s="13">
        <v>0</v>
      </c>
      <c r="BK99" s="13">
        <v>0</v>
      </c>
      <c r="BL99" s="13">
        <v>0</v>
      </c>
      <c r="BM99" s="13">
        <v>0</v>
      </c>
      <c r="BN99" s="13">
        <v>0</v>
      </c>
      <c r="BO99" s="13">
        <v>0</v>
      </c>
      <c r="BP99" s="13">
        <v>1</v>
      </c>
      <c r="BQ99" s="13" t="s">
        <v>250</v>
      </c>
      <c r="BR99" s="13">
        <v>13</v>
      </c>
    </row>
    <row r="100" spans="1:70" s="13" customFormat="1" ht="14.25" x14ac:dyDescent="0.15">
      <c r="A100" s="164"/>
      <c r="B100" s="13" t="s">
        <v>2479</v>
      </c>
      <c r="C100" s="13" t="s">
        <v>2469</v>
      </c>
      <c r="E100" s="13" t="s">
        <v>2470</v>
      </c>
      <c r="G100" s="13">
        <v>0</v>
      </c>
      <c r="H100" s="13">
        <v>13</v>
      </c>
      <c r="I100" s="13" t="s">
        <v>397</v>
      </c>
      <c r="K100" s="13">
        <v>3</v>
      </c>
      <c r="L100" s="13">
        <v>1</v>
      </c>
      <c r="M100" s="13" t="s">
        <v>254</v>
      </c>
      <c r="N100" s="13" t="s">
        <v>396</v>
      </c>
      <c r="O100" s="13">
        <v>0</v>
      </c>
      <c r="P100" s="13" t="s">
        <v>2480</v>
      </c>
      <c r="Q100" s="13" t="s">
        <v>2472</v>
      </c>
      <c r="S100" s="13" t="s">
        <v>2473</v>
      </c>
      <c r="U100" s="42" t="s">
        <v>2474</v>
      </c>
      <c r="Y100" s="13" t="s">
        <v>250</v>
      </c>
      <c r="Z100" s="13" t="s">
        <v>2475</v>
      </c>
      <c r="AA100" s="13" t="s">
        <v>251</v>
      </c>
      <c r="AB100" s="13">
        <v>0.15</v>
      </c>
      <c r="AC100" s="13">
        <v>0</v>
      </c>
      <c r="AD100" s="13">
        <v>20</v>
      </c>
      <c r="AE100" s="13">
        <v>1</v>
      </c>
      <c r="AF100" s="13" t="s">
        <v>2476</v>
      </c>
      <c r="AH100" s="13" t="s">
        <v>258</v>
      </c>
      <c r="AI100" s="13">
        <v>0</v>
      </c>
      <c r="AK100" s="13">
        <v>23650.04196719424</v>
      </c>
      <c r="AN100" s="163" t="s">
        <v>235</v>
      </c>
      <c r="AO100" s="163">
        <v>0</v>
      </c>
      <c r="AP100" s="163" t="s">
        <v>252</v>
      </c>
      <c r="AR100" s="13">
        <v>23650.04196719424</v>
      </c>
      <c r="AS100" s="13">
        <v>8029.1965572000008</v>
      </c>
      <c r="AT100" s="13">
        <v>103773.3410153583</v>
      </c>
      <c r="AU100" s="13">
        <v>1</v>
      </c>
      <c r="AV100" s="13">
        <v>1</v>
      </c>
      <c r="AW100" s="13">
        <v>0</v>
      </c>
      <c r="AX100" s="13">
        <v>0</v>
      </c>
      <c r="AY100" s="13">
        <v>0</v>
      </c>
      <c r="AZ100" s="13">
        <v>0</v>
      </c>
      <c r="BA100" s="13">
        <v>0</v>
      </c>
      <c r="BB100" s="13">
        <v>0</v>
      </c>
      <c r="BC100" s="13">
        <v>0</v>
      </c>
      <c r="BD100" s="13">
        <v>0</v>
      </c>
      <c r="BE100" s="13">
        <v>0</v>
      </c>
      <c r="BF100" s="13">
        <v>0</v>
      </c>
      <c r="BG100" s="13">
        <v>0</v>
      </c>
      <c r="BH100" s="13">
        <v>0</v>
      </c>
      <c r="BI100" s="13">
        <v>0</v>
      </c>
      <c r="BJ100" s="13">
        <v>0</v>
      </c>
      <c r="BK100" s="13">
        <v>0</v>
      </c>
      <c r="BL100" s="13">
        <v>0</v>
      </c>
      <c r="BM100" s="13">
        <v>0</v>
      </c>
      <c r="BN100" s="13">
        <v>0</v>
      </c>
      <c r="BO100" s="13">
        <v>0</v>
      </c>
      <c r="BP100" s="13">
        <v>1</v>
      </c>
      <c r="BQ100" s="13" t="s">
        <v>250</v>
      </c>
      <c r="BR100" s="13">
        <v>13</v>
      </c>
    </row>
    <row r="101" spans="1:70" s="13" customFormat="1" ht="14.25" x14ac:dyDescent="0.15">
      <c r="A101" s="164"/>
      <c r="B101" s="13" t="s">
        <v>3071</v>
      </c>
      <c r="C101" s="11" t="s">
        <v>2256</v>
      </c>
      <c r="E101" s="13" t="s">
        <v>2257</v>
      </c>
      <c r="G101" s="13">
        <v>0</v>
      </c>
      <c r="H101" s="13">
        <v>14</v>
      </c>
      <c r="I101" s="13" t="s">
        <v>401</v>
      </c>
      <c r="K101" s="13">
        <v>3</v>
      </c>
      <c r="L101" s="13">
        <v>1</v>
      </c>
      <c r="M101" s="13" t="s">
        <v>254</v>
      </c>
      <c r="N101" s="13" t="s">
        <v>396</v>
      </c>
      <c r="O101" s="13">
        <v>0</v>
      </c>
      <c r="P101" s="13" t="s">
        <v>2481</v>
      </c>
      <c r="Q101" s="13" t="s">
        <v>2258</v>
      </c>
      <c r="S101" s="13" t="s">
        <v>2338</v>
      </c>
      <c r="U101" s="42" t="s">
        <v>2259</v>
      </c>
      <c r="Y101" s="13" t="s">
        <v>250</v>
      </c>
      <c r="Z101" s="13" t="s">
        <v>2260</v>
      </c>
      <c r="AA101" s="13" t="s">
        <v>251</v>
      </c>
      <c r="AB101" s="13">
        <v>0.15</v>
      </c>
      <c r="AC101" s="13">
        <v>0</v>
      </c>
      <c r="AD101" s="13">
        <v>20</v>
      </c>
      <c r="AE101" s="13">
        <v>1</v>
      </c>
      <c r="AF101" s="13" t="s">
        <v>2906</v>
      </c>
      <c r="AH101" s="13" t="s">
        <v>3171</v>
      </c>
      <c r="AI101" s="13">
        <v>0</v>
      </c>
      <c r="AK101" s="13">
        <v>31197.818973578396</v>
      </c>
      <c r="AN101" s="163" t="s">
        <v>235</v>
      </c>
      <c r="AO101" s="163">
        <v>0</v>
      </c>
      <c r="AP101" s="163" t="s">
        <v>252</v>
      </c>
      <c r="AR101" s="13">
        <v>31197.818973578396</v>
      </c>
      <c r="AS101" s="13">
        <v>8029.1965572000008</v>
      </c>
      <c r="AT101" s="13">
        <v>87992.932133684008</v>
      </c>
      <c r="AU101" s="13">
        <v>1</v>
      </c>
      <c r="AV101" s="13">
        <v>1</v>
      </c>
      <c r="AW101" s="13">
        <v>0</v>
      </c>
      <c r="AX101" s="13">
        <v>0</v>
      </c>
      <c r="AY101" s="13">
        <v>0</v>
      </c>
      <c r="AZ101" s="13">
        <v>0</v>
      </c>
      <c r="BA101" s="13">
        <v>0</v>
      </c>
      <c r="BB101" s="13">
        <v>0</v>
      </c>
      <c r="BC101" s="13">
        <v>0</v>
      </c>
      <c r="BD101" s="13">
        <v>0</v>
      </c>
      <c r="BE101" s="13">
        <v>0</v>
      </c>
      <c r="BF101" s="13">
        <v>0</v>
      </c>
      <c r="BG101" s="13">
        <v>0</v>
      </c>
      <c r="BH101" s="13">
        <v>0</v>
      </c>
      <c r="BI101" s="13">
        <v>0</v>
      </c>
      <c r="BJ101" s="13">
        <v>0</v>
      </c>
      <c r="BK101" s="13">
        <v>0</v>
      </c>
      <c r="BL101" s="13">
        <v>0</v>
      </c>
      <c r="BM101" s="13">
        <v>0</v>
      </c>
      <c r="BN101" s="13">
        <v>0</v>
      </c>
      <c r="BO101" s="13">
        <v>0</v>
      </c>
      <c r="BP101" s="13">
        <v>1</v>
      </c>
      <c r="BQ101" s="13" t="s">
        <v>250</v>
      </c>
      <c r="BR101" s="13">
        <v>17</v>
      </c>
    </row>
    <row r="102" spans="1:70" s="13" customFormat="1" ht="14.25" x14ac:dyDescent="0.15">
      <c r="A102" s="164"/>
      <c r="B102" s="13" t="s">
        <v>1874</v>
      </c>
      <c r="C102" s="13" t="s">
        <v>937</v>
      </c>
      <c r="E102" s="13" t="s">
        <v>420</v>
      </c>
      <c r="G102" s="13">
        <v>1</v>
      </c>
      <c r="H102" s="13">
        <v>14</v>
      </c>
      <c r="I102" s="13" t="s">
        <v>400</v>
      </c>
      <c r="K102" s="13">
        <v>3</v>
      </c>
      <c r="L102" s="13">
        <v>1</v>
      </c>
      <c r="M102" s="13" t="s">
        <v>254</v>
      </c>
      <c r="N102" s="13" t="s">
        <v>396</v>
      </c>
      <c r="O102" s="13">
        <v>0</v>
      </c>
      <c r="P102" s="13" t="s">
        <v>1875</v>
      </c>
      <c r="Q102" s="13" t="s">
        <v>419</v>
      </c>
      <c r="S102" s="13" t="s">
        <v>418</v>
      </c>
      <c r="U102" s="42" t="s">
        <v>417</v>
      </c>
      <c r="Y102" s="13" t="s">
        <v>250</v>
      </c>
      <c r="Z102" s="13" t="s">
        <v>416</v>
      </c>
      <c r="AA102" s="13" t="s">
        <v>251</v>
      </c>
      <c r="AB102" s="13">
        <v>0.15</v>
      </c>
      <c r="AC102" s="13">
        <v>0</v>
      </c>
      <c r="AD102" s="13">
        <v>20</v>
      </c>
      <c r="AE102" s="13">
        <v>1</v>
      </c>
      <c r="AF102" s="13" t="s">
        <v>1021</v>
      </c>
      <c r="AH102" s="13" t="s">
        <v>399</v>
      </c>
      <c r="AI102" s="13">
        <v>0</v>
      </c>
      <c r="AK102" s="13">
        <v>24528.997718783994</v>
      </c>
      <c r="AN102" s="163" t="s">
        <v>235</v>
      </c>
      <c r="AO102" s="163">
        <v>0</v>
      </c>
      <c r="AP102" s="163" t="s">
        <v>252</v>
      </c>
      <c r="AR102" s="13">
        <v>24528.997718783994</v>
      </c>
      <c r="AS102" s="13">
        <v>9474.4519374960018</v>
      </c>
      <c r="AT102" s="13">
        <v>258676.40003296576</v>
      </c>
      <c r="AU102" s="13">
        <v>1</v>
      </c>
      <c r="AV102" s="13">
        <v>1</v>
      </c>
      <c r="AW102" s="13">
        <v>0</v>
      </c>
      <c r="AX102" s="13">
        <v>0</v>
      </c>
      <c r="AY102" s="13">
        <v>0</v>
      </c>
      <c r="AZ102" s="13">
        <v>0</v>
      </c>
      <c r="BA102" s="13">
        <v>0</v>
      </c>
      <c r="BB102" s="13">
        <v>0</v>
      </c>
      <c r="BC102" s="13">
        <v>0</v>
      </c>
      <c r="BD102" s="13">
        <v>0</v>
      </c>
      <c r="BE102" s="13">
        <v>0</v>
      </c>
      <c r="BF102" s="13">
        <v>0</v>
      </c>
      <c r="BG102" s="13">
        <v>0</v>
      </c>
      <c r="BH102" s="13">
        <v>0</v>
      </c>
      <c r="BI102" s="13">
        <v>0</v>
      </c>
      <c r="BJ102" s="13">
        <v>0</v>
      </c>
      <c r="BK102" s="13">
        <v>0</v>
      </c>
      <c r="BL102" s="13">
        <v>0</v>
      </c>
      <c r="BM102" s="13">
        <v>0</v>
      </c>
      <c r="BN102" s="13">
        <v>0</v>
      </c>
      <c r="BO102" s="13">
        <v>0</v>
      </c>
      <c r="BP102" s="13">
        <v>1</v>
      </c>
      <c r="BQ102" s="13" t="s">
        <v>250</v>
      </c>
      <c r="BR102" s="13">
        <v>20</v>
      </c>
    </row>
    <row r="103" spans="1:70" s="13" customFormat="1" ht="14.25" x14ac:dyDescent="0.15">
      <c r="A103" s="164"/>
      <c r="B103" s="13" t="s">
        <v>1876</v>
      </c>
      <c r="C103" s="13" t="s">
        <v>937</v>
      </c>
      <c r="E103" s="13" t="s">
        <v>420</v>
      </c>
      <c r="G103" s="13">
        <v>1</v>
      </c>
      <c r="H103" s="13">
        <v>14</v>
      </c>
      <c r="I103" s="13" t="s">
        <v>400</v>
      </c>
      <c r="K103" s="13">
        <v>3</v>
      </c>
      <c r="L103" s="13">
        <v>1</v>
      </c>
      <c r="M103" s="13" t="s">
        <v>254</v>
      </c>
      <c r="N103" s="13" t="s">
        <v>396</v>
      </c>
      <c r="O103" s="13">
        <v>0</v>
      </c>
      <c r="P103" s="13" t="s">
        <v>1877</v>
      </c>
      <c r="Q103" s="13" t="s">
        <v>419</v>
      </c>
      <c r="S103" s="13" t="s">
        <v>418</v>
      </c>
      <c r="U103" s="42" t="s">
        <v>417</v>
      </c>
      <c r="Y103" s="13" t="s">
        <v>250</v>
      </c>
      <c r="Z103" s="13" t="s">
        <v>416</v>
      </c>
      <c r="AA103" s="13" t="s">
        <v>251</v>
      </c>
      <c r="AB103" s="13">
        <v>0.15</v>
      </c>
      <c r="AC103" s="13">
        <v>0</v>
      </c>
      <c r="AD103" s="13">
        <v>20</v>
      </c>
      <c r="AE103" s="13">
        <v>1</v>
      </c>
      <c r="AF103" s="13" t="s">
        <v>1021</v>
      </c>
      <c r="AH103" s="13" t="s">
        <v>399</v>
      </c>
      <c r="AI103" s="13">
        <v>0</v>
      </c>
      <c r="AK103" s="13">
        <v>24528.997718783994</v>
      </c>
      <c r="AN103" s="163" t="s">
        <v>235</v>
      </c>
      <c r="AO103" s="163">
        <v>0</v>
      </c>
      <c r="AP103" s="163" t="s">
        <v>252</v>
      </c>
      <c r="AR103" s="13">
        <v>24528.997718783994</v>
      </c>
      <c r="AS103" s="13">
        <v>9474.4519374960018</v>
      </c>
      <c r="AT103" s="13">
        <v>258676.40003296576</v>
      </c>
      <c r="AU103" s="13">
        <v>1</v>
      </c>
      <c r="AV103" s="13">
        <v>1</v>
      </c>
      <c r="AW103" s="13">
        <v>0</v>
      </c>
      <c r="AX103" s="13">
        <v>0</v>
      </c>
      <c r="AY103" s="13">
        <v>0</v>
      </c>
      <c r="AZ103" s="13">
        <v>0</v>
      </c>
      <c r="BA103" s="13">
        <v>0</v>
      </c>
      <c r="BB103" s="13">
        <v>0</v>
      </c>
      <c r="BC103" s="13">
        <v>0</v>
      </c>
      <c r="BD103" s="13">
        <v>0</v>
      </c>
      <c r="BE103" s="13">
        <v>0</v>
      </c>
      <c r="BF103" s="13">
        <v>0</v>
      </c>
      <c r="BG103" s="13">
        <v>0</v>
      </c>
      <c r="BH103" s="13">
        <v>0</v>
      </c>
      <c r="BI103" s="13">
        <v>0</v>
      </c>
      <c r="BJ103" s="13">
        <v>0</v>
      </c>
      <c r="BK103" s="13">
        <v>0</v>
      </c>
      <c r="BL103" s="13">
        <v>0</v>
      </c>
      <c r="BM103" s="13">
        <v>0</v>
      </c>
      <c r="BN103" s="13">
        <v>0</v>
      </c>
      <c r="BO103" s="13">
        <v>0</v>
      </c>
      <c r="BP103" s="13">
        <v>1</v>
      </c>
      <c r="BQ103" s="13" t="s">
        <v>250</v>
      </c>
      <c r="BR103" s="13">
        <v>20</v>
      </c>
    </row>
    <row r="104" spans="1:70" s="13" customFormat="1" ht="14.25" x14ac:dyDescent="0.15">
      <c r="A104" s="164"/>
      <c r="B104" s="13" t="s">
        <v>1878</v>
      </c>
      <c r="C104" s="13" t="s">
        <v>1037</v>
      </c>
      <c r="E104" s="13" t="s">
        <v>1038</v>
      </c>
      <c r="G104" s="13">
        <v>0</v>
      </c>
      <c r="H104" s="13">
        <v>13</v>
      </c>
      <c r="I104" s="13" t="s">
        <v>400</v>
      </c>
      <c r="K104" s="13">
        <v>3</v>
      </c>
      <c r="L104" s="13">
        <v>1</v>
      </c>
      <c r="M104" s="13" t="s">
        <v>254</v>
      </c>
      <c r="N104" s="13" t="s">
        <v>396</v>
      </c>
      <c r="O104" s="13">
        <v>0</v>
      </c>
      <c r="P104" s="13" t="s">
        <v>1879</v>
      </c>
      <c r="Q104" s="13" t="s">
        <v>1039</v>
      </c>
      <c r="S104" s="13" t="s">
        <v>1040</v>
      </c>
      <c r="U104" s="42" t="s">
        <v>1041</v>
      </c>
      <c r="Y104" s="13" t="s">
        <v>250</v>
      </c>
      <c r="Z104" s="13" t="s">
        <v>1042</v>
      </c>
      <c r="AA104" s="13" t="s">
        <v>251</v>
      </c>
      <c r="AB104" s="13">
        <v>0.15</v>
      </c>
      <c r="AC104" s="13">
        <v>30</v>
      </c>
      <c r="AD104" s="13">
        <v>20</v>
      </c>
      <c r="AE104" s="13">
        <v>1</v>
      </c>
      <c r="AF104" s="13" t="s">
        <v>1105</v>
      </c>
      <c r="AH104" s="13" t="s">
        <v>399</v>
      </c>
      <c r="AI104" s="13">
        <v>0</v>
      </c>
      <c r="AK104" s="13">
        <v>14180.826806171997</v>
      </c>
      <c r="AN104" s="163" t="s">
        <v>235</v>
      </c>
      <c r="AO104" s="163">
        <v>0</v>
      </c>
      <c r="AP104" s="163" t="s">
        <v>252</v>
      </c>
      <c r="AR104" s="13">
        <v>14180.826806171997</v>
      </c>
      <c r="AS104" s="13">
        <v>9474.4519374960018</v>
      </c>
      <c r="AT104" s="13">
        <v>167193.28294813639</v>
      </c>
      <c r="AU104" s="13">
        <v>1</v>
      </c>
      <c r="AV104" s="13">
        <v>1</v>
      </c>
      <c r="AW104" s="13">
        <v>0</v>
      </c>
      <c r="AX104" s="13">
        <v>0</v>
      </c>
      <c r="AY104" s="13">
        <v>0</v>
      </c>
      <c r="AZ104" s="13">
        <v>0</v>
      </c>
      <c r="BA104" s="13">
        <v>0</v>
      </c>
      <c r="BB104" s="13">
        <v>0</v>
      </c>
      <c r="BC104" s="13">
        <v>0</v>
      </c>
      <c r="BD104" s="13">
        <v>0</v>
      </c>
      <c r="BE104" s="13">
        <v>0</v>
      </c>
      <c r="BF104" s="13">
        <v>0</v>
      </c>
      <c r="BG104" s="13">
        <v>0</v>
      </c>
      <c r="BH104" s="13">
        <v>0</v>
      </c>
      <c r="BI104" s="13">
        <v>0</v>
      </c>
      <c r="BJ104" s="13">
        <v>0</v>
      </c>
      <c r="BK104" s="13">
        <v>0</v>
      </c>
      <c r="BL104" s="13">
        <v>0</v>
      </c>
      <c r="BM104" s="13">
        <v>0</v>
      </c>
      <c r="BN104" s="13">
        <v>0</v>
      </c>
      <c r="BO104" s="13">
        <v>0</v>
      </c>
      <c r="BP104" s="13">
        <v>1</v>
      </c>
      <c r="BQ104" s="13" t="s">
        <v>250</v>
      </c>
      <c r="BR104" s="13">
        <v>10</v>
      </c>
    </row>
    <row r="105" spans="1:70" s="13" customFormat="1" ht="14.25" x14ac:dyDescent="0.15">
      <c r="A105" s="164"/>
      <c r="B105" s="13" t="s">
        <v>1880</v>
      </c>
      <c r="C105" s="13" t="s">
        <v>881</v>
      </c>
      <c r="E105" s="13" t="s">
        <v>726</v>
      </c>
      <c r="G105" s="13">
        <v>0</v>
      </c>
      <c r="H105" s="13">
        <v>12</v>
      </c>
      <c r="I105" s="13" t="s">
        <v>400</v>
      </c>
      <c r="K105" s="13">
        <v>3</v>
      </c>
      <c r="L105" s="13">
        <v>1</v>
      </c>
      <c r="M105" s="13" t="s">
        <v>254</v>
      </c>
      <c r="N105" s="13" t="s">
        <v>396</v>
      </c>
      <c r="O105" s="13">
        <v>0</v>
      </c>
      <c r="P105" s="13" t="s">
        <v>1881</v>
      </c>
      <c r="Q105" s="13" t="s">
        <v>727</v>
      </c>
      <c r="S105" s="13" t="s">
        <v>728</v>
      </c>
      <c r="U105" s="42" t="s">
        <v>729</v>
      </c>
      <c r="Y105" s="13" t="s">
        <v>250</v>
      </c>
      <c r="Z105" s="13" t="s">
        <v>730</v>
      </c>
      <c r="AA105" s="13" t="s">
        <v>251</v>
      </c>
      <c r="AB105" s="13">
        <v>0.15</v>
      </c>
      <c r="AC105" s="13">
        <v>0</v>
      </c>
      <c r="AD105" s="13">
        <v>20</v>
      </c>
      <c r="AE105" s="13">
        <v>1</v>
      </c>
      <c r="AF105" s="13" t="s">
        <v>1009</v>
      </c>
      <c r="AH105" s="13" t="s">
        <v>399</v>
      </c>
      <c r="AI105" s="13">
        <v>0</v>
      </c>
      <c r="AK105" s="13">
        <v>12839.397243425998</v>
      </c>
      <c r="AN105" s="163" t="s">
        <v>235</v>
      </c>
      <c r="AO105" s="163">
        <v>0</v>
      </c>
      <c r="AP105" s="163" t="s">
        <v>252</v>
      </c>
      <c r="AR105" s="13">
        <v>12839.397243425998</v>
      </c>
      <c r="AS105" s="13">
        <v>9474.4519374960018</v>
      </c>
      <c r="AT105" s="13">
        <v>157203.74717450561</v>
      </c>
      <c r="AU105" s="13">
        <v>1</v>
      </c>
      <c r="AV105" s="13">
        <v>1</v>
      </c>
      <c r="AW105" s="13">
        <v>0</v>
      </c>
      <c r="AX105" s="13">
        <v>0</v>
      </c>
      <c r="AY105" s="13">
        <v>0</v>
      </c>
      <c r="AZ105" s="13">
        <v>0</v>
      </c>
      <c r="BA105" s="13">
        <v>0</v>
      </c>
      <c r="BB105" s="13">
        <v>0</v>
      </c>
      <c r="BC105" s="13">
        <v>0</v>
      </c>
      <c r="BD105" s="13">
        <v>0</v>
      </c>
      <c r="BE105" s="13">
        <v>0</v>
      </c>
      <c r="BF105" s="13">
        <v>0</v>
      </c>
      <c r="BG105" s="13">
        <v>0</v>
      </c>
      <c r="BH105" s="13">
        <v>0</v>
      </c>
      <c r="BI105" s="13">
        <v>0</v>
      </c>
      <c r="BJ105" s="13">
        <v>0</v>
      </c>
      <c r="BK105" s="13">
        <v>0</v>
      </c>
      <c r="BL105" s="13">
        <v>0</v>
      </c>
      <c r="BM105" s="13">
        <v>0</v>
      </c>
      <c r="BN105" s="13">
        <v>0</v>
      </c>
      <c r="BO105" s="13">
        <v>0</v>
      </c>
      <c r="BP105" s="13">
        <v>1</v>
      </c>
      <c r="BQ105" s="13" t="s">
        <v>250</v>
      </c>
      <c r="BR105" s="13">
        <v>8</v>
      </c>
    </row>
    <row r="106" spans="1:70" s="13" customFormat="1" ht="14.25" x14ac:dyDescent="0.15">
      <c r="A106" s="164"/>
      <c r="B106" s="13" t="s">
        <v>1882</v>
      </c>
      <c r="C106" s="13" t="s">
        <v>1037</v>
      </c>
      <c r="E106" s="13" t="s">
        <v>1038</v>
      </c>
      <c r="G106" s="13">
        <v>0</v>
      </c>
      <c r="H106" s="13">
        <v>13</v>
      </c>
      <c r="I106" s="13" t="s">
        <v>400</v>
      </c>
      <c r="K106" s="13">
        <v>3</v>
      </c>
      <c r="L106" s="13">
        <v>1</v>
      </c>
      <c r="M106" s="13" t="s">
        <v>254</v>
      </c>
      <c r="N106" s="13" t="s">
        <v>396</v>
      </c>
      <c r="O106" s="13">
        <v>0</v>
      </c>
      <c r="P106" s="13" t="s">
        <v>1883</v>
      </c>
      <c r="Q106" s="13" t="s">
        <v>1039</v>
      </c>
      <c r="S106" s="13" t="s">
        <v>1040</v>
      </c>
      <c r="U106" s="42" t="s">
        <v>1041</v>
      </c>
      <c r="Y106" s="13" t="s">
        <v>250</v>
      </c>
      <c r="Z106" s="13" t="s">
        <v>1042</v>
      </c>
      <c r="AA106" s="13" t="s">
        <v>251</v>
      </c>
      <c r="AB106" s="13">
        <v>0.15</v>
      </c>
      <c r="AC106" s="13">
        <v>0</v>
      </c>
      <c r="AD106" s="13">
        <v>20</v>
      </c>
      <c r="AE106" s="13">
        <v>1</v>
      </c>
      <c r="AF106" s="13" t="s">
        <v>1105</v>
      </c>
      <c r="AH106" s="13" t="s">
        <v>399</v>
      </c>
      <c r="AI106" s="13">
        <v>0</v>
      </c>
      <c r="AK106" s="13">
        <v>14180.826806171997</v>
      </c>
      <c r="AN106" s="163" t="s">
        <v>235</v>
      </c>
      <c r="AO106" s="163">
        <v>0</v>
      </c>
      <c r="AP106" s="163" t="s">
        <v>252</v>
      </c>
      <c r="AR106" s="13">
        <v>14180.826806171997</v>
      </c>
      <c r="AS106" s="13">
        <v>9474.4519374960018</v>
      </c>
      <c r="AT106" s="13">
        <v>167193.28294813639</v>
      </c>
      <c r="AU106" s="13">
        <v>1</v>
      </c>
      <c r="AV106" s="13">
        <v>1</v>
      </c>
      <c r="AW106" s="13">
        <v>0</v>
      </c>
      <c r="AX106" s="13">
        <v>0</v>
      </c>
      <c r="AY106" s="13">
        <v>0</v>
      </c>
      <c r="AZ106" s="13">
        <v>0</v>
      </c>
      <c r="BA106" s="13">
        <v>0</v>
      </c>
      <c r="BB106" s="13">
        <v>0</v>
      </c>
      <c r="BC106" s="13">
        <v>0</v>
      </c>
      <c r="BD106" s="13">
        <v>0</v>
      </c>
      <c r="BE106" s="13">
        <v>0</v>
      </c>
      <c r="BF106" s="13">
        <v>0</v>
      </c>
      <c r="BG106" s="13">
        <v>0</v>
      </c>
      <c r="BH106" s="13">
        <v>0</v>
      </c>
      <c r="BI106" s="13">
        <v>0</v>
      </c>
      <c r="BJ106" s="13">
        <v>0</v>
      </c>
      <c r="BK106" s="13">
        <v>0</v>
      </c>
      <c r="BL106" s="13">
        <v>0</v>
      </c>
      <c r="BM106" s="13">
        <v>0</v>
      </c>
      <c r="BN106" s="13">
        <v>0</v>
      </c>
      <c r="BO106" s="13">
        <v>0</v>
      </c>
      <c r="BP106" s="13">
        <v>1</v>
      </c>
      <c r="BQ106" s="13" t="s">
        <v>250</v>
      </c>
      <c r="BR106" s="13">
        <v>10</v>
      </c>
    </row>
    <row r="107" spans="1:70" s="13" customFormat="1" ht="14.25" x14ac:dyDescent="0.15">
      <c r="A107" s="164"/>
      <c r="B107" s="13" t="s">
        <v>2482</v>
      </c>
      <c r="C107" s="13" t="s">
        <v>882</v>
      </c>
      <c r="E107" s="13" t="s">
        <v>883</v>
      </c>
      <c r="G107" s="13">
        <v>1</v>
      </c>
      <c r="H107" s="13">
        <v>14</v>
      </c>
      <c r="I107" s="13" t="s">
        <v>400</v>
      </c>
      <c r="K107" s="13">
        <v>3</v>
      </c>
      <c r="L107" s="13">
        <v>1</v>
      </c>
      <c r="M107" s="13" t="s">
        <v>254</v>
      </c>
      <c r="N107" s="13" t="s">
        <v>396</v>
      </c>
      <c r="O107" s="13">
        <v>0</v>
      </c>
      <c r="P107" s="13" t="s">
        <v>2483</v>
      </c>
      <c r="Q107" s="13" t="s">
        <v>884</v>
      </c>
      <c r="S107" s="13" t="s">
        <v>885</v>
      </c>
      <c r="U107" s="42" t="s">
        <v>886</v>
      </c>
      <c r="Y107" s="13" t="s">
        <v>250</v>
      </c>
      <c r="Z107" s="13" t="s">
        <v>887</v>
      </c>
      <c r="AA107" s="13" t="s">
        <v>251</v>
      </c>
      <c r="AB107" s="13">
        <v>0.15</v>
      </c>
      <c r="AC107" s="13">
        <v>30</v>
      </c>
      <c r="AD107" s="13">
        <v>20</v>
      </c>
      <c r="AE107" s="13">
        <v>1</v>
      </c>
      <c r="AF107" s="13" t="s">
        <v>1010</v>
      </c>
      <c r="AH107" s="13" t="s">
        <v>399</v>
      </c>
      <c r="AI107" s="13">
        <v>0</v>
      </c>
      <c r="AK107" s="13">
        <v>20313.076235867997</v>
      </c>
      <c r="AN107" s="163" t="s">
        <v>235</v>
      </c>
      <c r="AO107" s="163">
        <v>0</v>
      </c>
      <c r="AP107" s="163" t="s">
        <v>252</v>
      </c>
      <c r="AR107" s="13">
        <v>20313.076235867997</v>
      </c>
      <c r="AS107" s="13">
        <v>9474.4519374960018</v>
      </c>
      <c r="AT107" s="13">
        <v>219769.78701987737</v>
      </c>
      <c r="AU107" s="13">
        <v>1</v>
      </c>
      <c r="AV107" s="13">
        <v>1</v>
      </c>
      <c r="AW107" s="13">
        <v>0</v>
      </c>
      <c r="AX107" s="13">
        <v>0</v>
      </c>
      <c r="AY107" s="13">
        <v>0</v>
      </c>
      <c r="AZ107" s="13">
        <v>0</v>
      </c>
      <c r="BA107" s="13">
        <v>0</v>
      </c>
      <c r="BB107" s="13">
        <v>0</v>
      </c>
      <c r="BC107" s="13">
        <v>0</v>
      </c>
      <c r="BD107" s="13">
        <v>0</v>
      </c>
      <c r="BE107" s="13">
        <v>0</v>
      </c>
      <c r="BF107" s="13">
        <v>0</v>
      </c>
      <c r="BG107" s="13">
        <v>0</v>
      </c>
      <c r="BH107" s="13">
        <v>0</v>
      </c>
      <c r="BI107" s="13">
        <v>0</v>
      </c>
      <c r="BJ107" s="13">
        <v>0</v>
      </c>
      <c r="BK107" s="13">
        <v>0</v>
      </c>
      <c r="BL107" s="13">
        <v>0</v>
      </c>
      <c r="BM107" s="13">
        <v>0</v>
      </c>
      <c r="BN107" s="13">
        <v>0</v>
      </c>
      <c r="BO107" s="13">
        <v>0</v>
      </c>
      <c r="BP107" s="13">
        <v>1</v>
      </c>
      <c r="BQ107" s="13" t="s">
        <v>250</v>
      </c>
      <c r="BR107" s="13">
        <v>16</v>
      </c>
    </row>
    <row r="108" spans="1:70" s="13" customFormat="1" ht="14.25" x14ac:dyDescent="0.15">
      <c r="A108" s="164"/>
      <c r="B108" s="13" t="s">
        <v>2484</v>
      </c>
      <c r="C108" s="13" t="s">
        <v>938</v>
      </c>
      <c r="E108" s="13" t="s">
        <v>939</v>
      </c>
      <c r="G108" s="13">
        <v>0</v>
      </c>
      <c r="H108" s="13">
        <v>14</v>
      </c>
      <c r="I108" s="13" t="s">
        <v>400</v>
      </c>
      <c r="K108" s="13">
        <v>3</v>
      </c>
      <c r="L108" s="13">
        <v>1</v>
      </c>
      <c r="M108" s="13" t="s">
        <v>254</v>
      </c>
      <c r="N108" s="13" t="s">
        <v>396</v>
      </c>
      <c r="O108" s="13">
        <v>0</v>
      </c>
      <c r="P108" s="13" t="s">
        <v>2485</v>
      </c>
      <c r="Q108" s="13" t="s">
        <v>940</v>
      </c>
      <c r="S108" s="13" t="s">
        <v>941</v>
      </c>
      <c r="U108" s="42" t="s">
        <v>942</v>
      </c>
      <c r="Y108" s="13" t="s">
        <v>250</v>
      </c>
      <c r="Z108" s="13" t="s">
        <v>943</v>
      </c>
      <c r="AA108" s="13" t="s">
        <v>251</v>
      </c>
      <c r="AB108" s="13">
        <v>0.15</v>
      </c>
      <c r="AC108" s="13">
        <v>0</v>
      </c>
      <c r="AD108" s="13">
        <v>20</v>
      </c>
      <c r="AE108" s="13">
        <v>1</v>
      </c>
      <c r="AF108" s="13" t="s">
        <v>1022</v>
      </c>
      <c r="AH108" s="13" t="s">
        <v>399</v>
      </c>
      <c r="AI108" s="13">
        <v>0</v>
      </c>
      <c r="AK108" s="13">
        <v>19163.279467799995</v>
      </c>
      <c r="AN108" s="163" t="s">
        <v>235</v>
      </c>
      <c r="AO108" s="163">
        <v>0</v>
      </c>
      <c r="AP108" s="163" t="s">
        <v>252</v>
      </c>
      <c r="AR108" s="13">
        <v>19163.279467799995</v>
      </c>
      <c r="AS108" s="13">
        <v>9474.4519374960018</v>
      </c>
      <c r="AT108" s="13">
        <v>210306.01628696403</v>
      </c>
      <c r="AU108" s="13">
        <v>1</v>
      </c>
      <c r="AV108" s="13">
        <v>1</v>
      </c>
      <c r="AW108" s="13">
        <v>0</v>
      </c>
      <c r="AX108" s="13">
        <v>0</v>
      </c>
      <c r="AY108" s="13">
        <v>0</v>
      </c>
      <c r="AZ108" s="13">
        <v>0</v>
      </c>
      <c r="BA108" s="13">
        <v>0</v>
      </c>
      <c r="BB108" s="13">
        <v>0</v>
      </c>
      <c r="BC108" s="13">
        <v>0</v>
      </c>
      <c r="BD108" s="13">
        <v>0</v>
      </c>
      <c r="BE108" s="13">
        <v>0</v>
      </c>
      <c r="BF108" s="13">
        <v>0</v>
      </c>
      <c r="BG108" s="13">
        <v>0</v>
      </c>
      <c r="BH108" s="13">
        <v>0</v>
      </c>
      <c r="BI108" s="13">
        <v>0</v>
      </c>
      <c r="BJ108" s="13">
        <v>0</v>
      </c>
      <c r="BK108" s="13">
        <v>0</v>
      </c>
      <c r="BL108" s="13">
        <v>0</v>
      </c>
      <c r="BM108" s="13">
        <v>0</v>
      </c>
      <c r="BN108" s="13">
        <v>0</v>
      </c>
      <c r="BO108" s="13">
        <v>0</v>
      </c>
      <c r="BP108" s="13">
        <v>1</v>
      </c>
      <c r="BQ108" s="13" t="s">
        <v>250</v>
      </c>
      <c r="BR108" s="13">
        <v>15</v>
      </c>
    </row>
    <row r="109" spans="1:70" s="13" customFormat="1" ht="14.25" x14ac:dyDescent="0.15">
      <c r="A109" s="164"/>
      <c r="B109" s="13" t="s">
        <v>2486</v>
      </c>
      <c r="C109" s="11" t="s">
        <v>882</v>
      </c>
      <c r="E109" s="13" t="s">
        <v>883</v>
      </c>
      <c r="G109" s="13">
        <v>1</v>
      </c>
      <c r="H109" s="13">
        <v>14</v>
      </c>
      <c r="I109" s="13" t="s">
        <v>400</v>
      </c>
      <c r="K109" s="13">
        <v>3</v>
      </c>
      <c r="L109" s="13">
        <v>1</v>
      </c>
      <c r="M109" s="13" t="s">
        <v>254</v>
      </c>
      <c r="N109" s="13" t="s">
        <v>396</v>
      </c>
      <c r="O109" s="13">
        <v>0</v>
      </c>
      <c r="P109" s="13" t="s">
        <v>2487</v>
      </c>
      <c r="Q109" s="13" t="s">
        <v>884</v>
      </c>
      <c r="S109" s="13" t="s">
        <v>885</v>
      </c>
      <c r="U109" s="42" t="s">
        <v>886</v>
      </c>
      <c r="Y109" s="13" t="s">
        <v>250</v>
      </c>
      <c r="Z109" s="13" t="s">
        <v>887</v>
      </c>
      <c r="AA109" s="13" t="s">
        <v>251</v>
      </c>
      <c r="AB109" s="13">
        <v>0.15</v>
      </c>
      <c r="AC109" s="13">
        <v>0</v>
      </c>
      <c r="AD109" s="13">
        <v>20</v>
      </c>
      <c r="AE109" s="13">
        <v>1</v>
      </c>
      <c r="AF109" s="13" t="s">
        <v>1010</v>
      </c>
      <c r="AH109" s="13" t="s">
        <v>399</v>
      </c>
      <c r="AI109" s="13">
        <v>0</v>
      </c>
      <c r="AK109" s="13">
        <v>20313.076235867997</v>
      </c>
      <c r="AN109" s="163" t="s">
        <v>235</v>
      </c>
      <c r="AO109" s="163">
        <v>0</v>
      </c>
      <c r="AP109" s="163" t="s">
        <v>252</v>
      </c>
      <c r="AR109" s="13">
        <v>20313.076235867997</v>
      </c>
      <c r="AS109" s="13">
        <v>9474.4519374960018</v>
      </c>
      <c r="AT109" s="13">
        <v>219769.78701987737</v>
      </c>
      <c r="AU109" s="13">
        <v>1</v>
      </c>
      <c r="AV109" s="13">
        <v>1</v>
      </c>
      <c r="AW109" s="13">
        <v>0</v>
      </c>
      <c r="AX109" s="13">
        <v>0</v>
      </c>
      <c r="AY109" s="13">
        <v>0</v>
      </c>
      <c r="AZ109" s="13">
        <v>0</v>
      </c>
      <c r="BA109" s="13">
        <v>0</v>
      </c>
      <c r="BB109" s="13">
        <v>0</v>
      </c>
      <c r="BC109" s="13">
        <v>0</v>
      </c>
      <c r="BD109" s="13">
        <v>0</v>
      </c>
      <c r="BE109" s="13">
        <v>0</v>
      </c>
      <c r="BF109" s="13">
        <v>0</v>
      </c>
      <c r="BG109" s="13">
        <v>0</v>
      </c>
      <c r="BH109" s="13">
        <v>0</v>
      </c>
      <c r="BI109" s="13">
        <v>0</v>
      </c>
      <c r="BJ109" s="13">
        <v>0</v>
      </c>
      <c r="BK109" s="13">
        <v>0</v>
      </c>
      <c r="BL109" s="13">
        <v>0</v>
      </c>
      <c r="BM109" s="13">
        <v>0</v>
      </c>
      <c r="BN109" s="13">
        <v>0</v>
      </c>
      <c r="BO109" s="13">
        <v>0</v>
      </c>
      <c r="BP109" s="13">
        <v>1</v>
      </c>
      <c r="BQ109" s="13" t="s">
        <v>250</v>
      </c>
      <c r="BR109" s="13">
        <v>16</v>
      </c>
    </row>
    <row r="110" spans="1:70" s="13" customFormat="1" ht="14.25" x14ac:dyDescent="0.15">
      <c r="A110" s="164"/>
      <c r="B110" s="13" t="s">
        <v>2488</v>
      </c>
      <c r="C110" s="13" t="s">
        <v>2250</v>
      </c>
      <c r="E110" s="13" t="s">
        <v>2251</v>
      </c>
      <c r="G110" s="13">
        <v>1</v>
      </c>
      <c r="H110" s="13">
        <v>13</v>
      </c>
      <c r="I110" s="13" t="s">
        <v>296</v>
      </c>
      <c r="K110" s="13">
        <v>3</v>
      </c>
      <c r="L110" s="13">
        <v>1</v>
      </c>
      <c r="M110" s="13" t="s">
        <v>254</v>
      </c>
      <c r="N110" s="13" t="s">
        <v>396</v>
      </c>
      <c r="O110" s="13">
        <v>0</v>
      </c>
      <c r="P110" s="13" t="s">
        <v>2489</v>
      </c>
      <c r="Q110" s="13" t="s">
        <v>2252</v>
      </c>
      <c r="S110" s="13" t="s">
        <v>2301</v>
      </c>
      <c r="U110" s="42" t="s">
        <v>2253</v>
      </c>
      <c r="Y110" s="13" t="s">
        <v>250</v>
      </c>
      <c r="Z110" s="13" t="s">
        <v>2254</v>
      </c>
      <c r="AA110" s="13" t="s">
        <v>251</v>
      </c>
      <c r="AB110" s="13">
        <v>0.15</v>
      </c>
      <c r="AC110" s="13">
        <v>0</v>
      </c>
      <c r="AD110" s="13">
        <v>20</v>
      </c>
      <c r="AE110" s="13">
        <v>1</v>
      </c>
      <c r="AF110" s="13" t="s">
        <v>2907</v>
      </c>
      <c r="AH110" s="13" t="s">
        <v>3171</v>
      </c>
      <c r="AI110" s="13">
        <v>0</v>
      </c>
      <c r="AK110" s="13">
        <v>20543.035589481598</v>
      </c>
      <c r="AN110" s="163" t="s">
        <v>235</v>
      </c>
      <c r="AO110" s="163">
        <v>0</v>
      </c>
      <c r="AP110" s="163" t="s">
        <v>252</v>
      </c>
      <c r="AR110" s="13">
        <v>20543.035589481598</v>
      </c>
      <c r="AS110" s="13">
        <v>6583.9411769040007</v>
      </c>
      <c r="AT110" s="13">
        <v>52772.889122410867</v>
      </c>
      <c r="AU110" s="13">
        <v>1</v>
      </c>
      <c r="AV110" s="13">
        <v>1</v>
      </c>
      <c r="AW110" s="13">
        <v>0</v>
      </c>
      <c r="AX110" s="13">
        <v>0</v>
      </c>
      <c r="AY110" s="13">
        <v>0</v>
      </c>
      <c r="AZ110" s="13">
        <v>0</v>
      </c>
      <c r="BA110" s="13">
        <v>0</v>
      </c>
      <c r="BB110" s="13">
        <v>0</v>
      </c>
      <c r="BC110" s="13">
        <v>0</v>
      </c>
      <c r="BD110" s="13">
        <v>0</v>
      </c>
      <c r="BE110" s="13">
        <v>0</v>
      </c>
      <c r="BF110" s="13">
        <v>0</v>
      </c>
      <c r="BG110" s="13">
        <v>0</v>
      </c>
      <c r="BH110" s="13">
        <v>0</v>
      </c>
      <c r="BI110" s="13">
        <v>0</v>
      </c>
      <c r="BJ110" s="13">
        <v>0</v>
      </c>
      <c r="BK110" s="13">
        <v>0</v>
      </c>
      <c r="BL110" s="13">
        <v>0</v>
      </c>
      <c r="BM110" s="13">
        <v>0</v>
      </c>
      <c r="BN110" s="13">
        <v>0</v>
      </c>
      <c r="BO110" s="13">
        <v>0</v>
      </c>
      <c r="BP110" s="13">
        <v>1</v>
      </c>
      <c r="BQ110" s="13" t="s">
        <v>250</v>
      </c>
      <c r="BR110" s="13">
        <v>8</v>
      </c>
    </row>
    <row r="111" spans="1:70" s="13" customFormat="1" ht="14.25" x14ac:dyDescent="0.15">
      <c r="A111" s="164"/>
      <c r="B111" s="13" t="s">
        <v>1884</v>
      </c>
      <c r="C111" s="11" t="s">
        <v>931</v>
      </c>
      <c r="E111" s="13" t="s">
        <v>932</v>
      </c>
      <c r="G111" s="13">
        <v>0</v>
      </c>
      <c r="H111" s="13">
        <v>12</v>
      </c>
      <c r="I111" s="13" t="s">
        <v>296</v>
      </c>
      <c r="K111" s="13">
        <v>3</v>
      </c>
      <c r="L111" s="13">
        <v>1</v>
      </c>
      <c r="M111" s="13" t="s">
        <v>254</v>
      </c>
      <c r="N111" s="13" t="s">
        <v>396</v>
      </c>
      <c r="O111" s="13">
        <v>0</v>
      </c>
      <c r="P111" s="13" t="s">
        <v>1885</v>
      </c>
      <c r="Q111" s="13" t="s">
        <v>933</v>
      </c>
      <c r="S111" s="13" t="s">
        <v>934</v>
      </c>
      <c r="U111" s="42" t="s">
        <v>935</v>
      </c>
      <c r="Y111" s="13" t="s">
        <v>250</v>
      </c>
      <c r="Z111" s="13" t="s">
        <v>936</v>
      </c>
      <c r="AA111" s="13" t="s">
        <v>251</v>
      </c>
      <c r="AB111" s="13">
        <v>0.15</v>
      </c>
      <c r="AC111" s="13">
        <v>0</v>
      </c>
      <c r="AD111" s="13">
        <v>20</v>
      </c>
      <c r="AE111" s="13">
        <v>1</v>
      </c>
      <c r="AF111" s="13" t="s">
        <v>1020</v>
      </c>
      <c r="AH111" s="13" t="s">
        <v>399</v>
      </c>
      <c r="AI111" s="13">
        <v>800</v>
      </c>
      <c r="AK111" s="13">
        <v>29128.184791055995</v>
      </c>
      <c r="AN111" s="163" t="s">
        <v>235</v>
      </c>
      <c r="AO111" s="163">
        <v>0</v>
      </c>
      <c r="AP111" s="163" t="s">
        <v>252</v>
      </c>
      <c r="AR111" s="13">
        <v>29128.184791055995</v>
      </c>
      <c r="AS111" s="13">
        <v>6583.9411769040007</v>
      </c>
      <c r="AT111" s="13">
        <v>67422.21954769548</v>
      </c>
      <c r="AU111" s="13">
        <v>1</v>
      </c>
      <c r="AV111" s="13">
        <v>1</v>
      </c>
      <c r="AW111" s="13">
        <v>0</v>
      </c>
      <c r="AX111" s="13">
        <v>0</v>
      </c>
      <c r="AY111" s="13">
        <v>0</v>
      </c>
      <c r="AZ111" s="13">
        <v>0</v>
      </c>
      <c r="BA111" s="13">
        <v>0</v>
      </c>
      <c r="BB111" s="13">
        <v>0</v>
      </c>
      <c r="BC111" s="13">
        <v>0</v>
      </c>
      <c r="BD111" s="13">
        <v>0</v>
      </c>
      <c r="BE111" s="13">
        <v>0</v>
      </c>
      <c r="BF111" s="13">
        <v>0</v>
      </c>
      <c r="BG111" s="13">
        <v>0</v>
      </c>
      <c r="BH111" s="13">
        <v>0</v>
      </c>
      <c r="BI111" s="13">
        <v>0</v>
      </c>
      <c r="BJ111" s="13">
        <v>0</v>
      </c>
      <c r="BK111" s="13">
        <v>0</v>
      </c>
      <c r="BL111" s="13">
        <v>0</v>
      </c>
      <c r="BM111" s="13">
        <v>0</v>
      </c>
      <c r="BN111" s="13">
        <v>0</v>
      </c>
      <c r="BO111" s="13">
        <v>0</v>
      </c>
      <c r="BP111" s="13">
        <v>1</v>
      </c>
      <c r="BQ111" s="13" t="s">
        <v>250</v>
      </c>
      <c r="BR111" s="13">
        <v>14</v>
      </c>
    </row>
    <row r="112" spans="1:70" s="13" customFormat="1" ht="14.25" x14ac:dyDescent="0.15">
      <c r="A112" s="164"/>
      <c r="B112" s="13" t="s">
        <v>1886</v>
      </c>
      <c r="C112" s="13" t="s">
        <v>1037</v>
      </c>
      <c r="E112" s="13" t="s">
        <v>1038</v>
      </c>
      <c r="G112" s="13">
        <v>0</v>
      </c>
      <c r="H112" s="13">
        <v>13</v>
      </c>
      <c r="I112" s="13" t="s">
        <v>400</v>
      </c>
      <c r="K112" s="13">
        <v>3</v>
      </c>
      <c r="L112" s="13">
        <v>1</v>
      </c>
      <c r="M112" s="13" t="s">
        <v>254</v>
      </c>
      <c r="N112" s="13" t="s">
        <v>396</v>
      </c>
      <c r="O112" s="13">
        <v>0</v>
      </c>
      <c r="P112" s="13" t="s">
        <v>1887</v>
      </c>
      <c r="Q112" s="13" t="s">
        <v>1039</v>
      </c>
      <c r="S112" s="13" t="s">
        <v>1040</v>
      </c>
      <c r="U112" s="42" t="s">
        <v>1041</v>
      </c>
      <c r="Y112" s="13" t="s">
        <v>250</v>
      </c>
      <c r="Z112" s="13" t="s">
        <v>1042</v>
      </c>
      <c r="AA112" s="13" t="s">
        <v>251</v>
      </c>
      <c r="AB112" s="13">
        <v>0.15</v>
      </c>
      <c r="AC112" s="13">
        <v>0</v>
      </c>
      <c r="AD112" s="13">
        <v>20</v>
      </c>
      <c r="AE112" s="13">
        <v>1</v>
      </c>
      <c r="AF112" s="13" t="s">
        <v>1105</v>
      </c>
      <c r="AH112" s="13" t="s">
        <v>399</v>
      </c>
      <c r="AI112" s="13">
        <v>0</v>
      </c>
      <c r="AK112" s="13">
        <v>14180.826806171997</v>
      </c>
      <c r="AN112" s="163" t="s">
        <v>235</v>
      </c>
      <c r="AO112" s="163">
        <v>0</v>
      </c>
      <c r="AP112" s="163" t="s">
        <v>252</v>
      </c>
      <c r="AR112" s="13">
        <v>14180.826806171997</v>
      </c>
      <c r="AS112" s="13">
        <v>9474.4519374960018</v>
      </c>
      <c r="AT112" s="13">
        <v>111462.18863209093</v>
      </c>
      <c r="AU112" s="13">
        <v>1</v>
      </c>
      <c r="AV112" s="13">
        <v>1</v>
      </c>
      <c r="AW112" s="13">
        <v>0</v>
      </c>
      <c r="AX112" s="13">
        <v>0</v>
      </c>
      <c r="AY112" s="13">
        <v>0</v>
      </c>
      <c r="AZ112" s="13">
        <v>0</v>
      </c>
      <c r="BA112" s="13">
        <v>0</v>
      </c>
      <c r="BB112" s="13">
        <v>0</v>
      </c>
      <c r="BC112" s="13">
        <v>0</v>
      </c>
      <c r="BD112" s="13">
        <v>0</v>
      </c>
      <c r="BE112" s="13">
        <v>0</v>
      </c>
      <c r="BF112" s="13">
        <v>0</v>
      </c>
      <c r="BG112" s="13">
        <v>0</v>
      </c>
      <c r="BH112" s="13">
        <v>0</v>
      </c>
      <c r="BI112" s="13">
        <v>0</v>
      </c>
      <c r="BJ112" s="13">
        <v>0</v>
      </c>
      <c r="BK112" s="13">
        <v>0</v>
      </c>
      <c r="BL112" s="13">
        <v>0</v>
      </c>
      <c r="BM112" s="13">
        <v>0</v>
      </c>
      <c r="BN112" s="13">
        <v>0</v>
      </c>
      <c r="BO112" s="13">
        <v>0</v>
      </c>
      <c r="BP112" s="13">
        <v>1</v>
      </c>
      <c r="BQ112" s="13" t="s">
        <v>250</v>
      </c>
      <c r="BR112" s="13">
        <v>10</v>
      </c>
    </row>
    <row r="113" spans="1:70" s="13" customFormat="1" ht="14.25" x14ac:dyDescent="0.15">
      <c r="A113" s="164"/>
      <c r="B113" s="13" t="s">
        <v>1888</v>
      </c>
      <c r="C113" s="13" t="s">
        <v>931</v>
      </c>
      <c r="E113" s="13" t="s">
        <v>932</v>
      </c>
      <c r="G113" s="13">
        <v>0</v>
      </c>
      <c r="H113" s="13">
        <v>12</v>
      </c>
      <c r="I113" s="13" t="s">
        <v>296</v>
      </c>
      <c r="K113" s="13">
        <v>3</v>
      </c>
      <c r="L113" s="13">
        <v>1</v>
      </c>
      <c r="M113" s="13" t="s">
        <v>254</v>
      </c>
      <c r="N113" s="13" t="s">
        <v>396</v>
      </c>
      <c r="O113" s="13">
        <v>0</v>
      </c>
      <c r="P113" s="13" t="s">
        <v>1889</v>
      </c>
      <c r="Q113" s="13" t="s">
        <v>933</v>
      </c>
      <c r="S113" s="13" t="s">
        <v>934</v>
      </c>
      <c r="U113" s="42" t="s">
        <v>935</v>
      </c>
      <c r="Y113" s="13" t="s">
        <v>250</v>
      </c>
      <c r="Z113" s="13" t="s">
        <v>936</v>
      </c>
      <c r="AA113" s="13" t="s">
        <v>251</v>
      </c>
      <c r="AB113" s="13">
        <v>0.15</v>
      </c>
      <c r="AC113" s="13">
        <v>0</v>
      </c>
      <c r="AD113" s="13">
        <v>20</v>
      </c>
      <c r="AE113" s="13">
        <v>1</v>
      </c>
      <c r="AF113" s="13" t="s">
        <v>1020</v>
      </c>
      <c r="AH113" s="13" t="s">
        <v>399</v>
      </c>
      <c r="AI113" s="13">
        <v>300</v>
      </c>
      <c r="AK113" s="13">
        <v>29128.184791055995</v>
      </c>
      <c r="AN113" s="163" t="s">
        <v>235</v>
      </c>
      <c r="AO113" s="163">
        <v>0</v>
      </c>
      <c r="AP113" s="163" t="s">
        <v>252</v>
      </c>
      <c r="AR113" s="13">
        <v>29128.184791055995</v>
      </c>
      <c r="AS113" s="13">
        <v>6583.9411769040007</v>
      </c>
      <c r="AT113" s="13">
        <v>67422.21954769548</v>
      </c>
      <c r="AU113" s="13">
        <v>1</v>
      </c>
      <c r="AV113" s="13">
        <v>1</v>
      </c>
      <c r="AW113" s="13">
        <v>0</v>
      </c>
      <c r="AX113" s="13">
        <v>0</v>
      </c>
      <c r="AY113" s="13">
        <v>0</v>
      </c>
      <c r="AZ113" s="13">
        <v>0</v>
      </c>
      <c r="BA113" s="13">
        <v>0</v>
      </c>
      <c r="BB113" s="13">
        <v>0</v>
      </c>
      <c r="BC113" s="13">
        <v>0</v>
      </c>
      <c r="BD113" s="13">
        <v>0</v>
      </c>
      <c r="BE113" s="13">
        <v>0</v>
      </c>
      <c r="BF113" s="13">
        <v>0</v>
      </c>
      <c r="BG113" s="13">
        <v>0</v>
      </c>
      <c r="BH113" s="13">
        <v>0</v>
      </c>
      <c r="BI113" s="13">
        <v>0</v>
      </c>
      <c r="BJ113" s="13">
        <v>0</v>
      </c>
      <c r="BK113" s="13">
        <v>0</v>
      </c>
      <c r="BL113" s="13">
        <v>0</v>
      </c>
      <c r="BM113" s="13">
        <v>0</v>
      </c>
      <c r="BN113" s="13">
        <v>0</v>
      </c>
      <c r="BO113" s="13">
        <v>0</v>
      </c>
      <c r="BP113" s="13">
        <v>1</v>
      </c>
      <c r="BQ113" s="13" t="s">
        <v>250</v>
      </c>
      <c r="BR113" s="13">
        <v>14</v>
      </c>
    </row>
    <row r="114" spans="1:70" s="13" customFormat="1" ht="14.25" x14ac:dyDescent="0.15">
      <c r="A114" s="164"/>
      <c r="B114" s="13" t="s">
        <v>1890</v>
      </c>
      <c r="C114" s="11" t="s">
        <v>868</v>
      </c>
      <c r="E114" s="13" t="s">
        <v>869</v>
      </c>
      <c r="G114" s="13">
        <v>0</v>
      </c>
      <c r="H114" s="13">
        <v>12</v>
      </c>
      <c r="I114" s="13" t="s">
        <v>401</v>
      </c>
      <c r="K114" s="13">
        <v>3</v>
      </c>
      <c r="L114" s="13">
        <v>1</v>
      </c>
      <c r="M114" s="13" t="s">
        <v>254</v>
      </c>
      <c r="N114" s="13" t="s">
        <v>396</v>
      </c>
      <c r="O114" s="13">
        <v>0</v>
      </c>
      <c r="P114" s="13" t="s">
        <v>1891</v>
      </c>
      <c r="Q114" s="13" t="s">
        <v>870</v>
      </c>
      <c r="S114" s="13" t="s">
        <v>871</v>
      </c>
      <c r="U114" s="42" t="s">
        <v>872</v>
      </c>
      <c r="Y114" s="13" t="s">
        <v>250</v>
      </c>
      <c r="Z114" s="13" t="s">
        <v>873</v>
      </c>
      <c r="AA114" s="13" t="s">
        <v>251</v>
      </c>
      <c r="AB114" s="13">
        <v>0.15</v>
      </c>
      <c r="AC114" s="13">
        <v>30</v>
      </c>
      <c r="AD114" s="13">
        <v>20</v>
      </c>
      <c r="AE114" s="13">
        <v>1</v>
      </c>
      <c r="AF114" s="13" t="s">
        <v>1006</v>
      </c>
      <c r="AH114" s="13" t="s">
        <v>399</v>
      </c>
      <c r="AI114" s="13">
        <v>1000</v>
      </c>
      <c r="AK114" s="13">
        <v>23609.160304329598</v>
      </c>
      <c r="AN114" s="163" t="s">
        <v>235</v>
      </c>
      <c r="AO114" s="163">
        <v>0</v>
      </c>
      <c r="AP114" s="163" t="s">
        <v>252</v>
      </c>
      <c r="AR114" s="13">
        <v>23609.160304329598</v>
      </c>
      <c r="AS114" s="13">
        <v>8029.1965572000008</v>
      </c>
      <c r="AT114" s="13">
        <v>69468.104316066325</v>
      </c>
      <c r="AU114" s="13">
        <v>1</v>
      </c>
      <c r="AV114" s="13">
        <v>1</v>
      </c>
      <c r="AW114" s="13">
        <v>0</v>
      </c>
      <c r="AX114" s="13">
        <v>0</v>
      </c>
      <c r="AY114" s="13">
        <v>0</v>
      </c>
      <c r="AZ114" s="13">
        <v>0</v>
      </c>
      <c r="BA114" s="13">
        <v>0</v>
      </c>
      <c r="BB114" s="13">
        <v>0</v>
      </c>
      <c r="BC114" s="13">
        <v>0</v>
      </c>
      <c r="BD114" s="13">
        <v>0</v>
      </c>
      <c r="BE114" s="13">
        <v>0</v>
      </c>
      <c r="BF114" s="13">
        <v>0</v>
      </c>
      <c r="BG114" s="13">
        <v>0</v>
      </c>
      <c r="BH114" s="13">
        <v>0</v>
      </c>
      <c r="BI114" s="13">
        <v>0</v>
      </c>
      <c r="BJ114" s="13">
        <v>0</v>
      </c>
      <c r="BK114" s="13">
        <v>0</v>
      </c>
      <c r="BL114" s="13">
        <v>0</v>
      </c>
      <c r="BM114" s="13">
        <v>0</v>
      </c>
      <c r="BN114" s="13">
        <v>0</v>
      </c>
      <c r="BO114" s="13">
        <v>0</v>
      </c>
      <c r="BP114" s="13">
        <v>1</v>
      </c>
      <c r="BQ114" s="13" t="s">
        <v>250</v>
      </c>
      <c r="BR114" s="13">
        <v>12</v>
      </c>
    </row>
    <row r="115" spans="1:70" s="13" customFormat="1" ht="14.25" x14ac:dyDescent="0.15">
      <c r="A115" s="164"/>
      <c r="B115" s="13" t="s">
        <v>1892</v>
      </c>
      <c r="C115" s="11" t="s">
        <v>2245</v>
      </c>
      <c r="E115" s="13" t="s">
        <v>2246</v>
      </c>
      <c r="G115" s="13">
        <v>1</v>
      </c>
      <c r="H115" s="13">
        <v>14</v>
      </c>
      <c r="I115" s="13" t="s">
        <v>296</v>
      </c>
      <c r="K115" s="13">
        <v>3</v>
      </c>
      <c r="L115" s="13">
        <v>1</v>
      </c>
      <c r="M115" s="13" t="s">
        <v>254</v>
      </c>
      <c r="N115" s="13" t="s">
        <v>396</v>
      </c>
      <c r="O115" s="13">
        <v>0</v>
      </c>
      <c r="P115" s="13" t="s">
        <v>1893</v>
      </c>
      <c r="Q115" s="13" t="s">
        <v>2247</v>
      </c>
      <c r="S115" s="13" t="s">
        <v>2270</v>
      </c>
      <c r="U115" s="13" t="s">
        <v>2248</v>
      </c>
      <c r="Y115" s="13" t="s">
        <v>250</v>
      </c>
      <c r="Z115" s="162" t="s">
        <v>3183</v>
      </c>
      <c r="AA115" s="13" t="s">
        <v>251</v>
      </c>
      <c r="AB115" s="13">
        <v>0.15</v>
      </c>
      <c r="AC115" s="13">
        <v>0</v>
      </c>
      <c r="AD115" s="13">
        <v>20</v>
      </c>
      <c r="AE115" s="13">
        <v>1</v>
      </c>
      <c r="AF115" s="13" t="s">
        <v>2271</v>
      </c>
      <c r="AH115" s="13" t="s">
        <v>399</v>
      </c>
      <c r="AI115" s="13">
        <v>0</v>
      </c>
      <c r="AK115" s="13">
        <v>30661.247148479997</v>
      </c>
      <c r="AN115" s="163" t="s">
        <v>235</v>
      </c>
      <c r="AO115" s="163">
        <v>0</v>
      </c>
      <c r="AP115" s="163" t="s">
        <v>252</v>
      </c>
      <c r="AR115" s="13">
        <v>30661.247148479997</v>
      </c>
      <c r="AS115" s="13">
        <v>6583.9411769040007</v>
      </c>
      <c r="AT115" s="13">
        <v>70599.182772456013</v>
      </c>
      <c r="AU115" s="13">
        <v>1</v>
      </c>
      <c r="AV115" s="13">
        <v>1</v>
      </c>
      <c r="AW115" s="13">
        <v>0</v>
      </c>
      <c r="AX115" s="13">
        <v>0</v>
      </c>
      <c r="AY115" s="13">
        <v>0</v>
      </c>
      <c r="AZ115" s="13">
        <v>0</v>
      </c>
      <c r="BA115" s="13">
        <v>0</v>
      </c>
      <c r="BB115" s="13">
        <v>0</v>
      </c>
      <c r="BC115" s="13">
        <v>0</v>
      </c>
      <c r="BD115" s="13">
        <v>0</v>
      </c>
      <c r="BE115" s="13">
        <v>0</v>
      </c>
      <c r="BF115" s="13">
        <v>0</v>
      </c>
      <c r="BG115" s="13">
        <v>0</v>
      </c>
      <c r="BH115" s="13">
        <v>0</v>
      </c>
      <c r="BI115" s="13">
        <v>0</v>
      </c>
      <c r="BJ115" s="13">
        <v>0</v>
      </c>
      <c r="BK115" s="13">
        <v>0</v>
      </c>
      <c r="BL115" s="13">
        <v>0</v>
      </c>
      <c r="BM115" s="13">
        <v>0</v>
      </c>
      <c r="BN115" s="13">
        <v>0</v>
      </c>
      <c r="BO115" s="13">
        <v>0</v>
      </c>
      <c r="BP115" s="13">
        <v>1</v>
      </c>
      <c r="BQ115" s="13" t="s">
        <v>250</v>
      </c>
      <c r="BR115" s="13">
        <v>15</v>
      </c>
    </row>
    <row r="116" spans="1:70" s="13" customFormat="1" ht="14.25" x14ac:dyDescent="0.15">
      <c r="A116" s="164"/>
      <c r="B116" s="13" t="s">
        <v>2490</v>
      </c>
      <c r="C116" s="11" t="s">
        <v>895</v>
      </c>
      <c r="E116" s="13" t="s">
        <v>854</v>
      </c>
      <c r="G116" s="13">
        <v>0</v>
      </c>
      <c r="H116" s="13">
        <v>13</v>
      </c>
      <c r="I116" s="13" t="s">
        <v>890</v>
      </c>
      <c r="K116" s="13">
        <v>3</v>
      </c>
      <c r="L116" s="13">
        <v>1</v>
      </c>
      <c r="M116" s="13" t="s">
        <v>254</v>
      </c>
      <c r="N116" s="13" t="s">
        <v>396</v>
      </c>
      <c r="O116" s="13">
        <v>0</v>
      </c>
      <c r="P116" s="13" t="s">
        <v>2491</v>
      </c>
      <c r="Q116" s="13" t="s">
        <v>896</v>
      </c>
      <c r="S116" s="13" t="s">
        <v>897</v>
      </c>
      <c r="U116" s="13" t="s">
        <v>898</v>
      </c>
      <c r="Y116" s="13" t="s">
        <v>250</v>
      </c>
      <c r="Z116" s="13" t="s">
        <v>899</v>
      </c>
      <c r="AA116" s="13" t="s">
        <v>251</v>
      </c>
      <c r="AB116" s="13">
        <v>0.15</v>
      </c>
      <c r="AC116" s="13">
        <v>0</v>
      </c>
      <c r="AD116" s="13">
        <v>20</v>
      </c>
      <c r="AE116" s="13">
        <v>1</v>
      </c>
      <c r="AF116" s="13" t="s">
        <v>1012</v>
      </c>
      <c r="AH116" s="13" t="s">
        <v>399</v>
      </c>
      <c r="AI116" s="13">
        <v>680</v>
      </c>
      <c r="AK116" s="13">
        <v>22536.016654132796</v>
      </c>
      <c r="AN116" s="163" t="s">
        <v>235</v>
      </c>
      <c r="AO116" s="163">
        <v>0</v>
      </c>
      <c r="AP116" s="163" t="s">
        <v>252</v>
      </c>
      <c r="AR116" s="13">
        <v>22536.016654132796</v>
      </c>
      <c r="AS116" s="13">
        <v>8029.1965572000008</v>
      </c>
      <c r="AT116" s="13">
        <v>89193.615418159214</v>
      </c>
      <c r="AU116" s="13">
        <v>1</v>
      </c>
      <c r="AV116" s="13">
        <v>1</v>
      </c>
      <c r="AW116" s="13">
        <v>0</v>
      </c>
      <c r="AX116" s="13">
        <v>0</v>
      </c>
      <c r="AY116" s="13">
        <v>0</v>
      </c>
      <c r="AZ116" s="13">
        <v>0</v>
      </c>
      <c r="BA116" s="13">
        <v>0</v>
      </c>
      <c r="BB116" s="13">
        <v>0</v>
      </c>
      <c r="BC116" s="13">
        <v>0</v>
      </c>
      <c r="BD116" s="13">
        <v>0</v>
      </c>
      <c r="BE116" s="13">
        <v>0</v>
      </c>
      <c r="BF116" s="13">
        <v>0</v>
      </c>
      <c r="BG116" s="13">
        <v>0</v>
      </c>
      <c r="BH116" s="13">
        <v>0</v>
      </c>
      <c r="BI116" s="13">
        <v>0</v>
      </c>
      <c r="BJ116" s="13">
        <v>0</v>
      </c>
      <c r="BK116" s="13">
        <v>0</v>
      </c>
      <c r="BL116" s="13">
        <v>0</v>
      </c>
      <c r="BM116" s="13">
        <v>0</v>
      </c>
      <c r="BN116" s="13">
        <v>0</v>
      </c>
      <c r="BO116" s="13">
        <v>0</v>
      </c>
      <c r="BP116" s="13">
        <v>1</v>
      </c>
      <c r="BQ116" s="13" t="s">
        <v>250</v>
      </c>
      <c r="BR116" s="13">
        <v>12</v>
      </c>
    </row>
    <row r="117" spans="1:70" s="13" customFormat="1" ht="14.25" x14ac:dyDescent="0.15">
      <c r="A117" s="164"/>
      <c r="B117" s="13" t="s">
        <v>1894</v>
      </c>
      <c r="C117" s="11" t="s">
        <v>856</v>
      </c>
      <c r="E117" s="13" t="s">
        <v>857</v>
      </c>
      <c r="G117" s="13">
        <v>0</v>
      </c>
      <c r="H117" s="13">
        <v>12</v>
      </c>
      <c r="I117" s="13" t="s">
        <v>400</v>
      </c>
      <c r="K117" s="13">
        <v>3</v>
      </c>
      <c r="L117" s="13">
        <v>1</v>
      </c>
      <c r="M117" s="13" t="s">
        <v>254</v>
      </c>
      <c r="N117" s="13" t="s">
        <v>396</v>
      </c>
      <c r="O117" s="13">
        <v>0</v>
      </c>
      <c r="P117" s="13" t="s">
        <v>1895</v>
      </c>
      <c r="Q117" s="13" t="s">
        <v>858</v>
      </c>
      <c r="S117" s="13" t="s">
        <v>859</v>
      </c>
      <c r="U117" s="13" t="s">
        <v>860</v>
      </c>
      <c r="Y117" s="13" t="s">
        <v>250</v>
      </c>
      <c r="Z117" s="13" t="s">
        <v>861</v>
      </c>
      <c r="AA117" s="13" t="s">
        <v>251</v>
      </c>
      <c r="AB117" s="13">
        <v>0.15</v>
      </c>
      <c r="AC117" s="13">
        <v>30</v>
      </c>
      <c r="AD117" s="13">
        <v>20</v>
      </c>
      <c r="AE117" s="13">
        <v>1</v>
      </c>
      <c r="AF117" s="13" t="s">
        <v>1004</v>
      </c>
      <c r="AH117" s="13" t="s">
        <v>399</v>
      </c>
      <c r="AI117" s="13">
        <v>1000</v>
      </c>
      <c r="AK117" s="13">
        <v>18205.115494409994</v>
      </c>
      <c r="AN117" s="163" t="s">
        <v>235</v>
      </c>
      <c r="AO117" s="163">
        <v>0</v>
      </c>
      <c r="AP117" s="163" t="s">
        <v>252</v>
      </c>
      <c r="AR117" s="13">
        <v>18205.115494409994</v>
      </c>
      <c r="AS117" s="13">
        <v>9474.4519374960018</v>
      </c>
      <c r="AT117" s="13">
        <v>133894.83036936709</v>
      </c>
      <c r="AU117" s="13">
        <v>1</v>
      </c>
      <c r="AV117" s="13">
        <v>1</v>
      </c>
      <c r="AW117" s="13">
        <v>0</v>
      </c>
      <c r="AX117" s="13">
        <v>0</v>
      </c>
      <c r="AY117" s="13">
        <v>0</v>
      </c>
      <c r="AZ117" s="13">
        <v>0</v>
      </c>
      <c r="BA117" s="13">
        <v>0</v>
      </c>
      <c r="BB117" s="13">
        <v>0</v>
      </c>
      <c r="BC117" s="13">
        <v>0</v>
      </c>
      <c r="BD117" s="13">
        <v>0</v>
      </c>
      <c r="BE117" s="13">
        <v>0</v>
      </c>
      <c r="BF117" s="13">
        <v>0</v>
      </c>
      <c r="BG117" s="13">
        <v>0</v>
      </c>
      <c r="BH117" s="13">
        <v>0</v>
      </c>
      <c r="BI117" s="13">
        <v>0</v>
      </c>
      <c r="BJ117" s="13">
        <v>0</v>
      </c>
      <c r="BK117" s="13">
        <v>0</v>
      </c>
      <c r="BL117" s="13">
        <v>0</v>
      </c>
      <c r="BM117" s="13">
        <v>0</v>
      </c>
      <c r="BN117" s="13">
        <v>0</v>
      </c>
      <c r="BO117" s="13">
        <v>0</v>
      </c>
      <c r="BP117" s="13">
        <v>1</v>
      </c>
      <c r="BQ117" s="13" t="s">
        <v>250</v>
      </c>
      <c r="BR117" s="13">
        <v>14</v>
      </c>
    </row>
    <row r="118" spans="1:70" s="13" customFormat="1" ht="14.25" x14ac:dyDescent="0.15">
      <c r="A118" s="164"/>
      <c r="B118" s="13" t="s">
        <v>1896</v>
      </c>
      <c r="C118" s="13" t="s">
        <v>956</v>
      </c>
      <c r="E118" s="13" t="s">
        <v>957</v>
      </c>
      <c r="G118" s="13">
        <v>0</v>
      </c>
      <c r="H118" s="13">
        <v>13</v>
      </c>
      <c r="I118" s="13" t="s">
        <v>401</v>
      </c>
      <c r="K118" s="13">
        <v>3</v>
      </c>
      <c r="L118" s="13">
        <v>1</v>
      </c>
      <c r="M118" s="13" t="s">
        <v>254</v>
      </c>
      <c r="N118" s="13" t="s">
        <v>396</v>
      </c>
      <c r="O118" s="13">
        <v>0</v>
      </c>
      <c r="P118" s="13" t="s">
        <v>1897</v>
      </c>
      <c r="Q118" s="13" t="s">
        <v>958</v>
      </c>
      <c r="S118" s="13" t="s">
        <v>959</v>
      </c>
      <c r="U118" s="13" t="s">
        <v>960</v>
      </c>
      <c r="Y118" s="13" t="s">
        <v>250</v>
      </c>
      <c r="Z118" s="13" t="s">
        <v>961</v>
      </c>
      <c r="AA118" s="13" t="s">
        <v>251</v>
      </c>
      <c r="AB118" s="13">
        <v>0.15</v>
      </c>
      <c r="AC118" s="13">
        <v>0</v>
      </c>
      <c r="AD118" s="13">
        <v>20</v>
      </c>
      <c r="AE118" s="13">
        <v>1</v>
      </c>
      <c r="AF118" s="13" t="s">
        <v>1025</v>
      </c>
      <c r="AH118" s="13" t="s">
        <v>399</v>
      </c>
      <c r="AI118" s="13">
        <v>680</v>
      </c>
      <c r="AK118" s="13">
        <v>29792.511812606401</v>
      </c>
      <c r="AN118" s="163" t="s">
        <v>235</v>
      </c>
      <c r="AO118" s="163">
        <v>0</v>
      </c>
      <c r="AP118" s="163" t="s">
        <v>252</v>
      </c>
      <c r="AR118" s="13">
        <v>29792.511812606401</v>
      </c>
      <c r="AS118" s="13">
        <v>8029.1965572000008</v>
      </c>
      <c r="AT118" s="13">
        <v>84167.152475697745</v>
      </c>
      <c r="AU118" s="13">
        <v>1</v>
      </c>
      <c r="AV118" s="13">
        <v>1</v>
      </c>
      <c r="AW118" s="13">
        <v>0</v>
      </c>
      <c r="AX118" s="13">
        <v>0</v>
      </c>
      <c r="AY118" s="13">
        <v>0</v>
      </c>
      <c r="AZ118" s="13">
        <v>0</v>
      </c>
      <c r="BA118" s="13">
        <v>0</v>
      </c>
      <c r="BB118" s="13">
        <v>0</v>
      </c>
      <c r="BC118" s="13">
        <v>0</v>
      </c>
      <c r="BD118" s="13">
        <v>0</v>
      </c>
      <c r="BE118" s="13">
        <v>0</v>
      </c>
      <c r="BF118" s="13">
        <v>0</v>
      </c>
      <c r="BG118" s="13">
        <v>0</v>
      </c>
      <c r="BH118" s="13">
        <v>0</v>
      </c>
      <c r="BI118" s="13">
        <v>0</v>
      </c>
      <c r="BJ118" s="13">
        <v>0</v>
      </c>
      <c r="BK118" s="13">
        <v>0</v>
      </c>
      <c r="BL118" s="13">
        <v>0</v>
      </c>
      <c r="BM118" s="13">
        <v>0</v>
      </c>
      <c r="BN118" s="13">
        <v>0</v>
      </c>
      <c r="BO118" s="13">
        <v>0</v>
      </c>
      <c r="BP118" s="13">
        <v>1</v>
      </c>
      <c r="BR118" s="13">
        <v>16</v>
      </c>
    </row>
    <row r="119" spans="1:70" s="13" customFormat="1" ht="14.25" x14ac:dyDescent="0.15">
      <c r="A119" s="164"/>
      <c r="B119" s="13" t="s">
        <v>1898</v>
      </c>
      <c r="C119" s="11" t="s">
        <v>868</v>
      </c>
      <c r="E119" s="13" t="s">
        <v>869</v>
      </c>
      <c r="G119" s="13">
        <v>0</v>
      </c>
      <c r="H119" s="13">
        <v>12</v>
      </c>
      <c r="I119" s="13" t="s">
        <v>401</v>
      </c>
      <c r="K119" s="13">
        <v>3</v>
      </c>
      <c r="L119" s="13">
        <v>1</v>
      </c>
      <c r="M119" s="13" t="s">
        <v>254</v>
      </c>
      <c r="N119" s="13" t="s">
        <v>396</v>
      </c>
      <c r="O119" s="13">
        <v>0</v>
      </c>
      <c r="P119" s="13" t="s">
        <v>1899</v>
      </c>
      <c r="Q119" s="13" t="s">
        <v>870</v>
      </c>
      <c r="S119" s="13" t="s">
        <v>871</v>
      </c>
      <c r="U119" s="42" t="s">
        <v>872</v>
      </c>
      <c r="Y119" s="13" t="s">
        <v>250</v>
      </c>
      <c r="Z119" s="13" t="s">
        <v>873</v>
      </c>
      <c r="AA119" s="13" t="s">
        <v>251</v>
      </c>
      <c r="AB119" s="13">
        <v>0.15</v>
      </c>
      <c r="AC119" s="13">
        <v>0</v>
      </c>
      <c r="AD119" s="13">
        <v>20</v>
      </c>
      <c r="AE119" s="13">
        <v>1</v>
      </c>
      <c r="AF119" s="13" t="s">
        <v>1006</v>
      </c>
      <c r="AH119" s="13" t="s">
        <v>399</v>
      </c>
      <c r="AI119" s="13">
        <v>0</v>
      </c>
      <c r="AK119" s="13">
        <v>23609.160304329598</v>
      </c>
      <c r="AN119" s="163" t="s">
        <v>235</v>
      </c>
      <c r="AO119" s="163">
        <v>0</v>
      </c>
      <c r="AP119" s="163" t="s">
        <v>252</v>
      </c>
      <c r="AR119" s="13">
        <v>23609.160304329598</v>
      </c>
      <c r="AS119" s="13">
        <v>8029.1965572000008</v>
      </c>
      <c r="AT119" s="13">
        <v>69468.104316066325</v>
      </c>
      <c r="AU119" s="13">
        <v>1</v>
      </c>
      <c r="AV119" s="13">
        <v>1</v>
      </c>
      <c r="AW119" s="13">
        <v>0</v>
      </c>
      <c r="AX119" s="13">
        <v>0</v>
      </c>
      <c r="AY119" s="13">
        <v>0</v>
      </c>
      <c r="AZ119" s="13">
        <v>0</v>
      </c>
      <c r="BA119" s="13">
        <v>0</v>
      </c>
      <c r="BB119" s="13">
        <v>0</v>
      </c>
      <c r="BC119" s="13">
        <v>0</v>
      </c>
      <c r="BD119" s="13">
        <v>0</v>
      </c>
      <c r="BE119" s="13">
        <v>0</v>
      </c>
      <c r="BF119" s="13">
        <v>0</v>
      </c>
      <c r="BG119" s="13">
        <v>0</v>
      </c>
      <c r="BH119" s="13">
        <v>0</v>
      </c>
      <c r="BI119" s="13">
        <v>0</v>
      </c>
      <c r="BJ119" s="13">
        <v>0</v>
      </c>
      <c r="BK119" s="13">
        <v>0</v>
      </c>
      <c r="BL119" s="13">
        <v>0</v>
      </c>
      <c r="BM119" s="13">
        <v>0</v>
      </c>
      <c r="BN119" s="13">
        <v>0</v>
      </c>
      <c r="BO119" s="13">
        <v>0</v>
      </c>
      <c r="BP119" s="13">
        <v>1</v>
      </c>
      <c r="BR119" s="13">
        <v>12</v>
      </c>
    </row>
    <row r="120" spans="1:70" s="13" customFormat="1" ht="14.25" x14ac:dyDescent="0.15">
      <c r="A120" s="164"/>
      <c r="B120" s="13" t="s">
        <v>2492</v>
      </c>
      <c r="C120" s="13" t="s">
        <v>2245</v>
      </c>
      <c r="E120" s="13" t="s">
        <v>2246</v>
      </c>
      <c r="G120" s="13">
        <v>1</v>
      </c>
      <c r="H120" s="13">
        <v>14</v>
      </c>
      <c r="I120" s="13" t="s">
        <v>296</v>
      </c>
      <c r="K120" s="13">
        <v>3</v>
      </c>
      <c r="L120" s="13">
        <v>1</v>
      </c>
      <c r="M120" s="13" t="s">
        <v>254</v>
      </c>
      <c r="N120" s="13" t="s">
        <v>396</v>
      </c>
      <c r="O120" s="13">
        <v>0</v>
      </c>
      <c r="P120" s="13" t="s">
        <v>2493</v>
      </c>
      <c r="Q120" s="13" t="s">
        <v>2247</v>
      </c>
      <c r="S120" s="13" t="s">
        <v>2270</v>
      </c>
      <c r="U120" s="42" t="s">
        <v>2248</v>
      </c>
      <c r="Y120" s="13" t="s">
        <v>250</v>
      </c>
      <c r="Z120" s="162" t="s">
        <v>3183</v>
      </c>
      <c r="AA120" s="13" t="s">
        <v>251</v>
      </c>
      <c r="AB120" s="13">
        <v>0.15</v>
      </c>
      <c r="AC120" s="13">
        <v>0</v>
      </c>
      <c r="AD120" s="13">
        <v>20</v>
      </c>
      <c r="AE120" s="13">
        <v>1</v>
      </c>
      <c r="AF120" s="13" t="s">
        <v>2271</v>
      </c>
      <c r="AH120" s="13" t="s">
        <v>399</v>
      </c>
      <c r="AI120" s="13">
        <v>300</v>
      </c>
      <c r="AK120" s="13">
        <v>30661.247148479997</v>
      </c>
      <c r="AN120" s="163" t="s">
        <v>235</v>
      </c>
      <c r="AO120" s="163">
        <v>0</v>
      </c>
      <c r="AP120" s="163" t="s">
        <v>252</v>
      </c>
      <c r="AR120" s="13">
        <v>30661.247148479997</v>
      </c>
      <c r="AS120" s="13">
        <v>6583.9411769040007</v>
      </c>
      <c r="AT120" s="13">
        <v>70599.182772456013</v>
      </c>
      <c r="AU120" s="13">
        <v>1</v>
      </c>
      <c r="AV120" s="13">
        <v>1</v>
      </c>
      <c r="AW120" s="13">
        <v>0</v>
      </c>
      <c r="AX120" s="13">
        <v>0</v>
      </c>
      <c r="AY120" s="13">
        <v>0</v>
      </c>
      <c r="AZ120" s="13">
        <v>0</v>
      </c>
      <c r="BA120" s="13">
        <v>0</v>
      </c>
      <c r="BB120" s="13">
        <v>0</v>
      </c>
      <c r="BC120" s="13">
        <v>0</v>
      </c>
      <c r="BD120" s="13">
        <v>0</v>
      </c>
      <c r="BE120" s="13">
        <v>0</v>
      </c>
      <c r="BF120" s="13">
        <v>0</v>
      </c>
      <c r="BG120" s="13">
        <v>0</v>
      </c>
      <c r="BH120" s="13">
        <v>0</v>
      </c>
      <c r="BI120" s="13">
        <v>0</v>
      </c>
      <c r="BJ120" s="13">
        <v>0</v>
      </c>
      <c r="BK120" s="13">
        <v>0</v>
      </c>
      <c r="BL120" s="13">
        <v>0</v>
      </c>
      <c r="BM120" s="13">
        <v>0</v>
      </c>
      <c r="BN120" s="13">
        <v>0</v>
      </c>
      <c r="BO120" s="13">
        <v>0</v>
      </c>
      <c r="BP120" s="13">
        <v>1</v>
      </c>
      <c r="BR120" s="13">
        <v>15</v>
      </c>
    </row>
    <row r="121" spans="1:70" s="13" customFormat="1" ht="14.25" x14ac:dyDescent="0.15">
      <c r="A121" s="164"/>
      <c r="B121" s="13" t="s">
        <v>2494</v>
      </c>
      <c r="C121" s="13" t="s">
        <v>2250</v>
      </c>
      <c r="E121" s="13" t="s">
        <v>2251</v>
      </c>
      <c r="G121" s="13">
        <v>1</v>
      </c>
      <c r="H121" s="13">
        <v>13</v>
      </c>
      <c r="I121" s="13" t="s">
        <v>296</v>
      </c>
      <c r="K121" s="13">
        <v>3</v>
      </c>
      <c r="L121" s="13">
        <v>1</v>
      </c>
      <c r="M121" s="13" t="s">
        <v>254</v>
      </c>
      <c r="N121" s="13" t="s">
        <v>396</v>
      </c>
      <c r="O121" s="13">
        <v>0</v>
      </c>
      <c r="P121" s="13" t="s">
        <v>2495</v>
      </c>
      <c r="Q121" s="13" t="s">
        <v>2252</v>
      </c>
      <c r="S121" s="13" t="s">
        <v>2301</v>
      </c>
      <c r="U121" s="42" t="s">
        <v>2253</v>
      </c>
      <c r="Y121" s="13" t="s">
        <v>250</v>
      </c>
      <c r="Z121" s="13" t="s">
        <v>2254</v>
      </c>
      <c r="AA121" s="13" t="s">
        <v>251</v>
      </c>
      <c r="AB121" s="13">
        <v>0.15</v>
      </c>
      <c r="AC121" s="13">
        <v>0</v>
      </c>
      <c r="AD121" s="13">
        <v>20</v>
      </c>
      <c r="AE121" s="13">
        <v>1</v>
      </c>
      <c r="AF121" s="13" t="s">
        <v>2302</v>
      </c>
      <c r="AH121" s="13" t="s">
        <v>399</v>
      </c>
      <c r="AI121" s="13">
        <v>0</v>
      </c>
      <c r="AK121" s="13">
        <v>24577.824170591997</v>
      </c>
      <c r="AN121" s="163" t="s">
        <v>235</v>
      </c>
      <c r="AO121" s="163">
        <v>0</v>
      </c>
      <c r="AP121" s="163" t="s">
        <v>252</v>
      </c>
      <c r="AR121" s="13">
        <v>24577.824170591997</v>
      </c>
      <c r="AS121" s="13">
        <v>7899.8825767679982</v>
      </c>
      <c r="AT121" s="13">
        <v>62855.563242727709</v>
      </c>
      <c r="AU121" s="13">
        <v>1</v>
      </c>
      <c r="AV121" s="13">
        <v>1</v>
      </c>
      <c r="AW121" s="13">
        <v>0</v>
      </c>
      <c r="AX121" s="13">
        <v>0</v>
      </c>
      <c r="AY121" s="13">
        <v>0</v>
      </c>
      <c r="AZ121" s="13">
        <v>0</v>
      </c>
      <c r="BA121" s="13">
        <v>0</v>
      </c>
      <c r="BB121" s="13">
        <v>0</v>
      </c>
      <c r="BC121" s="13">
        <v>0</v>
      </c>
      <c r="BD121" s="13">
        <v>0</v>
      </c>
      <c r="BE121" s="13">
        <v>0</v>
      </c>
      <c r="BF121" s="13">
        <v>0</v>
      </c>
      <c r="BG121" s="13">
        <v>0</v>
      </c>
      <c r="BH121" s="13">
        <v>0</v>
      </c>
      <c r="BI121" s="13">
        <v>0</v>
      </c>
      <c r="BJ121" s="13">
        <v>0</v>
      </c>
      <c r="BK121" s="13">
        <v>0</v>
      </c>
      <c r="BL121" s="13">
        <v>0</v>
      </c>
      <c r="BM121" s="13">
        <v>0</v>
      </c>
      <c r="BN121" s="13">
        <v>0</v>
      </c>
      <c r="BO121" s="13">
        <v>0</v>
      </c>
      <c r="BP121" s="13">
        <v>1</v>
      </c>
      <c r="BR121" s="13">
        <v>8</v>
      </c>
    </row>
    <row r="122" spans="1:70" s="13" customFormat="1" ht="14.25" x14ac:dyDescent="0.15">
      <c r="A122" s="164"/>
      <c r="B122" s="13" t="s">
        <v>1900</v>
      </c>
      <c r="C122" s="11" t="s">
        <v>2250</v>
      </c>
      <c r="E122" s="13" t="s">
        <v>2251</v>
      </c>
      <c r="G122" s="13">
        <v>1</v>
      </c>
      <c r="H122" s="13">
        <v>13</v>
      </c>
      <c r="I122" s="13" t="s">
        <v>296</v>
      </c>
      <c r="K122" s="13">
        <v>3</v>
      </c>
      <c r="L122" s="13">
        <v>1</v>
      </c>
      <c r="M122" s="13" t="s">
        <v>254</v>
      </c>
      <c r="N122" s="13" t="s">
        <v>396</v>
      </c>
      <c r="O122" s="13">
        <v>0</v>
      </c>
      <c r="P122" s="13" t="s">
        <v>1901</v>
      </c>
      <c r="Q122" s="13" t="s">
        <v>2252</v>
      </c>
      <c r="S122" s="13" t="s">
        <v>2301</v>
      </c>
      <c r="U122" s="42" t="s">
        <v>2253</v>
      </c>
      <c r="Y122" s="13" t="s">
        <v>250</v>
      </c>
      <c r="Z122" s="13" t="s">
        <v>2254</v>
      </c>
      <c r="AA122" s="13" t="s">
        <v>251</v>
      </c>
      <c r="AB122" s="13">
        <v>0.15</v>
      </c>
      <c r="AC122" s="13">
        <v>0</v>
      </c>
      <c r="AD122" s="13">
        <v>20</v>
      </c>
      <c r="AE122" s="13">
        <v>1</v>
      </c>
      <c r="AF122" s="13" t="s">
        <v>2302</v>
      </c>
      <c r="AH122" s="13" t="s">
        <v>399</v>
      </c>
      <c r="AI122" s="13">
        <v>680</v>
      </c>
      <c r="AK122" s="13">
        <v>24577.824170591997</v>
      </c>
      <c r="AN122" s="163" t="s">
        <v>235</v>
      </c>
      <c r="AO122" s="163">
        <v>0</v>
      </c>
      <c r="AP122" s="163" t="s">
        <v>252</v>
      </c>
      <c r="AR122" s="13">
        <v>24577.824170591997</v>
      </c>
      <c r="AS122" s="13">
        <v>7899.8825767679982</v>
      </c>
      <c r="AT122" s="13">
        <v>62855.563242727709</v>
      </c>
      <c r="AU122" s="13">
        <v>1</v>
      </c>
      <c r="AV122" s="13">
        <v>1</v>
      </c>
      <c r="AW122" s="13">
        <v>0</v>
      </c>
      <c r="AX122" s="13">
        <v>0</v>
      </c>
      <c r="AY122" s="13">
        <v>0</v>
      </c>
      <c r="AZ122" s="13">
        <v>0</v>
      </c>
      <c r="BA122" s="13">
        <v>0</v>
      </c>
      <c r="BB122" s="13">
        <v>0</v>
      </c>
      <c r="BC122" s="13">
        <v>0</v>
      </c>
      <c r="BD122" s="13">
        <v>0</v>
      </c>
      <c r="BE122" s="13">
        <v>0</v>
      </c>
      <c r="BF122" s="13">
        <v>0</v>
      </c>
      <c r="BG122" s="13">
        <v>0</v>
      </c>
      <c r="BH122" s="13">
        <v>0</v>
      </c>
      <c r="BI122" s="13">
        <v>0</v>
      </c>
      <c r="BJ122" s="13">
        <v>0</v>
      </c>
      <c r="BK122" s="13">
        <v>0</v>
      </c>
      <c r="BL122" s="13">
        <v>0</v>
      </c>
      <c r="BM122" s="13">
        <v>0</v>
      </c>
      <c r="BN122" s="13">
        <v>0</v>
      </c>
      <c r="BO122" s="13">
        <v>0</v>
      </c>
      <c r="BP122" s="13">
        <v>1</v>
      </c>
      <c r="BR122" s="13">
        <v>8</v>
      </c>
    </row>
    <row r="123" spans="1:70" s="13" customFormat="1" ht="14.25" x14ac:dyDescent="0.15">
      <c r="A123" s="164"/>
      <c r="B123" s="13" t="s">
        <v>2496</v>
      </c>
      <c r="C123" s="11" t="s">
        <v>2250</v>
      </c>
      <c r="E123" s="13" t="s">
        <v>2251</v>
      </c>
      <c r="G123" s="13">
        <v>1</v>
      </c>
      <c r="H123" s="13">
        <v>13</v>
      </c>
      <c r="I123" s="13" t="s">
        <v>296</v>
      </c>
      <c r="K123" s="13">
        <v>3</v>
      </c>
      <c r="L123" s="13">
        <v>1</v>
      </c>
      <c r="M123" s="13" t="s">
        <v>254</v>
      </c>
      <c r="N123" s="13" t="s">
        <v>396</v>
      </c>
      <c r="O123" s="13">
        <v>0</v>
      </c>
      <c r="P123" s="13" t="s">
        <v>2497</v>
      </c>
      <c r="Q123" s="13" t="s">
        <v>2252</v>
      </c>
      <c r="S123" s="13" t="s">
        <v>2301</v>
      </c>
      <c r="U123" s="42" t="s">
        <v>2253</v>
      </c>
      <c r="Y123" s="13" t="s">
        <v>250</v>
      </c>
      <c r="Z123" s="13" t="s">
        <v>2254</v>
      </c>
      <c r="AA123" s="13" t="s">
        <v>251</v>
      </c>
      <c r="AB123" s="13">
        <v>0.15</v>
      </c>
      <c r="AC123" s="13">
        <v>0</v>
      </c>
      <c r="AD123" s="13">
        <v>20</v>
      </c>
      <c r="AE123" s="13">
        <v>1</v>
      </c>
      <c r="AF123" s="13" t="s">
        <v>2302</v>
      </c>
      <c r="AH123" s="13" t="s">
        <v>399</v>
      </c>
      <c r="AI123" s="13">
        <v>800</v>
      </c>
      <c r="AK123" s="13">
        <v>24577.824170591997</v>
      </c>
      <c r="AN123" s="163" t="s">
        <v>235</v>
      </c>
      <c r="AO123" s="163">
        <v>0</v>
      </c>
      <c r="AP123" s="163" t="s">
        <v>252</v>
      </c>
      <c r="AR123" s="13">
        <v>24577.824170591997</v>
      </c>
      <c r="AS123" s="13">
        <v>7899.8825767679982</v>
      </c>
      <c r="AT123" s="13">
        <v>62855.563242727709</v>
      </c>
      <c r="AU123" s="13">
        <v>1</v>
      </c>
      <c r="AV123" s="13">
        <v>1</v>
      </c>
      <c r="AW123" s="13">
        <v>0</v>
      </c>
      <c r="AX123" s="13">
        <v>0</v>
      </c>
      <c r="AY123" s="13">
        <v>0</v>
      </c>
      <c r="AZ123" s="13">
        <v>0</v>
      </c>
      <c r="BA123" s="13">
        <v>0</v>
      </c>
      <c r="BB123" s="13">
        <v>0</v>
      </c>
      <c r="BC123" s="13">
        <v>0</v>
      </c>
      <c r="BD123" s="13">
        <v>0</v>
      </c>
      <c r="BE123" s="13">
        <v>0</v>
      </c>
      <c r="BF123" s="13">
        <v>0</v>
      </c>
      <c r="BG123" s="13">
        <v>0</v>
      </c>
      <c r="BH123" s="13">
        <v>0</v>
      </c>
      <c r="BI123" s="13">
        <v>0</v>
      </c>
      <c r="BJ123" s="13">
        <v>0</v>
      </c>
      <c r="BK123" s="13">
        <v>0</v>
      </c>
      <c r="BL123" s="13">
        <v>0</v>
      </c>
      <c r="BM123" s="13">
        <v>0</v>
      </c>
      <c r="BN123" s="13">
        <v>0</v>
      </c>
      <c r="BO123" s="13">
        <v>0</v>
      </c>
      <c r="BP123" s="13">
        <v>1</v>
      </c>
      <c r="BR123" s="13">
        <v>8</v>
      </c>
    </row>
    <row r="124" spans="1:70" s="13" customFormat="1" ht="14.25" x14ac:dyDescent="0.15">
      <c r="A124" s="164"/>
      <c r="B124" s="13" t="s">
        <v>1902</v>
      </c>
      <c r="C124" s="13" t="s">
        <v>2250</v>
      </c>
      <c r="E124" s="13" t="s">
        <v>2251</v>
      </c>
      <c r="G124" s="13">
        <v>1</v>
      </c>
      <c r="H124" s="13">
        <v>13</v>
      </c>
      <c r="I124" s="13" t="s">
        <v>296</v>
      </c>
      <c r="K124" s="13">
        <v>3</v>
      </c>
      <c r="L124" s="13">
        <v>1</v>
      </c>
      <c r="M124" s="13" t="s">
        <v>254</v>
      </c>
      <c r="N124" s="13" t="s">
        <v>396</v>
      </c>
      <c r="O124" s="13">
        <v>0</v>
      </c>
      <c r="P124" s="13" t="s">
        <v>1903</v>
      </c>
      <c r="Q124" s="13" t="s">
        <v>2252</v>
      </c>
      <c r="S124" s="13" t="s">
        <v>2301</v>
      </c>
      <c r="U124" s="42" t="s">
        <v>2253</v>
      </c>
      <c r="Y124" s="13" t="s">
        <v>250</v>
      </c>
      <c r="Z124" s="13" t="s">
        <v>2254</v>
      </c>
      <c r="AA124" s="13" t="s">
        <v>251</v>
      </c>
      <c r="AB124" s="13">
        <v>0.15</v>
      </c>
      <c r="AC124" s="13">
        <v>30</v>
      </c>
      <c r="AD124" s="13">
        <v>20</v>
      </c>
      <c r="AE124" s="13">
        <v>1</v>
      </c>
      <c r="AF124" s="13" t="s">
        <v>2302</v>
      </c>
      <c r="AH124" s="13" t="s">
        <v>399</v>
      </c>
      <c r="AI124" s="13">
        <v>0</v>
      </c>
      <c r="AK124" s="13">
        <v>24577.824170591997</v>
      </c>
      <c r="AN124" s="163" t="s">
        <v>235</v>
      </c>
      <c r="AO124" s="163">
        <v>0</v>
      </c>
      <c r="AP124" s="163" t="s">
        <v>252</v>
      </c>
      <c r="AR124" s="13">
        <v>24577.824170591997</v>
      </c>
      <c r="AS124" s="13">
        <v>7899.8825767679982</v>
      </c>
      <c r="AT124" s="13">
        <v>62855.563242727709</v>
      </c>
      <c r="AU124" s="13">
        <v>1</v>
      </c>
      <c r="AV124" s="13">
        <v>1</v>
      </c>
      <c r="AW124" s="13">
        <v>0</v>
      </c>
      <c r="AX124" s="13">
        <v>0</v>
      </c>
      <c r="AY124" s="13">
        <v>0</v>
      </c>
      <c r="AZ124" s="13">
        <v>0</v>
      </c>
      <c r="BA124" s="13">
        <v>0</v>
      </c>
      <c r="BB124" s="13">
        <v>0</v>
      </c>
      <c r="BC124" s="13">
        <v>0</v>
      </c>
      <c r="BD124" s="13">
        <v>0</v>
      </c>
      <c r="BE124" s="13">
        <v>0</v>
      </c>
      <c r="BF124" s="13">
        <v>0</v>
      </c>
      <c r="BG124" s="13">
        <v>0</v>
      </c>
      <c r="BH124" s="13">
        <v>0</v>
      </c>
      <c r="BI124" s="13">
        <v>0</v>
      </c>
      <c r="BJ124" s="13">
        <v>0</v>
      </c>
      <c r="BK124" s="13">
        <v>0</v>
      </c>
      <c r="BL124" s="13">
        <v>0</v>
      </c>
      <c r="BM124" s="13">
        <v>0</v>
      </c>
      <c r="BN124" s="13">
        <v>0</v>
      </c>
      <c r="BO124" s="13">
        <v>0</v>
      </c>
      <c r="BP124" s="13">
        <v>1</v>
      </c>
      <c r="BR124" s="13">
        <v>8</v>
      </c>
    </row>
    <row r="125" spans="1:70" s="13" customFormat="1" ht="14.25" x14ac:dyDescent="0.15">
      <c r="A125" s="164"/>
      <c r="B125" s="13" t="s">
        <v>2498</v>
      </c>
      <c r="C125" s="11" t="s">
        <v>2250</v>
      </c>
      <c r="E125" s="13" t="s">
        <v>2251</v>
      </c>
      <c r="G125" s="13">
        <v>1</v>
      </c>
      <c r="H125" s="13">
        <v>13</v>
      </c>
      <c r="I125" s="13" t="s">
        <v>296</v>
      </c>
      <c r="K125" s="13">
        <v>3</v>
      </c>
      <c r="L125" s="13">
        <v>1</v>
      </c>
      <c r="M125" s="13" t="s">
        <v>254</v>
      </c>
      <c r="N125" s="13" t="s">
        <v>396</v>
      </c>
      <c r="O125" s="13">
        <v>0</v>
      </c>
      <c r="P125" s="13" t="s">
        <v>2499</v>
      </c>
      <c r="Q125" s="13" t="s">
        <v>2252</v>
      </c>
      <c r="S125" s="13" t="s">
        <v>2301</v>
      </c>
      <c r="U125" s="42" t="s">
        <v>2253</v>
      </c>
      <c r="Y125" s="13" t="s">
        <v>250</v>
      </c>
      <c r="Z125" s="13" t="s">
        <v>2254</v>
      </c>
      <c r="AA125" s="13" t="s">
        <v>251</v>
      </c>
      <c r="AB125" s="13">
        <v>0.15</v>
      </c>
      <c r="AC125" s="13">
        <v>0</v>
      </c>
      <c r="AD125" s="13">
        <v>20</v>
      </c>
      <c r="AE125" s="13">
        <v>1</v>
      </c>
      <c r="AF125" s="13" t="s">
        <v>2302</v>
      </c>
      <c r="AH125" s="13" t="s">
        <v>399</v>
      </c>
      <c r="AI125" s="13">
        <v>1000</v>
      </c>
      <c r="AK125" s="13">
        <v>24577.824170591997</v>
      </c>
      <c r="AN125" s="163" t="s">
        <v>235</v>
      </c>
      <c r="AO125" s="163">
        <v>0</v>
      </c>
      <c r="AP125" s="163" t="s">
        <v>252</v>
      </c>
      <c r="AR125" s="13">
        <v>24577.824170591997</v>
      </c>
      <c r="AS125" s="13">
        <v>7899.8825767679982</v>
      </c>
      <c r="AT125" s="13">
        <v>62855.563242727709</v>
      </c>
      <c r="AU125" s="13">
        <v>1</v>
      </c>
      <c r="AV125" s="13">
        <v>1</v>
      </c>
      <c r="AW125" s="13">
        <v>0</v>
      </c>
      <c r="AX125" s="13">
        <v>0</v>
      </c>
      <c r="AY125" s="13">
        <v>0</v>
      </c>
      <c r="AZ125" s="13">
        <v>0</v>
      </c>
      <c r="BA125" s="13">
        <v>0</v>
      </c>
      <c r="BB125" s="13">
        <v>0</v>
      </c>
      <c r="BC125" s="13">
        <v>0</v>
      </c>
      <c r="BD125" s="13">
        <v>0</v>
      </c>
      <c r="BE125" s="13">
        <v>0</v>
      </c>
      <c r="BF125" s="13">
        <v>0</v>
      </c>
      <c r="BG125" s="13">
        <v>0</v>
      </c>
      <c r="BH125" s="13">
        <v>0</v>
      </c>
      <c r="BI125" s="13">
        <v>0</v>
      </c>
      <c r="BJ125" s="13">
        <v>0</v>
      </c>
      <c r="BK125" s="13">
        <v>0</v>
      </c>
      <c r="BL125" s="13">
        <v>0</v>
      </c>
      <c r="BM125" s="13">
        <v>0</v>
      </c>
      <c r="BN125" s="13">
        <v>0</v>
      </c>
      <c r="BO125" s="13">
        <v>0</v>
      </c>
      <c r="BP125" s="13">
        <v>1</v>
      </c>
      <c r="BR125" s="13">
        <v>8</v>
      </c>
    </row>
    <row r="126" spans="1:70" s="13" customFormat="1" ht="14.25" x14ac:dyDescent="0.15">
      <c r="A126" s="164"/>
      <c r="B126" s="13" t="s">
        <v>1904</v>
      </c>
      <c r="C126" s="13" t="s">
        <v>2250</v>
      </c>
      <c r="E126" s="13" t="s">
        <v>2251</v>
      </c>
      <c r="G126" s="13">
        <v>1</v>
      </c>
      <c r="H126" s="13">
        <v>13</v>
      </c>
      <c r="I126" s="13" t="s">
        <v>296</v>
      </c>
      <c r="K126" s="13">
        <v>3</v>
      </c>
      <c r="L126" s="13">
        <v>1</v>
      </c>
      <c r="M126" s="13" t="s">
        <v>254</v>
      </c>
      <c r="N126" s="13" t="s">
        <v>396</v>
      </c>
      <c r="O126" s="13">
        <v>0</v>
      </c>
      <c r="P126" s="13" t="s">
        <v>1905</v>
      </c>
      <c r="Q126" s="13" t="s">
        <v>2252</v>
      </c>
      <c r="S126" s="13" t="s">
        <v>2301</v>
      </c>
      <c r="U126" s="42" t="s">
        <v>2253</v>
      </c>
      <c r="Y126" s="13" t="s">
        <v>250</v>
      </c>
      <c r="Z126" s="13" t="s">
        <v>2254</v>
      </c>
      <c r="AA126" s="13" t="s">
        <v>251</v>
      </c>
      <c r="AB126" s="13">
        <v>0.15</v>
      </c>
      <c r="AC126" s="13">
        <v>0</v>
      </c>
      <c r="AD126" s="13">
        <v>20</v>
      </c>
      <c r="AE126" s="13">
        <v>1</v>
      </c>
      <c r="AF126" s="13" t="s">
        <v>2302</v>
      </c>
      <c r="AH126" s="13" t="s">
        <v>399</v>
      </c>
      <c r="AI126" s="13">
        <v>680</v>
      </c>
      <c r="AK126" s="13">
        <v>24577.824170591997</v>
      </c>
      <c r="AN126" s="163" t="s">
        <v>235</v>
      </c>
      <c r="AO126" s="163">
        <v>0</v>
      </c>
      <c r="AP126" s="163" t="s">
        <v>252</v>
      </c>
      <c r="AR126" s="13">
        <v>24577.824170591997</v>
      </c>
      <c r="AS126" s="13">
        <v>7899.8825767679982</v>
      </c>
      <c r="AT126" s="13">
        <v>62855.563242727709</v>
      </c>
      <c r="AU126" s="13">
        <v>1</v>
      </c>
      <c r="AV126" s="13">
        <v>1</v>
      </c>
      <c r="AW126" s="13">
        <v>0</v>
      </c>
      <c r="AX126" s="13">
        <v>0</v>
      </c>
      <c r="AY126" s="13">
        <v>0</v>
      </c>
      <c r="AZ126" s="13">
        <v>0</v>
      </c>
      <c r="BA126" s="13">
        <v>0</v>
      </c>
      <c r="BB126" s="13">
        <v>0</v>
      </c>
      <c r="BC126" s="13">
        <v>0</v>
      </c>
      <c r="BD126" s="13">
        <v>0</v>
      </c>
      <c r="BE126" s="13">
        <v>0</v>
      </c>
      <c r="BF126" s="13">
        <v>0</v>
      </c>
      <c r="BG126" s="13">
        <v>0</v>
      </c>
      <c r="BH126" s="13">
        <v>0</v>
      </c>
      <c r="BI126" s="13">
        <v>0</v>
      </c>
      <c r="BJ126" s="13">
        <v>0</v>
      </c>
      <c r="BK126" s="13">
        <v>0</v>
      </c>
      <c r="BL126" s="13">
        <v>0</v>
      </c>
      <c r="BM126" s="13">
        <v>0</v>
      </c>
      <c r="BN126" s="13">
        <v>0</v>
      </c>
      <c r="BO126" s="13">
        <v>0</v>
      </c>
      <c r="BP126" s="13">
        <v>1</v>
      </c>
      <c r="BR126" s="13">
        <v>8</v>
      </c>
    </row>
    <row r="127" spans="1:70" s="13" customFormat="1" ht="14.25" x14ac:dyDescent="0.15">
      <c r="A127" s="164"/>
      <c r="B127" s="13" t="s">
        <v>2500</v>
      </c>
      <c r="C127" s="13" t="s">
        <v>2250</v>
      </c>
      <c r="E127" s="13" t="s">
        <v>2251</v>
      </c>
      <c r="G127" s="13">
        <v>1</v>
      </c>
      <c r="H127" s="13">
        <v>13</v>
      </c>
      <c r="I127" s="13" t="s">
        <v>296</v>
      </c>
      <c r="K127" s="13">
        <v>3</v>
      </c>
      <c r="L127" s="13">
        <v>1</v>
      </c>
      <c r="M127" s="13" t="s">
        <v>254</v>
      </c>
      <c r="N127" s="13" t="s">
        <v>396</v>
      </c>
      <c r="O127" s="13">
        <v>0</v>
      </c>
      <c r="P127" s="13" t="s">
        <v>2501</v>
      </c>
      <c r="Q127" s="13" t="s">
        <v>2252</v>
      </c>
      <c r="S127" s="13" t="s">
        <v>2301</v>
      </c>
      <c r="U127" s="42" t="s">
        <v>2253</v>
      </c>
      <c r="Y127" s="13" t="s">
        <v>250</v>
      </c>
      <c r="Z127" s="13" t="s">
        <v>2254</v>
      </c>
      <c r="AA127" s="13" t="s">
        <v>251</v>
      </c>
      <c r="AB127" s="13">
        <v>0.15</v>
      </c>
      <c r="AC127" s="13">
        <v>30</v>
      </c>
      <c r="AD127" s="13">
        <v>20</v>
      </c>
      <c r="AE127" s="13">
        <v>1</v>
      </c>
      <c r="AF127" s="13" t="s">
        <v>2302</v>
      </c>
      <c r="AH127" s="13" t="s">
        <v>399</v>
      </c>
      <c r="AI127" s="13">
        <v>300</v>
      </c>
      <c r="AK127" s="13">
        <v>24577.824170591997</v>
      </c>
      <c r="AN127" s="163" t="s">
        <v>235</v>
      </c>
      <c r="AO127" s="163">
        <v>0</v>
      </c>
      <c r="AP127" s="163" t="s">
        <v>252</v>
      </c>
      <c r="AR127" s="13">
        <v>24577.824170591997</v>
      </c>
      <c r="AS127" s="13">
        <v>7899.8825767679982</v>
      </c>
      <c r="AT127" s="13">
        <v>62855.563242727709</v>
      </c>
      <c r="AU127" s="13">
        <v>1</v>
      </c>
      <c r="AV127" s="13">
        <v>1</v>
      </c>
      <c r="AW127" s="13">
        <v>0</v>
      </c>
      <c r="AX127" s="13">
        <v>0</v>
      </c>
      <c r="AY127" s="13">
        <v>0</v>
      </c>
      <c r="AZ127" s="13">
        <v>0</v>
      </c>
      <c r="BA127" s="13">
        <v>0</v>
      </c>
      <c r="BB127" s="13">
        <v>0</v>
      </c>
      <c r="BC127" s="13">
        <v>0</v>
      </c>
      <c r="BD127" s="13">
        <v>0</v>
      </c>
      <c r="BE127" s="13">
        <v>0</v>
      </c>
      <c r="BF127" s="13">
        <v>0</v>
      </c>
      <c r="BG127" s="13">
        <v>0</v>
      </c>
      <c r="BH127" s="13">
        <v>0</v>
      </c>
      <c r="BI127" s="13">
        <v>0</v>
      </c>
      <c r="BJ127" s="13">
        <v>0</v>
      </c>
      <c r="BK127" s="13">
        <v>0</v>
      </c>
      <c r="BL127" s="13">
        <v>0</v>
      </c>
      <c r="BM127" s="13">
        <v>0</v>
      </c>
      <c r="BN127" s="13">
        <v>0</v>
      </c>
      <c r="BO127" s="13">
        <v>0</v>
      </c>
      <c r="BP127" s="13">
        <v>1</v>
      </c>
      <c r="BR127" s="13">
        <v>8</v>
      </c>
    </row>
    <row r="128" spans="1:70" s="13" customFormat="1" ht="14.25" x14ac:dyDescent="0.15">
      <c r="A128" s="164"/>
      <c r="B128" s="13" t="s">
        <v>1906</v>
      </c>
      <c r="C128" s="13" t="s">
        <v>2250</v>
      </c>
      <c r="E128" s="13" t="s">
        <v>2251</v>
      </c>
      <c r="G128" s="13">
        <v>1</v>
      </c>
      <c r="H128" s="13">
        <v>13</v>
      </c>
      <c r="I128" s="13" t="s">
        <v>296</v>
      </c>
      <c r="K128" s="13">
        <v>3</v>
      </c>
      <c r="L128" s="13">
        <v>1</v>
      </c>
      <c r="M128" s="13" t="s">
        <v>254</v>
      </c>
      <c r="N128" s="13" t="s">
        <v>396</v>
      </c>
      <c r="O128" s="13">
        <v>0</v>
      </c>
      <c r="P128" s="13" t="s">
        <v>1907</v>
      </c>
      <c r="Q128" s="13" t="s">
        <v>2252</v>
      </c>
      <c r="S128" s="13" t="s">
        <v>2301</v>
      </c>
      <c r="U128" s="42" t="s">
        <v>2253</v>
      </c>
      <c r="Y128" s="13" t="s">
        <v>250</v>
      </c>
      <c r="Z128" s="13" t="s">
        <v>2254</v>
      </c>
      <c r="AA128" s="13" t="s">
        <v>251</v>
      </c>
      <c r="AB128" s="13">
        <v>0.15</v>
      </c>
      <c r="AC128" s="13">
        <v>0</v>
      </c>
      <c r="AD128" s="13">
        <v>20</v>
      </c>
      <c r="AE128" s="13">
        <v>1</v>
      </c>
      <c r="AF128" s="13" t="s">
        <v>2302</v>
      </c>
      <c r="AH128" s="13" t="s">
        <v>399</v>
      </c>
      <c r="AI128" s="13">
        <v>0</v>
      </c>
      <c r="AK128" s="13">
        <v>24577.824170591997</v>
      </c>
      <c r="AN128" s="163" t="s">
        <v>235</v>
      </c>
      <c r="AO128" s="163">
        <v>0</v>
      </c>
      <c r="AP128" s="163" t="s">
        <v>252</v>
      </c>
      <c r="AR128" s="13">
        <v>24577.824170591997</v>
      </c>
      <c r="AS128" s="13">
        <v>7899.8825767679982</v>
      </c>
      <c r="AT128" s="13">
        <v>62855.563242727709</v>
      </c>
      <c r="AU128" s="13">
        <v>1</v>
      </c>
      <c r="AV128" s="13">
        <v>1</v>
      </c>
      <c r="AW128" s="13">
        <v>0</v>
      </c>
      <c r="AX128" s="13">
        <v>0</v>
      </c>
      <c r="AY128" s="13">
        <v>0</v>
      </c>
      <c r="AZ128" s="13">
        <v>0</v>
      </c>
      <c r="BA128" s="13">
        <v>0</v>
      </c>
      <c r="BB128" s="13">
        <v>0</v>
      </c>
      <c r="BC128" s="13">
        <v>0</v>
      </c>
      <c r="BD128" s="13">
        <v>0</v>
      </c>
      <c r="BE128" s="13">
        <v>0</v>
      </c>
      <c r="BF128" s="13">
        <v>0</v>
      </c>
      <c r="BG128" s="13">
        <v>0</v>
      </c>
      <c r="BH128" s="13">
        <v>0</v>
      </c>
      <c r="BI128" s="13">
        <v>0</v>
      </c>
      <c r="BJ128" s="13">
        <v>0</v>
      </c>
      <c r="BK128" s="13">
        <v>0</v>
      </c>
      <c r="BL128" s="13">
        <v>0</v>
      </c>
      <c r="BM128" s="13">
        <v>0</v>
      </c>
      <c r="BN128" s="13">
        <v>0</v>
      </c>
      <c r="BO128" s="13">
        <v>0</v>
      </c>
      <c r="BP128" s="13">
        <v>1</v>
      </c>
      <c r="BR128" s="13">
        <v>8</v>
      </c>
    </row>
    <row r="129" spans="1:70" s="13" customFormat="1" ht="14.25" x14ac:dyDescent="0.15">
      <c r="A129" s="164"/>
      <c r="B129" s="13" t="s">
        <v>1908</v>
      </c>
      <c r="C129" s="13" t="s">
        <v>2250</v>
      </c>
      <c r="E129" s="13" t="s">
        <v>2251</v>
      </c>
      <c r="G129" s="13">
        <v>1</v>
      </c>
      <c r="H129" s="13">
        <v>13</v>
      </c>
      <c r="I129" s="13" t="s">
        <v>296</v>
      </c>
      <c r="K129" s="13">
        <v>3</v>
      </c>
      <c r="L129" s="13">
        <v>1</v>
      </c>
      <c r="M129" s="13" t="s">
        <v>254</v>
      </c>
      <c r="N129" s="13" t="s">
        <v>396</v>
      </c>
      <c r="O129" s="13">
        <v>0</v>
      </c>
      <c r="P129" s="13" t="s">
        <v>1909</v>
      </c>
      <c r="Q129" s="13" t="s">
        <v>2252</v>
      </c>
      <c r="S129" s="13" t="s">
        <v>2301</v>
      </c>
      <c r="U129" s="42" t="s">
        <v>2253</v>
      </c>
      <c r="Y129" s="13" t="s">
        <v>250</v>
      </c>
      <c r="Z129" s="13" t="s">
        <v>2254</v>
      </c>
      <c r="AA129" s="13" t="s">
        <v>251</v>
      </c>
      <c r="AB129" s="13">
        <v>0.15</v>
      </c>
      <c r="AC129" s="13">
        <v>0</v>
      </c>
      <c r="AD129" s="13">
        <v>20</v>
      </c>
      <c r="AE129" s="13">
        <v>1</v>
      </c>
      <c r="AF129" s="13" t="s">
        <v>2302</v>
      </c>
      <c r="AH129" s="13" t="s">
        <v>399</v>
      </c>
      <c r="AI129" s="13">
        <v>1000</v>
      </c>
      <c r="AK129" s="13">
        <v>24577.824170591997</v>
      </c>
      <c r="AN129" s="163" t="s">
        <v>235</v>
      </c>
      <c r="AO129" s="163">
        <v>0</v>
      </c>
      <c r="AP129" s="163" t="s">
        <v>252</v>
      </c>
      <c r="AR129" s="13">
        <v>24577.824170591997</v>
      </c>
      <c r="AS129" s="13">
        <v>7899.8825767679982</v>
      </c>
      <c r="AT129" s="13">
        <v>62855.563242727709</v>
      </c>
      <c r="AU129" s="13">
        <v>1</v>
      </c>
      <c r="AV129" s="13">
        <v>1</v>
      </c>
      <c r="AW129" s="13">
        <v>0</v>
      </c>
      <c r="AX129" s="13">
        <v>0</v>
      </c>
      <c r="AY129" s="13">
        <v>0</v>
      </c>
      <c r="AZ129" s="13">
        <v>0</v>
      </c>
      <c r="BA129" s="13">
        <v>0</v>
      </c>
      <c r="BB129" s="13">
        <v>0</v>
      </c>
      <c r="BC129" s="13">
        <v>0</v>
      </c>
      <c r="BD129" s="13">
        <v>0</v>
      </c>
      <c r="BE129" s="13">
        <v>0</v>
      </c>
      <c r="BF129" s="13">
        <v>0</v>
      </c>
      <c r="BG129" s="13">
        <v>0</v>
      </c>
      <c r="BH129" s="13">
        <v>0</v>
      </c>
      <c r="BI129" s="13">
        <v>0</v>
      </c>
      <c r="BJ129" s="13">
        <v>0</v>
      </c>
      <c r="BK129" s="13">
        <v>0</v>
      </c>
      <c r="BL129" s="13">
        <v>0</v>
      </c>
      <c r="BM129" s="13">
        <v>0</v>
      </c>
      <c r="BN129" s="13">
        <v>0</v>
      </c>
      <c r="BO129" s="13">
        <v>0</v>
      </c>
      <c r="BP129" s="13">
        <v>1</v>
      </c>
      <c r="BR129" s="13">
        <v>8</v>
      </c>
    </row>
    <row r="130" spans="1:70" s="13" customFormat="1" ht="14.25" x14ac:dyDescent="0.15">
      <c r="A130" s="164"/>
      <c r="B130" s="13" t="s">
        <v>2502</v>
      </c>
      <c r="C130" s="13" t="s">
        <v>2250</v>
      </c>
      <c r="E130" s="13" t="s">
        <v>2251</v>
      </c>
      <c r="G130" s="13">
        <v>1</v>
      </c>
      <c r="H130" s="13">
        <v>13</v>
      </c>
      <c r="I130" s="13" t="s">
        <v>296</v>
      </c>
      <c r="K130" s="13">
        <v>3</v>
      </c>
      <c r="L130" s="13">
        <v>1</v>
      </c>
      <c r="M130" s="13" t="s">
        <v>254</v>
      </c>
      <c r="N130" s="13" t="s">
        <v>396</v>
      </c>
      <c r="O130" s="13">
        <v>0</v>
      </c>
      <c r="P130" s="13" t="s">
        <v>2503</v>
      </c>
      <c r="Q130" s="13" t="s">
        <v>2252</v>
      </c>
      <c r="S130" s="13" t="s">
        <v>2301</v>
      </c>
      <c r="U130" s="42" t="s">
        <v>2253</v>
      </c>
      <c r="Y130" s="13" t="s">
        <v>250</v>
      </c>
      <c r="Z130" s="13" t="s">
        <v>2254</v>
      </c>
      <c r="AA130" s="13" t="s">
        <v>251</v>
      </c>
      <c r="AB130" s="13">
        <v>0.15</v>
      </c>
      <c r="AC130" s="13">
        <v>30</v>
      </c>
      <c r="AD130" s="13">
        <v>20</v>
      </c>
      <c r="AE130" s="13">
        <v>1</v>
      </c>
      <c r="AF130" s="13" t="s">
        <v>2302</v>
      </c>
      <c r="AH130" s="13" t="s">
        <v>399</v>
      </c>
      <c r="AI130" s="13">
        <v>680</v>
      </c>
      <c r="AK130" s="13">
        <v>24577.824170591997</v>
      </c>
      <c r="AN130" s="163" t="s">
        <v>235</v>
      </c>
      <c r="AO130" s="163">
        <v>0</v>
      </c>
      <c r="AP130" s="163" t="s">
        <v>252</v>
      </c>
      <c r="AR130" s="13">
        <v>24577.824170591997</v>
      </c>
      <c r="AS130" s="13">
        <v>7899.8825767679982</v>
      </c>
      <c r="AT130" s="13">
        <v>62855.563242727709</v>
      </c>
      <c r="AU130" s="13">
        <v>1</v>
      </c>
      <c r="AV130" s="13">
        <v>1</v>
      </c>
      <c r="AW130" s="13">
        <v>0</v>
      </c>
      <c r="AX130" s="13">
        <v>0</v>
      </c>
      <c r="AY130" s="13">
        <v>0</v>
      </c>
      <c r="AZ130" s="13">
        <v>0</v>
      </c>
      <c r="BA130" s="13">
        <v>0</v>
      </c>
      <c r="BB130" s="13">
        <v>0</v>
      </c>
      <c r="BC130" s="13">
        <v>0</v>
      </c>
      <c r="BD130" s="13">
        <v>0</v>
      </c>
      <c r="BE130" s="13">
        <v>0</v>
      </c>
      <c r="BF130" s="13">
        <v>0</v>
      </c>
      <c r="BG130" s="13">
        <v>0</v>
      </c>
      <c r="BH130" s="13">
        <v>0</v>
      </c>
      <c r="BI130" s="13">
        <v>0</v>
      </c>
      <c r="BJ130" s="13">
        <v>0</v>
      </c>
      <c r="BK130" s="13">
        <v>0</v>
      </c>
      <c r="BL130" s="13">
        <v>0</v>
      </c>
      <c r="BM130" s="13">
        <v>0</v>
      </c>
      <c r="BN130" s="13">
        <v>0</v>
      </c>
      <c r="BO130" s="13">
        <v>0</v>
      </c>
      <c r="BP130" s="13">
        <v>1</v>
      </c>
      <c r="BR130" s="13">
        <v>8</v>
      </c>
    </row>
    <row r="131" spans="1:70" s="13" customFormat="1" ht="14.25" x14ac:dyDescent="0.15">
      <c r="A131" s="164"/>
      <c r="B131" s="13" t="s">
        <v>2504</v>
      </c>
      <c r="C131" s="13" t="s">
        <v>2250</v>
      </c>
      <c r="E131" s="13" t="s">
        <v>2251</v>
      </c>
      <c r="G131" s="13">
        <v>1</v>
      </c>
      <c r="H131" s="13">
        <v>13</v>
      </c>
      <c r="I131" s="13" t="s">
        <v>296</v>
      </c>
      <c r="K131" s="13">
        <v>3</v>
      </c>
      <c r="L131" s="13">
        <v>1</v>
      </c>
      <c r="M131" s="13" t="s">
        <v>254</v>
      </c>
      <c r="N131" s="13" t="s">
        <v>396</v>
      </c>
      <c r="O131" s="13">
        <v>0</v>
      </c>
      <c r="P131" s="13" t="s">
        <v>2505</v>
      </c>
      <c r="Q131" s="13" t="s">
        <v>2252</v>
      </c>
      <c r="S131" s="13" t="s">
        <v>2301</v>
      </c>
      <c r="U131" s="42" t="s">
        <v>2253</v>
      </c>
      <c r="Y131" s="13" t="s">
        <v>250</v>
      </c>
      <c r="Z131" s="13" t="s">
        <v>2254</v>
      </c>
      <c r="AA131" s="13" t="s">
        <v>251</v>
      </c>
      <c r="AB131" s="13">
        <v>0.15</v>
      </c>
      <c r="AC131" s="13">
        <v>0</v>
      </c>
      <c r="AD131" s="13">
        <v>20</v>
      </c>
      <c r="AE131" s="13">
        <v>1</v>
      </c>
      <c r="AF131" s="13" t="s">
        <v>2302</v>
      </c>
      <c r="AH131" s="13" t="s">
        <v>399</v>
      </c>
      <c r="AI131" s="13">
        <v>1000</v>
      </c>
      <c r="AK131" s="13">
        <v>24577.824170591997</v>
      </c>
      <c r="AN131" s="163" t="s">
        <v>235</v>
      </c>
      <c r="AO131" s="163">
        <v>0</v>
      </c>
      <c r="AP131" s="163" t="s">
        <v>252</v>
      </c>
      <c r="AR131" s="13">
        <v>24577.824170591997</v>
      </c>
      <c r="AS131" s="13">
        <v>7899.8825767679982</v>
      </c>
      <c r="AT131" s="13">
        <v>62855.563242727709</v>
      </c>
      <c r="AU131" s="13">
        <v>1</v>
      </c>
      <c r="AV131" s="13">
        <v>1</v>
      </c>
      <c r="AW131" s="13">
        <v>0</v>
      </c>
      <c r="AX131" s="13">
        <v>0</v>
      </c>
      <c r="AY131" s="13">
        <v>0</v>
      </c>
      <c r="AZ131" s="13">
        <v>0</v>
      </c>
      <c r="BA131" s="13">
        <v>0</v>
      </c>
      <c r="BB131" s="13">
        <v>0</v>
      </c>
      <c r="BC131" s="13">
        <v>0</v>
      </c>
      <c r="BD131" s="13">
        <v>0</v>
      </c>
      <c r="BE131" s="13">
        <v>0</v>
      </c>
      <c r="BF131" s="13">
        <v>0</v>
      </c>
      <c r="BG131" s="13">
        <v>0</v>
      </c>
      <c r="BH131" s="13">
        <v>0</v>
      </c>
      <c r="BI131" s="13">
        <v>0</v>
      </c>
      <c r="BJ131" s="13">
        <v>0</v>
      </c>
      <c r="BK131" s="13">
        <v>0</v>
      </c>
      <c r="BL131" s="13">
        <v>0</v>
      </c>
      <c r="BM131" s="13">
        <v>0</v>
      </c>
      <c r="BN131" s="13">
        <v>0</v>
      </c>
      <c r="BO131" s="13">
        <v>0</v>
      </c>
      <c r="BP131" s="13">
        <v>1</v>
      </c>
      <c r="BR131" s="13">
        <v>8</v>
      </c>
    </row>
    <row r="132" spans="1:70" s="13" customFormat="1" ht="14.25" x14ac:dyDescent="0.15">
      <c r="A132" s="164"/>
      <c r="B132" s="13" t="s">
        <v>2506</v>
      </c>
      <c r="C132" s="11" t="s">
        <v>2250</v>
      </c>
      <c r="E132" s="13" t="s">
        <v>2251</v>
      </c>
      <c r="G132" s="13">
        <v>1</v>
      </c>
      <c r="H132" s="13">
        <v>13</v>
      </c>
      <c r="I132" s="13" t="s">
        <v>296</v>
      </c>
      <c r="K132" s="13">
        <v>3</v>
      </c>
      <c r="L132" s="13">
        <v>1</v>
      </c>
      <c r="M132" s="13" t="s">
        <v>254</v>
      </c>
      <c r="N132" s="13" t="s">
        <v>396</v>
      </c>
      <c r="O132" s="13">
        <v>0</v>
      </c>
      <c r="P132" s="13" t="s">
        <v>2507</v>
      </c>
      <c r="Q132" s="13" t="s">
        <v>2252</v>
      </c>
      <c r="S132" s="13" t="s">
        <v>2301</v>
      </c>
      <c r="U132" s="42" t="s">
        <v>2253</v>
      </c>
      <c r="Y132" s="13" t="s">
        <v>250</v>
      </c>
      <c r="Z132" s="13" t="s">
        <v>2254</v>
      </c>
      <c r="AA132" s="13" t="s">
        <v>251</v>
      </c>
      <c r="AB132" s="13">
        <v>0.15</v>
      </c>
      <c r="AC132" s="13">
        <v>0</v>
      </c>
      <c r="AD132" s="13">
        <v>20</v>
      </c>
      <c r="AE132" s="13">
        <v>1</v>
      </c>
      <c r="AF132" s="13" t="s">
        <v>2302</v>
      </c>
      <c r="AH132" s="13" t="s">
        <v>399</v>
      </c>
      <c r="AI132" s="13">
        <v>0</v>
      </c>
      <c r="AK132" s="13">
        <v>24577.824170591997</v>
      </c>
      <c r="AN132" s="163" t="s">
        <v>235</v>
      </c>
      <c r="AO132" s="163">
        <v>0</v>
      </c>
      <c r="AP132" s="163" t="s">
        <v>252</v>
      </c>
      <c r="AR132" s="13">
        <v>24577.824170591997</v>
      </c>
      <c r="AS132" s="13">
        <v>7899.8825767679982</v>
      </c>
      <c r="AT132" s="13">
        <v>62855.563242727709</v>
      </c>
      <c r="AU132" s="13">
        <v>1</v>
      </c>
      <c r="AV132" s="13">
        <v>1</v>
      </c>
      <c r="AW132" s="13">
        <v>0</v>
      </c>
      <c r="AX132" s="13">
        <v>0</v>
      </c>
      <c r="AY132" s="13">
        <v>0</v>
      </c>
      <c r="AZ132" s="13">
        <v>0</v>
      </c>
      <c r="BA132" s="13">
        <v>0</v>
      </c>
      <c r="BB132" s="13">
        <v>0</v>
      </c>
      <c r="BC132" s="13">
        <v>0</v>
      </c>
      <c r="BD132" s="13">
        <v>0</v>
      </c>
      <c r="BE132" s="13">
        <v>0</v>
      </c>
      <c r="BF132" s="13">
        <v>0</v>
      </c>
      <c r="BG132" s="13">
        <v>0</v>
      </c>
      <c r="BH132" s="13">
        <v>0</v>
      </c>
      <c r="BI132" s="13">
        <v>0</v>
      </c>
      <c r="BJ132" s="13">
        <v>0</v>
      </c>
      <c r="BK132" s="13">
        <v>0</v>
      </c>
      <c r="BL132" s="13">
        <v>0</v>
      </c>
      <c r="BM132" s="13">
        <v>0</v>
      </c>
      <c r="BN132" s="13">
        <v>0</v>
      </c>
      <c r="BO132" s="13">
        <v>0</v>
      </c>
      <c r="BP132" s="13">
        <v>1</v>
      </c>
      <c r="BR132" s="13">
        <v>8</v>
      </c>
    </row>
    <row r="133" spans="1:70" s="13" customFormat="1" ht="14.25" x14ac:dyDescent="0.15">
      <c r="A133" s="164"/>
      <c r="B133" s="13" t="s">
        <v>2508</v>
      </c>
      <c r="C133" s="13" t="s">
        <v>2447</v>
      </c>
      <c r="E133" s="13" t="s">
        <v>2448</v>
      </c>
      <c r="G133" s="13">
        <v>0</v>
      </c>
      <c r="H133" s="13">
        <v>13</v>
      </c>
      <c r="I133" s="13" t="s">
        <v>397</v>
      </c>
      <c r="K133" s="13">
        <v>3</v>
      </c>
      <c r="L133" s="13">
        <v>1</v>
      </c>
      <c r="M133" s="13" t="s">
        <v>254</v>
      </c>
      <c r="N133" s="13" t="s">
        <v>396</v>
      </c>
      <c r="O133" s="13">
        <v>0</v>
      </c>
      <c r="P133" s="13" t="s">
        <v>2509</v>
      </c>
      <c r="Q133" s="13" t="s">
        <v>2450</v>
      </c>
      <c r="S133" s="13" t="s">
        <v>2451</v>
      </c>
      <c r="U133" s="42" t="s">
        <v>2452</v>
      </c>
      <c r="Y133" s="13" t="s">
        <v>250</v>
      </c>
      <c r="Z133" s="13" t="s">
        <v>2453</v>
      </c>
      <c r="AA133" s="13" t="s">
        <v>251</v>
      </c>
      <c r="AB133" s="13">
        <v>0.15</v>
      </c>
      <c r="AC133" s="13">
        <v>0</v>
      </c>
      <c r="AD133" s="13">
        <v>20</v>
      </c>
      <c r="AE133" s="13">
        <v>1</v>
      </c>
      <c r="AF133" s="13" t="s">
        <v>2454</v>
      </c>
      <c r="AH133" s="13" t="s">
        <v>399</v>
      </c>
      <c r="AI133" s="13">
        <v>0</v>
      </c>
      <c r="AK133" s="13">
        <v>33699.7429921152</v>
      </c>
      <c r="AN133" s="163" t="s">
        <v>235</v>
      </c>
      <c r="AO133" s="163">
        <v>0</v>
      </c>
      <c r="AP133" s="163" t="s">
        <v>252</v>
      </c>
      <c r="AR133" s="13">
        <v>33699.7429921152</v>
      </c>
      <c r="AS133" s="13">
        <v>9634.003142399999</v>
      </c>
      <c r="AT133" s="13">
        <v>142327.33171971928</v>
      </c>
      <c r="AU133" s="13">
        <v>1</v>
      </c>
      <c r="AV133" s="13">
        <v>1</v>
      </c>
      <c r="AW133" s="13">
        <v>0</v>
      </c>
      <c r="AX133" s="13">
        <v>0</v>
      </c>
      <c r="AY133" s="13">
        <v>0</v>
      </c>
      <c r="AZ133" s="13">
        <v>0</v>
      </c>
      <c r="BA133" s="13">
        <v>0</v>
      </c>
      <c r="BB133" s="13">
        <v>0</v>
      </c>
      <c r="BC133" s="13">
        <v>0</v>
      </c>
      <c r="BD133" s="13">
        <v>0</v>
      </c>
      <c r="BE133" s="13">
        <v>0</v>
      </c>
      <c r="BF133" s="13">
        <v>0</v>
      </c>
      <c r="BG133" s="13">
        <v>0</v>
      </c>
      <c r="BH133" s="13">
        <v>0</v>
      </c>
      <c r="BI133" s="13">
        <v>0</v>
      </c>
      <c r="BJ133" s="13">
        <v>0</v>
      </c>
      <c r="BK133" s="13">
        <v>0</v>
      </c>
      <c r="BL133" s="13">
        <v>0</v>
      </c>
      <c r="BM133" s="13">
        <v>0</v>
      </c>
      <c r="BN133" s="13">
        <v>0</v>
      </c>
      <c r="BO133" s="13">
        <v>0</v>
      </c>
      <c r="BP133" s="13">
        <v>1</v>
      </c>
      <c r="BR133" s="13">
        <v>16</v>
      </c>
    </row>
    <row r="134" spans="1:70" s="13" customFormat="1" ht="14.25" x14ac:dyDescent="0.15">
      <c r="A134" s="164"/>
      <c r="B134" s="13" t="s">
        <v>2510</v>
      </c>
      <c r="C134" s="13" t="s">
        <v>1163</v>
      </c>
      <c r="E134" s="13" t="s">
        <v>1164</v>
      </c>
      <c r="G134" s="13">
        <v>0</v>
      </c>
      <c r="H134" s="13">
        <v>13</v>
      </c>
      <c r="I134" s="13" t="s">
        <v>296</v>
      </c>
      <c r="K134" s="13">
        <v>3</v>
      </c>
      <c r="L134" s="13">
        <v>1</v>
      </c>
      <c r="M134" s="13" t="s">
        <v>254</v>
      </c>
      <c r="N134" s="13" t="s">
        <v>396</v>
      </c>
      <c r="O134" s="13">
        <v>0</v>
      </c>
      <c r="P134" s="13" t="s">
        <v>2511</v>
      </c>
      <c r="Q134" s="13" t="s">
        <v>1165</v>
      </c>
      <c r="S134" s="13" t="s">
        <v>1166</v>
      </c>
      <c r="U134" s="42" t="s">
        <v>1167</v>
      </c>
      <c r="Y134" s="13" t="s">
        <v>3303</v>
      </c>
      <c r="Z134" s="13" t="s">
        <v>444</v>
      </c>
      <c r="AA134" s="13" t="s">
        <v>251</v>
      </c>
      <c r="AB134" s="13">
        <v>0.15</v>
      </c>
      <c r="AC134" s="13">
        <v>0</v>
      </c>
      <c r="AD134" s="13">
        <v>20</v>
      </c>
      <c r="AE134" s="13">
        <v>1</v>
      </c>
      <c r="AF134" s="13" t="s">
        <v>1169</v>
      </c>
      <c r="AH134" s="13" t="s">
        <v>399</v>
      </c>
      <c r="AI134" s="13">
        <v>300</v>
      </c>
      <c r="AK134" s="13">
        <v>40718.484819935999</v>
      </c>
      <c r="AN134" s="163" t="s">
        <v>235</v>
      </c>
      <c r="AO134" s="163">
        <v>0</v>
      </c>
      <c r="AP134" s="163" t="s">
        <v>252</v>
      </c>
      <c r="AR134" s="13">
        <v>40718.484819935999</v>
      </c>
      <c r="AS134" s="13">
        <v>7899.8825767679982</v>
      </c>
      <c r="AT134" s="13">
        <v>91865.823200909712</v>
      </c>
      <c r="AU134" s="13">
        <v>1</v>
      </c>
      <c r="AV134" s="13">
        <v>1</v>
      </c>
      <c r="AW134" s="13">
        <v>0</v>
      </c>
      <c r="AX134" s="13">
        <v>0</v>
      </c>
      <c r="AY134" s="13">
        <v>0</v>
      </c>
      <c r="AZ134" s="13">
        <v>0</v>
      </c>
      <c r="BA134" s="13">
        <v>0</v>
      </c>
      <c r="BB134" s="13">
        <v>0</v>
      </c>
      <c r="BC134" s="13">
        <v>0</v>
      </c>
      <c r="BD134" s="13">
        <v>0</v>
      </c>
      <c r="BE134" s="13">
        <v>0</v>
      </c>
      <c r="BF134" s="13">
        <v>0</v>
      </c>
      <c r="BG134" s="13">
        <v>0</v>
      </c>
      <c r="BH134" s="13">
        <v>0</v>
      </c>
      <c r="BI134" s="13">
        <v>0</v>
      </c>
      <c r="BJ134" s="13">
        <v>0</v>
      </c>
      <c r="BK134" s="13">
        <v>0</v>
      </c>
      <c r="BL134" s="13">
        <v>0</v>
      </c>
      <c r="BM134" s="13">
        <v>0</v>
      </c>
      <c r="BN134" s="13">
        <v>0</v>
      </c>
      <c r="BO134" s="13">
        <v>0</v>
      </c>
      <c r="BP134" s="13">
        <v>1</v>
      </c>
      <c r="BQ134" s="11" t="s">
        <v>2337</v>
      </c>
      <c r="BR134" s="13">
        <v>17</v>
      </c>
    </row>
    <row r="135" spans="1:70" s="13" customFormat="1" ht="14.25" x14ac:dyDescent="0.15">
      <c r="A135" s="164"/>
      <c r="B135" s="13" t="s">
        <v>2512</v>
      </c>
      <c r="C135" s="13" t="s">
        <v>2447</v>
      </c>
      <c r="E135" s="13" t="s">
        <v>2448</v>
      </c>
      <c r="G135" s="13">
        <v>0</v>
      </c>
      <c r="H135" s="13">
        <v>13</v>
      </c>
      <c r="I135" s="13" t="s">
        <v>397</v>
      </c>
      <c r="K135" s="13">
        <v>3</v>
      </c>
      <c r="L135" s="13">
        <v>1</v>
      </c>
      <c r="M135" s="13" t="s">
        <v>254</v>
      </c>
      <c r="N135" s="13" t="s">
        <v>396</v>
      </c>
      <c r="O135" s="13">
        <v>0</v>
      </c>
      <c r="P135" s="13" t="s">
        <v>2513</v>
      </c>
      <c r="Q135" s="13" t="s">
        <v>2450</v>
      </c>
      <c r="S135" s="13" t="s">
        <v>2451</v>
      </c>
      <c r="U135" s="42" t="s">
        <v>2452</v>
      </c>
      <c r="Y135" s="13" t="s">
        <v>250</v>
      </c>
      <c r="Z135" s="13" t="s">
        <v>2453</v>
      </c>
      <c r="AA135" s="13" t="s">
        <v>251</v>
      </c>
      <c r="AB135" s="13">
        <v>0.15</v>
      </c>
      <c r="AC135" s="13">
        <v>0</v>
      </c>
      <c r="AD135" s="13">
        <v>20</v>
      </c>
      <c r="AE135" s="13">
        <v>1</v>
      </c>
      <c r="AF135" s="13" t="s">
        <v>2454</v>
      </c>
      <c r="AH135" s="13" t="s">
        <v>399</v>
      </c>
      <c r="AI135" s="13">
        <v>680</v>
      </c>
      <c r="AK135" s="13">
        <v>33699.7429921152</v>
      </c>
      <c r="AN135" s="163" t="s">
        <v>235</v>
      </c>
      <c r="AO135" s="163">
        <v>0</v>
      </c>
      <c r="AP135" s="163" t="s">
        <v>252</v>
      </c>
      <c r="AR135" s="13">
        <v>33699.7429921152</v>
      </c>
      <c r="AS135" s="13">
        <v>9634.003142399999</v>
      </c>
      <c r="AT135" s="13">
        <v>142327.33171971928</v>
      </c>
      <c r="AU135" s="13">
        <v>1</v>
      </c>
      <c r="AV135" s="13">
        <v>1</v>
      </c>
      <c r="AW135" s="13">
        <v>0</v>
      </c>
      <c r="AX135" s="13">
        <v>0</v>
      </c>
      <c r="AY135" s="13">
        <v>0</v>
      </c>
      <c r="AZ135" s="13">
        <v>0</v>
      </c>
      <c r="BA135" s="13">
        <v>0</v>
      </c>
      <c r="BB135" s="13">
        <v>0</v>
      </c>
      <c r="BC135" s="13">
        <v>0</v>
      </c>
      <c r="BD135" s="13">
        <v>0</v>
      </c>
      <c r="BE135" s="13">
        <v>0</v>
      </c>
      <c r="BF135" s="13">
        <v>0</v>
      </c>
      <c r="BG135" s="13">
        <v>0</v>
      </c>
      <c r="BH135" s="13">
        <v>0</v>
      </c>
      <c r="BI135" s="13">
        <v>0</v>
      </c>
      <c r="BJ135" s="13">
        <v>0</v>
      </c>
      <c r="BK135" s="13">
        <v>0</v>
      </c>
      <c r="BL135" s="13">
        <v>0</v>
      </c>
      <c r="BM135" s="13">
        <v>0</v>
      </c>
      <c r="BN135" s="13">
        <v>0</v>
      </c>
      <c r="BO135" s="13">
        <v>0</v>
      </c>
      <c r="BP135" s="13">
        <v>1</v>
      </c>
      <c r="BR135" s="13">
        <v>16</v>
      </c>
    </row>
    <row r="136" spans="1:70" s="13" customFormat="1" ht="14.25" x14ac:dyDescent="0.15">
      <c r="A136" s="164"/>
      <c r="B136" s="13" t="s">
        <v>2514</v>
      </c>
      <c r="C136" s="11" t="s">
        <v>862</v>
      </c>
      <c r="E136" s="13" t="s">
        <v>863</v>
      </c>
      <c r="G136" s="13">
        <v>0</v>
      </c>
      <c r="H136" s="13">
        <v>13</v>
      </c>
      <c r="I136" s="13" t="s">
        <v>296</v>
      </c>
      <c r="K136" s="13">
        <v>3</v>
      </c>
      <c r="L136" s="13">
        <v>1</v>
      </c>
      <c r="M136" s="13" t="s">
        <v>254</v>
      </c>
      <c r="N136" s="13" t="s">
        <v>396</v>
      </c>
      <c r="O136" s="13">
        <v>0</v>
      </c>
      <c r="P136" s="13" t="s">
        <v>2515</v>
      </c>
      <c r="Q136" s="13" t="s">
        <v>864</v>
      </c>
      <c r="S136" s="13" t="s">
        <v>865</v>
      </c>
      <c r="U136" s="42" t="s">
        <v>866</v>
      </c>
      <c r="Y136" s="13" t="s">
        <v>250</v>
      </c>
      <c r="Z136" s="13" t="s">
        <v>867</v>
      </c>
      <c r="AA136" s="13" t="s">
        <v>251</v>
      </c>
      <c r="AB136" s="13">
        <v>0.15</v>
      </c>
      <c r="AC136" s="13">
        <v>30</v>
      </c>
      <c r="AD136" s="13">
        <v>20</v>
      </c>
      <c r="AE136" s="13">
        <v>1</v>
      </c>
      <c r="AF136" s="13" t="s">
        <v>1005</v>
      </c>
      <c r="AH136" s="13" t="s">
        <v>399</v>
      </c>
      <c r="AI136" s="13">
        <v>0</v>
      </c>
      <c r="AK136" s="13">
        <v>34849.153674719993</v>
      </c>
      <c r="AN136" s="163" t="s">
        <v>235</v>
      </c>
      <c r="AO136" s="163">
        <v>0</v>
      </c>
      <c r="AP136" s="163" t="s">
        <v>252</v>
      </c>
      <c r="AR136" s="13">
        <v>34849.153674719993</v>
      </c>
      <c r="AS136" s="13">
        <v>7899.8825767679982</v>
      </c>
      <c r="AT136" s="13">
        <v>80303.763072648755</v>
      </c>
      <c r="AU136" s="13">
        <v>1</v>
      </c>
      <c r="AV136" s="13">
        <v>1</v>
      </c>
      <c r="AW136" s="13">
        <v>0</v>
      </c>
      <c r="AX136" s="13">
        <v>0</v>
      </c>
      <c r="AY136" s="13">
        <v>0</v>
      </c>
      <c r="AZ136" s="13">
        <v>0</v>
      </c>
      <c r="BA136" s="13">
        <v>0</v>
      </c>
      <c r="BB136" s="13">
        <v>0</v>
      </c>
      <c r="BC136" s="13">
        <v>0</v>
      </c>
      <c r="BD136" s="13">
        <v>0</v>
      </c>
      <c r="BE136" s="13">
        <v>0</v>
      </c>
      <c r="BF136" s="13">
        <v>0</v>
      </c>
      <c r="BG136" s="13">
        <v>0</v>
      </c>
      <c r="BH136" s="13">
        <v>0</v>
      </c>
      <c r="BI136" s="13">
        <v>0</v>
      </c>
      <c r="BJ136" s="13">
        <v>0</v>
      </c>
      <c r="BK136" s="13">
        <v>0</v>
      </c>
      <c r="BL136" s="13">
        <v>0</v>
      </c>
      <c r="BM136" s="13">
        <v>0</v>
      </c>
      <c r="BN136" s="13">
        <v>0</v>
      </c>
      <c r="BO136" s="13">
        <v>0</v>
      </c>
      <c r="BP136" s="13">
        <v>1</v>
      </c>
      <c r="BR136" s="13">
        <v>14</v>
      </c>
    </row>
    <row r="137" spans="1:70" s="13" customFormat="1" ht="14.25" x14ac:dyDescent="0.15">
      <c r="A137" s="164"/>
      <c r="B137" s="13" t="s">
        <v>2516</v>
      </c>
      <c r="C137" s="13" t="s">
        <v>931</v>
      </c>
      <c r="E137" s="13" t="s">
        <v>932</v>
      </c>
      <c r="G137" s="13">
        <v>0</v>
      </c>
      <c r="H137" s="13">
        <v>12</v>
      </c>
      <c r="I137" s="13" t="s">
        <v>296</v>
      </c>
      <c r="K137" s="13">
        <v>3</v>
      </c>
      <c r="L137" s="13">
        <v>1</v>
      </c>
      <c r="M137" s="13" t="s">
        <v>254</v>
      </c>
      <c r="N137" s="13" t="s">
        <v>396</v>
      </c>
      <c r="O137" s="13">
        <v>0</v>
      </c>
      <c r="P137" s="13" t="s">
        <v>2517</v>
      </c>
      <c r="Q137" s="13" t="s">
        <v>933</v>
      </c>
      <c r="S137" s="13" t="s">
        <v>934</v>
      </c>
      <c r="U137" s="42" t="s">
        <v>935</v>
      </c>
      <c r="Y137" s="13" t="s">
        <v>250</v>
      </c>
      <c r="Z137" s="13" t="s">
        <v>936</v>
      </c>
      <c r="AA137" s="13" t="s">
        <v>251</v>
      </c>
      <c r="AB137" s="13">
        <v>0.15</v>
      </c>
      <c r="AC137" s="13">
        <v>0</v>
      </c>
      <c r="AD137" s="13">
        <v>20</v>
      </c>
      <c r="AE137" s="13">
        <v>1</v>
      </c>
      <c r="AF137" s="13" t="s">
        <v>1020</v>
      </c>
      <c r="AH137" s="13" t="s">
        <v>399</v>
      </c>
      <c r="AI137" s="13">
        <v>0</v>
      </c>
      <c r="AK137" s="13">
        <v>34849.153674719993</v>
      </c>
      <c r="AN137" s="163" t="s">
        <v>235</v>
      </c>
      <c r="AO137" s="163">
        <v>0</v>
      </c>
      <c r="AP137" s="163" t="s">
        <v>252</v>
      </c>
      <c r="AR137" s="13">
        <v>34849.153674719993</v>
      </c>
      <c r="AS137" s="13">
        <v>7899.8825767679982</v>
      </c>
      <c r="AT137" s="13">
        <v>80303.763072648755</v>
      </c>
      <c r="AU137" s="13">
        <v>1</v>
      </c>
      <c r="AV137" s="13">
        <v>1</v>
      </c>
      <c r="AW137" s="13">
        <v>0</v>
      </c>
      <c r="AX137" s="13">
        <v>0</v>
      </c>
      <c r="AY137" s="13">
        <v>0</v>
      </c>
      <c r="AZ137" s="13">
        <v>0</v>
      </c>
      <c r="BA137" s="13">
        <v>0</v>
      </c>
      <c r="BB137" s="13">
        <v>0</v>
      </c>
      <c r="BC137" s="13">
        <v>0</v>
      </c>
      <c r="BD137" s="13">
        <v>0</v>
      </c>
      <c r="BE137" s="13">
        <v>0</v>
      </c>
      <c r="BF137" s="13">
        <v>0</v>
      </c>
      <c r="BG137" s="13">
        <v>0</v>
      </c>
      <c r="BH137" s="13">
        <v>0</v>
      </c>
      <c r="BI137" s="13">
        <v>0</v>
      </c>
      <c r="BJ137" s="13">
        <v>0</v>
      </c>
      <c r="BK137" s="13">
        <v>0</v>
      </c>
      <c r="BL137" s="13">
        <v>0</v>
      </c>
      <c r="BM137" s="13">
        <v>0</v>
      </c>
      <c r="BN137" s="13">
        <v>0</v>
      </c>
      <c r="BO137" s="13">
        <v>0</v>
      </c>
      <c r="BP137" s="13">
        <v>1</v>
      </c>
      <c r="BR137" s="13">
        <v>14</v>
      </c>
    </row>
    <row r="138" spans="1:70" s="13" customFormat="1" ht="14.25" x14ac:dyDescent="0.15">
      <c r="A138" s="164"/>
      <c r="B138" s="13" t="s">
        <v>2518</v>
      </c>
      <c r="C138" s="13" t="s">
        <v>862</v>
      </c>
      <c r="E138" s="13" t="s">
        <v>863</v>
      </c>
      <c r="G138" s="13">
        <v>0</v>
      </c>
      <c r="H138" s="13">
        <v>13</v>
      </c>
      <c r="I138" s="13" t="s">
        <v>296</v>
      </c>
      <c r="K138" s="13">
        <v>3</v>
      </c>
      <c r="L138" s="13">
        <v>1</v>
      </c>
      <c r="M138" s="13" t="s">
        <v>254</v>
      </c>
      <c r="N138" s="13" t="s">
        <v>396</v>
      </c>
      <c r="O138" s="13">
        <v>0</v>
      </c>
      <c r="P138" s="13" t="s">
        <v>2519</v>
      </c>
      <c r="Q138" s="13" t="s">
        <v>864</v>
      </c>
      <c r="S138" s="13" t="s">
        <v>865</v>
      </c>
      <c r="U138" s="42" t="s">
        <v>866</v>
      </c>
      <c r="Y138" s="13" t="s">
        <v>250</v>
      </c>
      <c r="Z138" s="13" t="s">
        <v>867</v>
      </c>
      <c r="AA138" s="13" t="s">
        <v>251</v>
      </c>
      <c r="AB138" s="13">
        <v>0.15</v>
      </c>
      <c r="AC138" s="13">
        <v>0</v>
      </c>
      <c r="AD138" s="13">
        <v>20</v>
      </c>
      <c r="AE138" s="13">
        <v>1</v>
      </c>
      <c r="AF138" s="13" t="s">
        <v>1005</v>
      </c>
      <c r="AH138" s="13" t="s">
        <v>399</v>
      </c>
      <c r="AI138" s="13">
        <v>1000</v>
      </c>
      <c r="AK138" s="13">
        <v>34849.153674719993</v>
      </c>
      <c r="AN138" s="163" t="s">
        <v>235</v>
      </c>
      <c r="AO138" s="163">
        <v>0</v>
      </c>
      <c r="AP138" s="163" t="s">
        <v>252</v>
      </c>
      <c r="AR138" s="13">
        <v>34849.153674719993</v>
      </c>
      <c r="AS138" s="13">
        <v>7899.8825767679982</v>
      </c>
      <c r="AT138" s="13">
        <v>80303.763072648755</v>
      </c>
      <c r="AU138" s="13">
        <v>1</v>
      </c>
      <c r="AV138" s="13">
        <v>1</v>
      </c>
      <c r="AW138" s="13">
        <v>0</v>
      </c>
      <c r="AX138" s="13">
        <v>0</v>
      </c>
      <c r="AY138" s="13">
        <v>0</v>
      </c>
      <c r="AZ138" s="13">
        <v>0</v>
      </c>
      <c r="BA138" s="13">
        <v>0</v>
      </c>
      <c r="BB138" s="13">
        <v>0</v>
      </c>
      <c r="BC138" s="13">
        <v>0</v>
      </c>
      <c r="BD138" s="13">
        <v>0</v>
      </c>
      <c r="BE138" s="13">
        <v>0</v>
      </c>
      <c r="BF138" s="13">
        <v>0</v>
      </c>
      <c r="BG138" s="13">
        <v>0</v>
      </c>
      <c r="BH138" s="13">
        <v>0</v>
      </c>
      <c r="BI138" s="13">
        <v>0</v>
      </c>
      <c r="BJ138" s="13">
        <v>0</v>
      </c>
      <c r="BK138" s="13">
        <v>0</v>
      </c>
      <c r="BL138" s="13">
        <v>0</v>
      </c>
      <c r="BM138" s="13">
        <v>0</v>
      </c>
      <c r="BN138" s="13">
        <v>0</v>
      </c>
      <c r="BO138" s="13">
        <v>0</v>
      </c>
      <c r="BP138" s="13">
        <v>1</v>
      </c>
      <c r="BR138" s="13">
        <v>14</v>
      </c>
    </row>
    <row r="139" spans="1:70" s="13" customFormat="1" ht="14.25" x14ac:dyDescent="0.15">
      <c r="A139" s="164"/>
      <c r="B139" s="13" t="s">
        <v>1910</v>
      </c>
      <c r="C139" s="13" t="s">
        <v>881</v>
      </c>
      <c r="E139" s="13" t="s">
        <v>726</v>
      </c>
      <c r="G139" s="13">
        <v>0</v>
      </c>
      <c r="H139" s="13">
        <v>12</v>
      </c>
      <c r="I139" s="13" t="s">
        <v>400</v>
      </c>
      <c r="K139" s="13">
        <v>3</v>
      </c>
      <c r="L139" s="13">
        <v>1</v>
      </c>
      <c r="M139" s="13" t="s">
        <v>254</v>
      </c>
      <c r="N139" s="13" t="s">
        <v>396</v>
      </c>
      <c r="O139" s="13">
        <v>0</v>
      </c>
      <c r="P139" s="13" t="s">
        <v>1911</v>
      </c>
      <c r="Q139" s="13" t="s">
        <v>727</v>
      </c>
      <c r="S139" s="13" t="s">
        <v>728</v>
      </c>
      <c r="U139" s="42" t="s">
        <v>729</v>
      </c>
      <c r="Y139" s="13" t="s">
        <v>250</v>
      </c>
      <c r="Z139" s="13" t="s">
        <v>730</v>
      </c>
      <c r="AA139" s="13" t="s">
        <v>251</v>
      </c>
      <c r="AB139" s="13">
        <v>0.15</v>
      </c>
      <c r="AC139" s="13">
        <v>30</v>
      </c>
      <c r="AD139" s="13">
        <v>20</v>
      </c>
      <c r="AE139" s="13">
        <v>1</v>
      </c>
      <c r="AF139" s="13" t="s">
        <v>1009</v>
      </c>
      <c r="AH139" s="13" t="s">
        <v>399</v>
      </c>
      <c r="AI139" s="13">
        <v>0</v>
      </c>
      <c r="AK139" s="13">
        <v>15361.140106619998</v>
      </c>
      <c r="AN139" s="163" t="s">
        <v>235</v>
      </c>
      <c r="AO139" s="163">
        <v>0</v>
      </c>
      <c r="AP139" s="163" t="s">
        <v>252</v>
      </c>
      <c r="AR139" s="13">
        <v>15361.140106619998</v>
      </c>
      <c r="AS139" s="13">
        <v>11368.123708031999</v>
      </c>
      <c r="AT139" s="13">
        <v>124825.83686231842</v>
      </c>
      <c r="AU139" s="13">
        <v>1</v>
      </c>
      <c r="AV139" s="13">
        <v>1</v>
      </c>
      <c r="AW139" s="13">
        <v>0</v>
      </c>
      <c r="AX139" s="13">
        <v>0</v>
      </c>
      <c r="AY139" s="13">
        <v>0</v>
      </c>
      <c r="AZ139" s="13">
        <v>0</v>
      </c>
      <c r="BA139" s="13">
        <v>0</v>
      </c>
      <c r="BB139" s="13">
        <v>0</v>
      </c>
      <c r="BC139" s="13">
        <v>0</v>
      </c>
      <c r="BD139" s="13">
        <v>0</v>
      </c>
      <c r="BE139" s="13">
        <v>0</v>
      </c>
      <c r="BF139" s="13">
        <v>0</v>
      </c>
      <c r="BG139" s="13">
        <v>0</v>
      </c>
      <c r="BH139" s="13">
        <v>0</v>
      </c>
      <c r="BI139" s="13">
        <v>0</v>
      </c>
      <c r="BJ139" s="13">
        <v>0</v>
      </c>
      <c r="BK139" s="13">
        <v>0</v>
      </c>
      <c r="BL139" s="13">
        <v>0</v>
      </c>
      <c r="BM139" s="13">
        <v>0</v>
      </c>
      <c r="BN139" s="13">
        <v>0</v>
      </c>
      <c r="BO139" s="13">
        <v>0</v>
      </c>
      <c r="BP139" s="13">
        <v>1</v>
      </c>
      <c r="BR139" s="13">
        <v>8</v>
      </c>
    </row>
    <row r="140" spans="1:70" s="13" customFormat="1" x14ac:dyDescent="0.15">
      <c r="B140" s="13" t="s">
        <v>2520</v>
      </c>
      <c r="C140" s="13" t="s">
        <v>975</v>
      </c>
      <c r="E140" s="13" t="s">
        <v>976</v>
      </c>
      <c r="G140" s="13">
        <v>0</v>
      </c>
      <c r="H140" s="13">
        <v>12</v>
      </c>
      <c r="I140" s="13" t="s">
        <v>296</v>
      </c>
      <c r="K140" s="13">
        <v>3</v>
      </c>
      <c r="L140" s="13">
        <v>1</v>
      </c>
      <c r="M140" s="13" t="s">
        <v>254</v>
      </c>
      <c r="N140" s="13" t="s">
        <v>396</v>
      </c>
      <c r="O140" s="13">
        <v>0</v>
      </c>
      <c r="P140" s="13" t="s">
        <v>2521</v>
      </c>
      <c r="Q140" s="13" t="s">
        <v>977</v>
      </c>
      <c r="S140" s="13" t="s">
        <v>978</v>
      </c>
      <c r="U140" s="13" t="s">
        <v>979</v>
      </c>
      <c r="Y140" s="13" t="s">
        <v>250</v>
      </c>
      <c r="Z140" s="13" t="s">
        <v>980</v>
      </c>
      <c r="AA140" s="13" t="s">
        <v>251</v>
      </c>
      <c r="AB140" s="13">
        <v>0.15</v>
      </c>
      <c r="AC140" s="13">
        <v>0</v>
      </c>
      <c r="AD140" s="13">
        <v>20</v>
      </c>
      <c r="AE140" s="13">
        <v>1</v>
      </c>
      <c r="AF140" s="13" t="s">
        <v>1029</v>
      </c>
      <c r="AH140" s="13" t="s">
        <v>399</v>
      </c>
      <c r="AI140" s="13">
        <v>680</v>
      </c>
      <c r="AK140" s="13">
        <v>27145.656546623995</v>
      </c>
      <c r="AN140" s="163" t="s">
        <v>235</v>
      </c>
      <c r="AO140" s="163">
        <v>0</v>
      </c>
      <c r="AP140" s="163" t="s">
        <v>252</v>
      </c>
      <c r="AR140" s="13">
        <v>27145.656546623995</v>
      </c>
      <c r="AS140" s="13">
        <v>7899.8825767679982</v>
      </c>
      <c r="AT140" s="13">
        <v>66849.729468854217</v>
      </c>
      <c r="AU140" s="13">
        <v>1</v>
      </c>
      <c r="AV140" s="13">
        <v>1</v>
      </c>
      <c r="AW140" s="13">
        <v>0</v>
      </c>
      <c r="AX140" s="13">
        <v>0</v>
      </c>
      <c r="AY140" s="13">
        <v>0</v>
      </c>
      <c r="AZ140" s="13">
        <v>0</v>
      </c>
      <c r="BA140" s="13">
        <v>0</v>
      </c>
      <c r="BB140" s="13">
        <v>0</v>
      </c>
      <c r="BC140" s="13">
        <v>0</v>
      </c>
      <c r="BD140" s="13">
        <v>0</v>
      </c>
      <c r="BE140" s="13">
        <v>0</v>
      </c>
      <c r="BF140" s="13">
        <v>0</v>
      </c>
      <c r="BG140" s="13">
        <v>0</v>
      </c>
      <c r="BH140" s="13">
        <v>0</v>
      </c>
      <c r="BI140" s="13">
        <v>0</v>
      </c>
      <c r="BJ140" s="13">
        <v>0</v>
      </c>
      <c r="BK140" s="13">
        <v>0</v>
      </c>
      <c r="BL140" s="13">
        <v>0</v>
      </c>
      <c r="BM140" s="13">
        <v>0</v>
      </c>
      <c r="BN140" s="13">
        <v>0</v>
      </c>
      <c r="BO140" s="13">
        <v>0</v>
      </c>
      <c r="BP140" s="13">
        <v>1</v>
      </c>
      <c r="BR140" s="13">
        <v>10</v>
      </c>
    </row>
    <row r="141" spans="1:70" s="13" customFormat="1" x14ac:dyDescent="0.15">
      <c r="B141" s="13" t="s">
        <v>1912</v>
      </c>
      <c r="C141" s="13" t="s">
        <v>975</v>
      </c>
      <c r="E141" s="13" t="s">
        <v>976</v>
      </c>
      <c r="G141" s="13">
        <v>0</v>
      </c>
      <c r="H141" s="13">
        <v>12</v>
      </c>
      <c r="I141" s="13" t="s">
        <v>296</v>
      </c>
      <c r="K141" s="13">
        <v>3</v>
      </c>
      <c r="L141" s="13">
        <v>1</v>
      </c>
      <c r="M141" s="13" t="s">
        <v>254</v>
      </c>
      <c r="N141" s="13" t="s">
        <v>396</v>
      </c>
      <c r="O141" s="13">
        <v>0</v>
      </c>
      <c r="P141" s="13" t="s">
        <v>1913</v>
      </c>
      <c r="Q141" s="13" t="s">
        <v>977</v>
      </c>
      <c r="S141" s="13" t="s">
        <v>978</v>
      </c>
      <c r="U141" s="13" t="s">
        <v>979</v>
      </c>
      <c r="Y141" s="13" t="s">
        <v>250</v>
      </c>
      <c r="Z141" s="13" t="s">
        <v>980</v>
      </c>
      <c r="AA141" s="13" t="s">
        <v>251</v>
      </c>
      <c r="AB141" s="13">
        <v>0.15</v>
      </c>
      <c r="AC141" s="13">
        <v>0</v>
      </c>
      <c r="AD141" s="13">
        <v>20</v>
      </c>
      <c r="AE141" s="13">
        <v>1</v>
      </c>
      <c r="AF141" s="13" t="s">
        <v>1029</v>
      </c>
      <c r="AH141" s="13" t="s">
        <v>399</v>
      </c>
      <c r="AI141" s="13">
        <v>1000</v>
      </c>
      <c r="AK141" s="13">
        <v>27145.656546623995</v>
      </c>
      <c r="AN141" s="163" t="s">
        <v>235</v>
      </c>
      <c r="AO141" s="163">
        <v>0</v>
      </c>
      <c r="AP141" s="163" t="s">
        <v>252</v>
      </c>
      <c r="AR141" s="13">
        <v>27145.656546623995</v>
      </c>
      <c r="AS141" s="13">
        <v>7899.8825767679982</v>
      </c>
      <c r="AT141" s="13">
        <v>66849.729468854217</v>
      </c>
      <c r="AU141" s="13">
        <v>1</v>
      </c>
      <c r="AV141" s="13">
        <v>1</v>
      </c>
      <c r="AW141" s="13">
        <v>0</v>
      </c>
      <c r="AX141" s="13">
        <v>0</v>
      </c>
      <c r="AY141" s="13">
        <v>0</v>
      </c>
      <c r="AZ141" s="13">
        <v>0</v>
      </c>
      <c r="BA141" s="13">
        <v>0</v>
      </c>
      <c r="BB141" s="13">
        <v>0</v>
      </c>
      <c r="BC141" s="13">
        <v>0</v>
      </c>
      <c r="BD141" s="13">
        <v>0</v>
      </c>
      <c r="BE141" s="13">
        <v>0</v>
      </c>
      <c r="BF141" s="13">
        <v>0</v>
      </c>
      <c r="BG141" s="13">
        <v>0</v>
      </c>
      <c r="BH141" s="13">
        <v>0</v>
      </c>
      <c r="BI141" s="13">
        <v>0</v>
      </c>
      <c r="BJ141" s="13">
        <v>0</v>
      </c>
      <c r="BK141" s="13">
        <v>0</v>
      </c>
      <c r="BL141" s="13">
        <v>0</v>
      </c>
      <c r="BM141" s="13">
        <v>0</v>
      </c>
      <c r="BN141" s="13">
        <v>0</v>
      </c>
      <c r="BO141" s="13">
        <v>0</v>
      </c>
      <c r="BP141" s="13">
        <v>1</v>
      </c>
      <c r="BR141" s="13">
        <v>10</v>
      </c>
    </row>
    <row r="142" spans="1:70" s="13" customFormat="1" x14ac:dyDescent="0.15">
      <c r="B142" s="13" t="s">
        <v>2522</v>
      </c>
      <c r="C142" s="13" t="s">
        <v>2424</v>
      </c>
      <c r="E142" s="13" t="s">
        <v>2425</v>
      </c>
      <c r="G142" s="13">
        <v>0</v>
      </c>
      <c r="H142" s="13">
        <v>14</v>
      </c>
      <c r="I142" s="13" t="s">
        <v>809</v>
      </c>
      <c r="K142" s="13">
        <v>3</v>
      </c>
      <c r="L142" s="13">
        <v>1</v>
      </c>
      <c r="M142" s="13" t="s">
        <v>254</v>
      </c>
      <c r="N142" s="13" t="s">
        <v>396</v>
      </c>
      <c r="O142" s="13">
        <v>0</v>
      </c>
      <c r="P142" s="13" t="s">
        <v>2523</v>
      </c>
      <c r="Q142" s="13" t="s">
        <v>2426</v>
      </c>
      <c r="S142" s="13" t="s">
        <v>2427</v>
      </c>
      <c r="U142" s="13" t="s">
        <v>2428</v>
      </c>
      <c r="Y142" s="13" t="s">
        <v>250</v>
      </c>
      <c r="Z142" s="13" t="s">
        <v>2429</v>
      </c>
      <c r="AA142" s="13" t="s">
        <v>251</v>
      </c>
      <c r="AB142" s="13">
        <v>0.15</v>
      </c>
      <c r="AC142" s="13">
        <v>0</v>
      </c>
      <c r="AD142" s="13">
        <v>20</v>
      </c>
      <c r="AE142" s="13">
        <v>1</v>
      </c>
      <c r="AF142" s="13" t="s">
        <v>2430</v>
      </c>
      <c r="AH142" s="13" t="s">
        <v>258</v>
      </c>
      <c r="AI142" s="13">
        <v>680</v>
      </c>
      <c r="AK142" s="13">
        <v>30569.433047999995</v>
      </c>
      <c r="AN142" s="163" t="s">
        <v>235</v>
      </c>
      <c r="AO142" s="163">
        <v>0</v>
      </c>
      <c r="AP142" s="163" t="s">
        <v>252</v>
      </c>
      <c r="AR142" s="13">
        <v>30569.433047999995</v>
      </c>
      <c r="AS142" s="13">
        <v>9634.003142399999</v>
      </c>
      <c r="AT142" s="13">
        <v>74613.038471748005</v>
      </c>
      <c r="AU142" s="13">
        <v>1</v>
      </c>
      <c r="AV142" s="13">
        <v>1</v>
      </c>
      <c r="AW142" s="13">
        <v>0</v>
      </c>
      <c r="AX142" s="13">
        <v>0</v>
      </c>
      <c r="AY142" s="13">
        <v>0</v>
      </c>
      <c r="AZ142" s="13">
        <v>0</v>
      </c>
      <c r="BA142" s="13">
        <v>0</v>
      </c>
      <c r="BB142" s="13">
        <v>0</v>
      </c>
      <c r="BC142" s="13">
        <v>0</v>
      </c>
      <c r="BD142" s="13">
        <v>0</v>
      </c>
      <c r="BE142" s="13">
        <v>0</v>
      </c>
      <c r="BF142" s="13">
        <v>0</v>
      </c>
      <c r="BG142" s="13">
        <v>0</v>
      </c>
      <c r="BH142" s="13">
        <v>0</v>
      </c>
      <c r="BI142" s="13">
        <v>0</v>
      </c>
      <c r="BJ142" s="13">
        <v>0</v>
      </c>
      <c r="BK142" s="13">
        <v>0</v>
      </c>
      <c r="BL142" s="13">
        <v>0</v>
      </c>
      <c r="BM142" s="13">
        <v>0</v>
      </c>
      <c r="BN142" s="13">
        <v>0</v>
      </c>
      <c r="BO142" s="13">
        <v>0</v>
      </c>
      <c r="BP142" s="13">
        <v>1</v>
      </c>
      <c r="BR142" s="13">
        <v>15</v>
      </c>
    </row>
    <row r="143" spans="1:70" s="13" customFormat="1" x14ac:dyDescent="0.15">
      <c r="B143" s="13" t="s">
        <v>1914</v>
      </c>
      <c r="C143" s="13" t="s">
        <v>962</v>
      </c>
      <c r="E143" s="13" t="s">
        <v>415</v>
      </c>
      <c r="G143" s="13">
        <v>0</v>
      </c>
      <c r="H143" s="13">
        <v>14</v>
      </c>
      <c r="I143" s="13" t="s">
        <v>296</v>
      </c>
      <c r="K143" s="13">
        <v>3</v>
      </c>
      <c r="L143" s="13">
        <v>1</v>
      </c>
      <c r="M143" s="13" t="s">
        <v>254</v>
      </c>
      <c r="N143" s="13" t="s">
        <v>396</v>
      </c>
      <c r="O143" s="13">
        <v>0</v>
      </c>
      <c r="P143" s="13" t="s">
        <v>1915</v>
      </c>
      <c r="Q143" s="13" t="s">
        <v>414</v>
      </c>
      <c r="S143" s="13" t="s">
        <v>413</v>
      </c>
      <c r="U143" s="13" t="s">
        <v>412</v>
      </c>
      <c r="Y143" s="13" t="s">
        <v>250</v>
      </c>
      <c r="Z143" s="13" t="s">
        <v>411</v>
      </c>
      <c r="AA143" s="13" t="s">
        <v>251</v>
      </c>
      <c r="AB143" s="13">
        <v>0.15</v>
      </c>
      <c r="AC143" s="13">
        <v>0</v>
      </c>
      <c r="AD143" s="13">
        <v>20</v>
      </c>
      <c r="AE143" s="13">
        <v>1</v>
      </c>
      <c r="AF143" s="13" t="s">
        <v>1026</v>
      </c>
      <c r="AH143" s="13" t="s">
        <v>399</v>
      </c>
      <c r="AI143" s="13">
        <v>0</v>
      </c>
      <c r="AK143" s="13">
        <v>30813.988512383992</v>
      </c>
      <c r="AN143" s="163" t="s">
        <v>235</v>
      </c>
      <c r="AO143" s="163">
        <v>0</v>
      </c>
      <c r="AP143" s="163" t="s">
        <v>252</v>
      </c>
      <c r="AR143" s="13">
        <v>30813.988512383992</v>
      </c>
      <c r="AS143" s="13">
        <v>7899.8825767679982</v>
      </c>
      <c r="AT143" s="13">
        <v>45691.15943413668</v>
      </c>
      <c r="AU143" s="13">
        <v>1</v>
      </c>
      <c r="AV143" s="13">
        <v>1</v>
      </c>
      <c r="AW143" s="13">
        <v>0</v>
      </c>
      <c r="AX143" s="13">
        <v>0</v>
      </c>
      <c r="AY143" s="13">
        <v>0</v>
      </c>
      <c r="AZ143" s="13">
        <v>0</v>
      </c>
      <c r="BA143" s="13">
        <v>0</v>
      </c>
      <c r="BB143" s="13">
        <v>0</v>
      </c>
      <c r="BC143" s="13">
        <v>0</v>
      </c>
      <c r="BD143" s="13">
        <v>0</v>
      </c>
      <c r="BE143" s="13">
        <v>0</v>
      </c>
      <c r="BF143" s="13">
        <v>0</v>
      </c>
      <c r="BG143" s="13">
        <v>0</v>
      </c>
      <c r="BH143" s="13">
        <v>0</v>
      </c>
      <c r="BI143" s="13">
        <v>0</v>
      </c>
      <c r="BJ143" s="13">
        <v>0</v>
      </c>
      <c r="BK143" s="13">
        <v>0</v>
      </c>
      <c r="BL143" s="13">
        <v>0</v>
      </c>
      <c r="BM143" s="13">
        <v>0</v>
      </c>
      <c r="BN143" s="13">
        <v>0</v>
      </c>
      <c r="BO143" s="13">
        <v>0</v>
      </c>
      <c r="BP143" s="13">
        <v>1</v>
      </c>
      <c r="BR143" s="13">
        <v>12</v>
      </c>
    </row>
    <row r="144" spans="1:70" s="13" customFormat="1" x14ac:dyDescent="0.15">
      <c r="B144" s="13" t="s">
        <v>1916</v>
      </c>
      <c r="C144" s="13" t="s">
        <v>938</v>
      </c>
      <c r="E144" s="13" t="s">
        <v>939</v>
      </c>
      <c r="G144" s="13">
        <v>0</v>
      </c>
      <c r="H144" s="13">
        <v>14</v>
      </c>
      <c r="I144" s="13" t="s">
        <v>400</v>
      </c>
      <c r="K144" s="13">
        <v>3</v>
      </c>
      <c r="L144" s="13">
        <v>1</v>
      </c>
      <c r="M144" s="13" t="s">
        <v>254</v>
      </c>
      <c r="N144" s="13" t="s">
        <v>396</v>
      </c>
      <c r="O144" s="13">
        <v>0</v>
      </c>
      <c r="P144" s="13" t="s">
        <v>1917</v>
      </c>
      <c r="Q144" s="13" t="s">
        <v>940</v>
      </c>
      <c r="S144" s="13" t="s">
        <v>941</v>
      </c>
      <c r="U144" s="13" t="s">
        <v>942</v>
      </c>
      <c r="Y144" s="13" t="s">
        <v>250</v>
      </c>
      <c r="Z144" s="13" t="s">
        <v>943</v>
      </c>
      <c r="AA144" s="13" t="s">
        <v>251</v>
      </c>
      <c r="AB144" s="13">
        <v>0.15</v>
      </c>
      <c r="AC144" s="13">
        <v>30</v>
      </c>
      <c r="AD144" s="13">
        <v>20</v>
      </c>
      <c r="AE144" s="13">
        <v>1</v>
      </c>
      <c r="AF144" s="13" t="s">
        <v>1022</v>
      </c>
      <c r="AH144" s="13" t="s">
        <v>399</v>
      </c>
      <c r="AI144" s="13">
        <v>0</v>
      </c>
      <c r="AK144" s="13">
        <v>22927.074785999997</v>
      </c>
      <c r="AN144" s="163" t="s">
        <v>235</v>
      </c>
      <c r="AO144" s="163">
        <v>0</v>
      </c>
      <c r="AP144" s="163" t="s">
        <v>252</v>
      </c>
      <c r="AR144" s="13">
        <v>22927.074785999997</v>
      </c>
      <c r="AS144" s="13">
        <v>11368.123708031999</v>
      </c>
      <c r="AT144" s="13">
        <v>105204.38424516466</v>
      </c>
      <c r="AU144" s="13">
        <v>1</v>
      </c>
      <c r="AV144" s="13">
        <v>1</v>
      </c>
      <c r="AW144" s="13">
        <v>0</v>
      </c>
      <c r="AX144" s="13">
        <v>0</v>
      </c>
      <c r="AY144" s="13">
        <v>0</v>
      </c>
      <c r="AZ144" s="13">
        <v>0</v>
      </c>
      <c r="BA144" s="13">
        <v>0</v>
      </c>
      <c r="BB144" s="13">
        <v>0</v>
      </c>
      <c r="BC144" s="13">
        <v>0</v>
      </c>
      <c r="BD144" s="13">
        <v>0</v>
      </c>
      <c r="BE144" s="13">
        <v>0</v>
      </c>
      <c r="BF144" s="13">
        <v>0</v>
      </c>
      <c r="BG144" s="13">
        <v>0</v>
      </c>
      <c r="BH144" s="13">
        <v>0</v>
      </c>
      <c r="BI144" s="13">
        <v>0</v>
      </c>
      <c r="BJ144" s="13">
        <v>0</v>
      </c>
      <c r="BK144" s="13">
        <v>0</v>
      </c>
      <c r="BL144" s="13">
        <v>0</v>
      </c>
      <c r="BM144" s="13">
        <v>0</v>
      </c>
      <c r="BN144" s="13">
        <v>0</v>
      </c>
      <c r="BO144" s="13">
        <v>0</v>
      </c>
      <c r="BP144" s="13">
        <v>1</v>
      </c>
      <c r="BR144" s="13">
        <v>15</v>
      </c>
    </row>
    <row r="145" spans="1:70" s="13" customFormat="1" x14ac:dyDescent="0.15">
      <c r="B145" s="13" t="s">
        <v>2524</v>
      </c>
      <c r="C145" s="13" t="s">
        <v>969</v>
      </c>
      <c r="E145" s="13" t="s">
        <v>970</v>
      </c>
      <c r="G145" s="13">
        <v>0</v>
      </c>
      <c r="H145" s="13">
        <v>13</v>
      </c>
      <c r="I145" s="13" t="s">
        <v>296</v>
      </c>
      <c r="K145" s="13">
        <v>3</v>
      </c>
      <c r="L145" s="13">
        <v>1</v>
      </c>
      <c r="M145" s="13" t="s">
        <v>254</v>
      </c>
      <c r="N145" s="13" t="s">
        <v>396</v>
      </c>
      <c r="O145" s="13">
        <v>0</v>
      </c>
      <c r="P145" s="13" t="s">
        <v>2525</v>
      </c>
      <c r="Q145" s="13" t="s">
        <v>971</v>
      </c>
      <c r="S145" s="13" t="s">
        <v>972</v>
      </c>
      <c r="U145" s="13" t="s">
        <v>973</v>
      </c>
      <c r="Y145" s="13" t="s">
        <v>974</v>
      </c>
      <c r="Z145" s="13" t="s">
        <v>235</v>
      </c>
      <c r="AA145" s="13" t="s">
        <v>251</v>
      </c>
      <c r="AB145" s="13">
        <v>0.15</v>
      </c>
      <c r="AC145" s="13">
        <v>0</v>
      </c>
      <c r="AD145" s="13">
        <v>20</v>
      </c>
      <c r="AE145" s="13">
        <v>1</v>
      </c>
      <c r="AF145" s="13" t="s">
        <v>1028</v>
      </c>
      <c r="AH145" s="13" t="s">
        <v>399</v>
      </c>
      <c r="AI145" s="13">
        <v>1000</v>
      </c>
      <c r="AK145" s="13">
        <v>30813.988512383992</v>
      </c>
      <c r="AN145" s="163" t="s">
        <v>235</v>
      </c>
      <c r="AO145" s="163">
        <v>0</v>
      </c>
      <c r="AP145" s="163" t="s">
        <v>252</v>
      </c>
      <c r="AR145" s="13">
        <v>30813.988512383992</v>
      </c>
      <c r="AS145" s="13">
        <v>7899.8825767679982</v>
      </c>
      <c r="AT145" s="13">
        <v>45691.15943413668</v>
      </c>
      <c r="AU145" s="13">
        <v>1</v>
      </c>
      <c r="AV145" s="13">
        <v>1</v>
      </c>
      <c r="AW145" s="13">
        <v>0</v>
      </c>
      <c r="AX145" s="13">
        <v>0</v>
      </c>
      <c r="AY145" s="13">
        <v>0</v>
      </c>
      <c r="AZ145" s="13">
        <v>0</v>
      </c>
      <c r="BA145" s="13">
        <v>0</v>
      </c>
      <c r="BB145" s="13">
        <v>0</v>
      </c>
      <c r="BC145" s="13">
        <v>0</v>
      </c>
      <c r="BD145" s="13">
        <v>0</v>
      </c>
      <c r="BE145" s="13">
        <v>0</v>
      </c>
      <c r="BF145" s="13">
        <v>0</v>
      </c>
      <c r="BG145" s="13">
        <v>0</v>
      </c>
      <c r="BH145" s="13">
        <v>0</v>
      </c>
      <c r="BI145" s="13">
        <v>0</v>
      </c>
      <c r="BJ145" s="13">
        <v>0</v>
      </c>
      <c r="BK145" s="13">
        <v>0</v>
      </c>
      <c r="BL145" s="13">
        <v>0</v>
      </c>
      <c r="BM145" s="13">
        <v>0</v>
      </c>
      <c r="BN145" s="13">
        <v>0</v>
      </c>
      <c r="BO145" s="13">
        <v>0</v>
      </c>
      <c r="BP145" s="13">
        <v>1</v>
      </c>
      <c r="BR145" s="13">
        <v>12</v>
      </c>
    </row>
    <row r="146" spans="1:70" s="13" customFormat="1" x14ac:dyDescent="0.15">
      <c r="B146" s="13" t="s">
        <v>2526</v>
      </c>
      <c r="C146" s="13" t="s">
        <v>969</v>
      </c>
      <c r="E146" s="13" t="s">
        <v>970</v>
      </c>
      <c r="G146" s="13">
        <v>0</v>
      </c>
      <c r="H146" s="13">
        <v>13</v>
      </c>
      <c r="I146" s="13" t="s">
        <v>296</v>
      </c>
      <c r="K146" s="13">
        <v>3</v>
      </c>
      <c r="L146" s="13">
        <v>1</v>
      </c>
      <c r="M146" s="13" t="s">
        <v>254</v>
      </c>
      <c r="N146" s="13" t="s">
        <v>396</v>
      </c>
      <c r="O146" s="13">
        <v>0</v>
      </c>
      <c r="P146" s="13" t="s">
        <v>2527</v>
      </c>
      <c r="Q146" s="13" t="s">
        <v>971</v>
      </c>
      <c r="S146" s="13" t="s">
        <v>972</v>
      </c>
      <c r="U146" s="13" t="s">
        <v>973</v>
      </c>
      <c r="Y146" s="13" t="s">
        <v>974</v>
      </c>
      <c r="Z146" s="13" t="s">
        <v>235</v>
      </c>
      <c r="AA146" s="13" t="s">
        <v>251</v>
      </c>
      <c r="AB146" s="13">
        <v>0.15</v>
      </c>
      <c r="AC146" s="13">
        <v>0</v>
      </c>
      <c r="AD146" s="13">
        <v>20</v>
      </c>
      <c r="AE146" s="13">
        <v>1</v>
      </c>
      <c r="AF146" s="13" t="s">
        <v>1028</v>
      </c>
      <c r="AH146" s="13" t="s">
        <v>399</v>
      </c>
      <c r="AI146" s="13">
        <v>800</v>
      </c>
      <c r="AK146" s="13">
        <v>30813.988512383992</v>
      </c>
      <c r="AN146" s="163" t="s">
        <v>235</v>
      </c>
      <c r="AO146" s="163">
        <v>0</v>
      </c>
      <c r="AP146" s="163" t="s">
        <v>252</v>
      </c>
      <c r="AR146" s="13">
        <v>30813.988512383992</v>
      </c>
      <c r="AS146" s="13">
        <v>7899.8825767679982</v>
      </c>
      <c r="AT146" s="13">
        <v>45691.15943413668</v>
      </c>
      <c r="AU146" s="13">
        <v>1</v>
      </c>
      <c r="AV146" s="13">
        <v>1</v>
      </c>
      <c r="AW146" s="13">
        <v>0</v>
      </c>
      <c r="AX146" s="13">
        <v>0</v>
      </c>
      <c r="AY146" s="13">
        <v>0</v>
      </c>
      <c r="AZ146" s="13">
        <v>0</v>
      </c>
      <c r="BA146" s="13">
        <v>0</v>
      </c>
      <c r="BB146" s="13">
        <v>0</v>
      </c>
      <c r="BC146" s="13">
        <v>0</v>
      </c>
      <c r="BD146" s="13">
        <v>0</v>
      </c>
      <c r="BE146" s="13">
        <v>0</v>
      </c>
      <c r="BF146" s="13">
        <v>0</v>
      </c>
      <c r="BG146" s="13">
        <v>0</v>
      </c>
      <c r="BH146" s="13">
        <v>0</v>
      </c>
      <c r="BI146" s="13">
        <v>0</v>
      </c>
      <c r="BJ146" s="13">
        <v>0</v>
      </c>
      <c r="BK146" s="13">
        <v>0</v>
      </c>
      <c r="BL146" s="13">
        <v>0</v>
      </c>
      <c r="BM146" s="13">
        <v>0</v>
      </c>
      <c r="BN146" s="13">
        <v>0</v>
      </c>
      <c r="BO146" s="13">
        <v>0</v>
      </c>
      <c r="BP146" s="13">
        <v>1</v>
      </c>
      <c r="BR146" s="13">
        <v>12</v>
      </c>
    </row>
    <row r="147" spans="1:70" s="13" customFormat="1" x14ac:dyDescent="0.15">
      <c r="B147" s="13" t="s">
        <v>2528</v>
      </c>
      <c r="C147" s="13" t="s">
        <v>2424</v>
      </c>
      <c r="E147" s="13" t="s">
        <v>2425</v>
      </c>
      <c r="G147" s="13">
        <v>0</v>
      </c>
      <c r="H147" s="13">
        <v>14</v>
      </c>
      <c r="I147" s="13" t="s">
        <v>809</v>
      </c>
      <c r="K147" s="13">
        <v>3</v>
      </c>
      <c r="L147" s="13">
        <v>1</v>
      </c>
      <c r="M147" s="13" t="s">
        <v>254</v>
      </c>
      <c r="N147" s="13" t="s">
        <v>396</v>
      </c>
      <c r="O147" s="13">
        <v>0</v>
      </c>
      <c r="P147" s="13" t="s">
        <v>2529</v>
      </c>
      <c r="Q147" s="13" t="s">
        <v>2426</v>
      </c>
      <c r="S147" s="13" t="s">
        <v>2427</v>
      </c>
      <c r="U147" s="13" t="s">
        <v>2428</v>
      </c>
      <c r="Y147" s="13" t="s">
        <v>250</v>
      </c>
      <c r="Z147" s="13" t="s">
        <v>2429</v>
      </c>
      <c r="AA147" s="13" t="s">
        <v>251</v>
      </c>
      <c r="AB147" s="13">
        <v>0.15</v>
      </c>
      <c r="AC147" s="13">
        <v>30</v>
      </c>
      <c r="AD147" s="13">
        <v>20</v>
      </c>
      <c r="AE147" s="13">
        <v>1</v>
      </c>
      <c r="AF147" s="13" t="s">
        <v>2430</v>
      </c>
      <c r="AH147" s="13" t="s">
        <v>399</v>
      </c>
      <c r="AI147" s="13">
        <v>1000</v>
      </c>
      <c r="AK147" s="13">
        <v>30569.433047999995</v>
      </c>
      <c r="AN147" s="163" t="s">
        <v>235</v>
      </c>
      <c r="AO147" s="163">
        <v>0</v>
      </c>
      <c r="AP147" s="163" t="s">
        <v>252</v>
      </c>
      <c r="AR147" s="13">
        <v>30569.433047999995</v>
      </c>
      <c r="AS147" s="13">
        <v>9634.003142399999</v>
      </c>
      <c r="AT147" s="13">
        <v>74613.038471748005</v>
      </c>
      <c r="AU147" s="13">
        <v>1</v>
      </c>
      <c r="AV147" s="13">
        <v>1</v>
      </c>
      <c r="AW147" s="13">
        <v>0</v>
      </c>
      <c r="AX147" s="13">
        <v>0</v>
      </c>
      <c r="AY147" s="13">
        <v>0</v>
      </c>
      <c r="AZ147" s="13">
        <v>0</v>
      </c>
      <c r="BA147" s="13">
        <v>0</v>
      </c>
      <c r="BB147" s="13">
        <v>0</v>
      </c>
      <c r="BC147" s="13">
        <v>0</v>
      </c>
      <c r="BD147" s="13">
        <v>0</v>
      </c>
      <c r="BE147" s="13">
        <v>0</v>
      </c>
      <c r="BF147" s="13">
        <v>0</v>
      </c>
      <c r="BG147" s="13">
        <v>0</v>
      </c>
      <c r="BH147" s="13">
        <v>0</v>
      </c>
      <c r="BI147" s="13">
        <v>0</v>
      </c>
      <c r="BJ147" s="13">
        <v>0</v>
      </c>
      <c r="BK147" s="13">
        <v>0</v>
      </c>
      <c r="BL147" s="13">
        <v>0</v>
      </c>
      <c r="BM147" s="13">
        <v>0</v>
      </c>
      <c r="BN147" s="13">
        <v>0</v>
      </c>
      <c r="BO147" s="13">
        <v>0</v>
      </c>
      <c r="BP147" s="13">
        <v>1</v>
      </c>
      <c r="BR147" s="13">
        <v>15</v>
      </c>
    </row>
    <row r="148" spans="1:70" s="13" customFormat="1" x14ac:dyDescent="0.15">
      <c r="B148" s="13" t="s">
        <v>2530</v>
      </c>
      <c r="C148" s="13" t="s">
        <v>969</v>
      </c>
      <c r="E148" s="13" t="s">
        <v>970</v>
      </c>
      <c r="G148" s="13">
        <v>0</v>
      </c>
      <c r="H148" s="13">
        <v>13</v>
      </c>
      <c r="I148" s="13" t="s">
        <v>296</v>
      </c>
      <c r="K148" s="13">
        <v>3</v>
      </c>
      <c r="L148" s="13">
        <v>1</v>
      </c>
      <c r="M148" s="13" t="s">
        <v>254</v>
      </c>
      <c r="N148" s="13" t="s">
        <v>396</v>
      </c>
      <c r="O148" s="13">
        <v>0</v>
      </c>
      <c r="P148" s="13" t="s">
        <v>2531</v>
      </c>
      <c r="Q148" s="13" t="s">
        <v>971</v>
      </c>
      <c r="S148" s="13" t="s">
        <v>972</v>
      </c>
      <c r="U148" s="13" t="s">
        <v>973</v>
      </c>
      <c r="Y148" s="13" t="s">
        <v>974</v>
      </c>
      <c r="Z148" s="13" t="s">
        <v>235</v>
      </c>
      <c r="AA148" s="13" t="s">
        <v>251</v>
      </c>
      <c r="AB148" s="13">
        <v>0.15</v>
      </c>
      <c r="AC148" s="13">
        <v>0</v>
      </c>
      <c r="AD148" s="13">
        <v>20</v>
      </c>
      <c r="AE148" s="13">
        <v>1</v>
      </c>
      <c r="AF148" s="13" t="s">
        <v>1028</v>
      </c>
      <c r="AH148" s="13" t="s">
        <v>399</v>
      </c>
      <c r="AI148" s="13">
        <v>1000</v>
      </c>
      <c r="AK148" s="13">
        <v>30813.988512383992</v>
      </c>
      <c r="AN148" s="163" t="s">
        <v>235</v>
      </c>
      <c r="AO148" s="163">
        <v>0</v>
      </c>
      <c r="AP148" s="163" t="s">
        <v>252</v>
      </c>
      <c r="AR148" s="13">
        <v>30813.988512383992</v>
      </c>
      <c r="AS148" s="13">
        <v>7899.8825767679982</v>
      </c>
      <c r="AT148" s="13">
        <v>45691.15943413668</v>
      </c>
      <c r="AU148" s="13">
        <v>1</v>
      </c>
      <c r="AV148" s="13">
        <v>1</v>
      </c>
      <c r="AW148" s="13">
        <v>0</v>
      </c>
      <c r="AX148" s="13">
        <v>0</v>
      </c>
      <c r="AY148" s="13">
        <v>0</v>
      </c>
      <c r="AZ148" s="13">
        <v>0</v>
      </c>
      <c r="BA148" s="13">
        <v>0</v>
      </c>
      <c r="BB148" s="13">
        <v>0</v>
      </c>
      <c r="BC148" s="13">
        <v>0</v>
      </c>
      <c r="BD148" s="13">
        <v>0</v>
      </c>
      <c r="BE148" s="13">
        <v>0</v>
      </c>
      <c r="BF148" s="13">
        <v>0</v>
      </c>
      <c r="BG148" s="13">
        <v>0</v>
      </c>
      <c r="BH148" s="13">
        <v>0</v>
      </c>
      <c r="BI148" s="13">
        <v>0</v>
      </c>
      <c r="BJ148" s="13">
        <v>0</v>
      </c>
      <c r="BK148" s="13">
        <v>0</v>
      </c>
      <c r="BL148" s="13">
        <v>0</v>
      </c>
      <c r="BM148" s="13">
        <v>0</v>
      </c>
      <c r="BN148" s="13">
        <v>0</v>
      </c>
      <c r="BO148" s="13">
        <v>0</v>
      </c>
      <c r="BP148" s="13">
        <v>1</v>
      </c>
      <c r="BR148" s="13">
        <v>12</v>
      </c>
    </row>
    <row r="149" spans="1:70" s="13" customFormat="1" x14ac:dyDescent="0.15">
      <c r="B149" s="13" t="s">
        <v>2532</v>
      </c>
      <c r="C149" s="13" t="s">
        <v>969</v>
      </c>
      <c r="E149" s="13" t="s">
        <v>970</v>
      </c>
      <c r="G149" s="13">
        <v>0</v>
      </c>
      <c r="H149" s="13">
        <v>13</v>
      </c>
      <c r="I149" s="13" t="s">
        <v>296</v>
      </c>
      <c r="K149" s="13">
        <v>3</v>
      </c>
      <c r="L149" s="13">
        <v>1</v>
      </c>
      <c r="M149" s="13" t="s">
        <v>254</v>
      </c>
      <c r="N149" s="13" t="s">
        <v>396</v>
      </c>
      <c r="O149" s="13">
        <v>0</v>
      </c>
      <c r="P149" s="13" t="s">
        <v>2533</v>
      </c>
      <c r="Q149" s="13" t="s">
        <v>971</v>
      </c>
      <c r="S149" s="13" t="s">
        <v>972</v>
      </c>
      <c r="U149" s="13" t="s">
        <v>973</v>
      </c>
      <c r="Y149" s="13" t="s">
        <v>974</v>
      </c>
      <c r="Z149" s="13" t="s">
        <v>235</v>
      </c>
      <c r="AA149" s="13" t="s">
        <v>251</v>
      </c>
      <c r="AB149" s="13">
        <v>0.15</v>
      </c>
      <c r="AC149" s="13">
        <v>0</v>
      </c>
      <c r="AD149" s="13">
        <v>20</v>
      </c>
      <c r="AE149" s="13">
        <v>1</v>
      </c>
      <c r="AF149" s="13" t="s">
        <v>1028</v>
      </c>
      <c r="AH149" s="13" t="s">
        <v>399</v>
      </c>
      <c r="AI149" s="13">
        <v>0</v>
      </c>
      <c r="AK149" s="13">
        <v>30813.988512383992</v>
      </c>
      <c r="AN149" s="163" t="s">
        <v>235</v>
      </c>
      <c r="AO149" s="163">
        <v>0</v>
      </c>
      <c r="AP149" s="163" t="s">
        <v>252</v>
      </c>
      <c r="AR149" s="13">
        <v>30813.988512383992</v>
      </c>
      <c r="AS149" s="13">
        <v>7899.8825767679982</v>
      </c>
      <c r="AT149" s="13">
        <v>45691.15943413668</v>
      </c>
      <c r="AU149" s="13">
        <v>1</v>
      </c>
      <c r="AV149" s="13">
        <v>1</v>
      </c>
      <c r="AW149" s="13">
        <v>0</v>
      </c>
      <c r="AX149" s="13">
        <v>0</v>
      </c>
      <c r="AY149" s="13">
        <v>0</v>
      </c>
      <c r="AZ149" s="13">
        <v>0</v>
      </c>
      <c r="BA149" s="13">
        <v>0</v>
      </c>
      <c r="BB149" s="13">
        <v>0</v>
      </c>
      <c r="BC149" s="13">
        <v>0</v>
      </c>
      <c r="BD149" s="13">
        <v>0</v>
      </c>
      <c r="BE149" s="13">
        <v>0</v>
      </c>
      <c r="BF149" s="13">
        <v>0</v>
      </c>
      <c r="BG149" s="13">
        <v>0</v>
      </c>
      <c r="BH149" s="13">
        <v>0</v>
      </c>
      <c r="BI149" s="13">
        <v>0</v>
      </c>
      <c r="BJ149" s="13">
        <v>0</v>
      </c>
      <c r="BK149" s="13">
        <v>0</v>
      </c>
      <c r="BL149" s="13">
        <v>0</v>
      </c>
      <c r="BM149" s="13">
        <v>0</v>
      </c>
      <c r="BN149" s="13">
        <v>0</v>
      </c>
      <c r="BO149" s="13">
        <v>0</v>
      </c>
      <c r="BP149" s="13">
        <v>1</v>
      </c>
      <c r="BR149" s="13">
        <v>12</v>
      </c>
    </row>
    <row r="150" spans="1:70" s="13" customFormat="1" x14ac:dyDescent="0.15">
      <c r="B150" s="13" t="s">
        <v>2534</v>
      </c>
      <c r="C150" s="13" t="s">
        <v>881</v>
      </c>
      <c r="E150" s="13" t="s">
        <v>726</v>
      </c>
      <c r="G150" s="13">
        <v>0</v>
      </c>
      <c r="H150" s="13">
        <v>12</v>
      </c>
      <c r="I150" s="13" t="s">
        <v>400</v>
      </c>
      <c r="K150" s="13">
        <v>3</v>
      </c>
      <c r="L150" s="13">
        <v>1</v>
      </c>
      <c r="M150" s="13" t="s">
        <v>254</v>
      </c>
      <c r="N150" s="13" t="s">
        <v>396</v>
      </c>
      <c r="O150" s="13">
        <v>0</v>
      </c>
      <c r="P150" s="13" t="s">
        <v>2535</v>
      </c>
      <c r="Q150" s="13" t="s">
        <v>727</v>
      </c>
      <c r="S150" s="13" t="s">
        <v>728</v>
      </c>
      <c r="U150" s="13" t="s">
        <v>729</v>
      </c>
      <c r="Y150" s="13" t="s">
        <v>250</v>
      </c>
      <c r="Z150" s="13" t="s">
        <v>730</v>
      </c>
      <c r="AA150" s="13" t="s">
        <v>251</v>
      </c>
      <c r="AB150" s="13">
        <v>0.15</v>
      </c>
      <c r="AC150" s="13">
        <v>0</v>
      </c>
      <c r="AD150" s="13">
        <v>20</v>
      </c>
      <c r="AE150" s="13">
        <v>1</v>
      </c>
      <c r="AF150" s="13" t="s">
        <v>1009</v>
      </c>
      <c r="AH150" s="13" t="s">
        <v>399</v>
      </c>
      <c r="AI150" s="13">
        <v>0</v>
      </c>
      <c r="AK150" s="13">
        <v>18875.582767377004</v>
      </c>
      <c r="AN150" s="163" t="s">
        <v>235</v>
      </c>
      <c r="AO150" s="163">
        <v>0</v>
      </c>
      <c r="AP150" s="163" t="s">
        <v>252</v>
      </c>
      <c r="AR150" s="13">
        <v>12269.128798795053</v>
      </c>
      <c r="AS150" s="13">
        <v>12898.448053344002</v>
      </c>
      <c r="AT150" s="13">
        <v>96293.589357070407</v>
      </c>
      <c r="AU150" s="13">
        <v>1</v>
      </c>
      <c r="AV150" s="13">
        <v>1</v>
      </c>
      <c r="AW150" s="13">
        <v>0</v>
      </c>
      <c r="AX150" s="13">
        <v>0</v>
      </c>
      <c r="AY150" s="13">
        <v>0</v>
      </c>
      <c r="AZ150" s="13">
        <v>0</v>
      </c>
      <c r="BA150" s="13">
        <v>0</v>
      </c>
      <c r="BB150" s="13">
        <v>0</v>
      </c>
      <c r="BC150" s="13">
        <v>0</v>
      </c>
      <c r="BD150" s="13">
        <v>0</v>
      </c>
      <c r="BE150" s="13">
        <v>0</v>
      </c>
      <c r="BF150" s="13">
        <v>0</v>
      </c>
      <c r="BG150" s="13">
        <v>0</v>
      </c>
      <c r="BH150" s="13">
        <v>0</v>
      </c>
      <c r="BI150" s="13">
        <v>0</v>
      </c>
      <c r="BJ150" s="13">
        <v>0</v>
      </c>
      <c r="BK150" s="13">
        <v>0</v>
      </c>
      <c r="BL150" s="13">
        <v>0</v>
      </c>
      <c r="BM150" s="13">
        <v>0</v>
      </c>
      <c r="BN150" s="13">
        <v>0</v>
      </c>
      <c r="BO150" s="13">
        <v>0</v>
      </c>
      <c r="BP150" s="13">
        <v>1</v>
      </c>
      <c r="BR150" s="13">
        <v>8</v>
      </c>
    </row>
    <row r="151" spans="1:70" s="13" customFormat="1" x14ac:dyDescent="0.15">
      <c r="B151" s="13" t="s">
        <v>2536</v>
      </c>
      <c r="C151" s="13" t="s">
        <v>868</v>
      </c>
      <c r="E151" s="13" t="s">
        <v>869</v>
      </c>
      <c r="G151" s="13">
        <v>0</v>
      </c>
      <c r="H151" s="13">
        <v>12</v>
      </c>
      <c r="I151" s="13" t="s">
        <v>401</v>
      </c>
      <c r="K151" s="13">
        <v>3</v>
      </c>
      <c r="L151" s="13">
        <v>1</v>
      </c>
      <c r="M151" s="13" t="s">
        <v>254</v>
      </c>
      <c r="N151" s="13" t="s">
        <v>396</v>
      </c>
      <c r="O151" s="13">
        <v>0</v>
      </c>
      <c r="P151" s="13" t="s">
        <v>2537</v>
      </c>
      <c r="Q151" s="13" t="s">
        <v>870</v>
      </c>
      <c r="S151" s="13" t="s">
        <v>871</v>
      </c>
      <c r="U151" s="13" t="s">
        <v>872</v>
      </c>
      <c r="Y151" s="13" t="s">
        <v>250</v>
      </c>
      <c r="Z151" s="13" t="s">
        <v>873</v>
      </c>
      <c r="AA151" s="13" t="s">
        <v>251</v>
      </c>
      <c r="AB151" s="13">
        <v>0.15</v>
      </c>
      <c r="AC151" s="13">
        <v>0</v>
      </c>
      <c r="AD151" s="13">
        <v>20</v>
      </c>
      <c r="AE151" s="13">
        <v>1</v>
      </c>
      <c r="AF151" s="13" t="s">
        <v>1006</v>
      </c>
      <c r="AH151" s="13" t="s">
        <v>399</v>
      </c>
      <c r="AI151" s="13">
        <v>0</v>
      </c>
      <c r="AK151" s="13">
        <v>34708.534282699206</v>
      </c>
      <c r="AN151" s="163" t="s">
        <v>235</v>
      </c>
      <c r="AO151" s="163">
        <v>0</v>
      </c>
      <c r="AP151" s="163" t="s">
        <v>252</v>
      </c>
      <c r="AR151" s="13">
        <v>22560.547283754484</v>
      </c>
      <c r="AS151" s="13">
        <v>10930.888180800002</v>
      </c>
      <c r="AT151" s="13">
        <v>63827.992945357626</v>
      </c>
      <c r="AU151" s="13">
        <v>1</v>
      </c>
      <c r="AV151" s="13">
        <v>1</v>
      </c>
      <c r="AW151" s="13">
        <v>0</v>
      </c>
      <c r="AX151" s="13">
        <v>0</v>
      </c>
      <c r="AY151" s="13">
        <v>0</v>
      </c>
      <c r="AZ151" s="13">
        <v>0</v>
      </c>
      <c r="BA151" s="13">
        <v>0</v>
      </c>
      <c r="BB151" s="13">
        <v>0</v>
      </c>
      <c r="BC151" s="13">
        <v>0</v>
      </c>
      <c r="BD151" s="13">
        <v>0</v>
      </c>
      <c r="BE151" s="13">
        <v>0</v>
      </c>
      <c r="BF151" s="13">
        <v>0</v>
      </c>
      <c r="BG151" s="13">
        <v>0</v>
      </c>
      <c r="BH151" s="13">
        <v>0</v>
      </c>
      <c r="BI151" s="13">
        <v>0</v>
      </c>
      <c r="BJ151" s="13">
        <v>0</v>
      </c>
      <c r="BK151" s="13">
        <v>0</v>
      </c>
      <c r="BL151" s="13">
        <v>0</v>
      </c>
      <c r="BM151" s="13">
        <v>0</v>
      </c>
      <c r="BN151" s="13">
        <v>0</v>
      </c>
      <c r="BO151" s="13">
        <v>0</v>
      </c>
      <c r="BP151" s="13">
        <v>1</v>
      </c>
      <c r="BR151" s="13">
        <v>12</v>
      </c>
    </row>
    <row r="152" spans="1:70" s="13" customFormat="1" ht="14.25" x14ac:dyDescent="0.15">
      <c r="A152" s="164"/>
      <c r="B152" s="13" t="s">
        <v>2538</v>
      </c>
      <c r="C152" s="13" t="s">
        <v>868</v>
      </c>
      <c r="E152" s="13" t="s">
        <v>869</v>
      </c>
      <c r="G152" s="13">
        <v>0</v>
      </c>
      <c r="H152" s="13">
        <v>12</v>
      </c>
      <c r="I152" s="13" t="s">
        <v>401</v>
      </c>
      <c r="K152" s="13">
        <v>3</v>
      </c>
      <c r="L152" s="13">
        <v>1</v>
      </c>
      <c r="M152" s="13" t="s">
        <v>254</v>
      </c>
      <c r="N152" s="13" t="s">
        <v>396</v>
      </c>
      <c r="O152" s="13">
        <v>0</v>
      </c>
      <c r="P152" s="13" t="s">
        <v>2539</v>
      </c>
      <c r="Q152" s="13" t="s">
        <v>870</v>
      </c>
      <c r="S152" s="13" t="s">
        <v>871</v>
      </c>
      <c r="U152" s="42" t="s">
        <v>872</v>
      </c>
      <c r="Y152" s="13" t="s">
        <v>250</v>
      </c>
      <c r="Z152" s="13" t="s">
        <v>873</v>
      </c>
      <c r="AA152" s="13" t="s">
        <v>251</v>
      </c>
      <c r="AB152" s="13">
        <v>0.15</v>
      </c>
      <c r="AC152" s="13">
        <v>0</v>
      </c>
      <c r="AD152" s="13">
        <v>20</v>
      </c>
      <c r="AE152" s="13">
        <v>1</v>
      </c>
      <c r="AF152" s="13" t="s">
        <v>1006</v>
      </c>
      <c r="AH152" s="13" t="s">
        <v>399</v>
      </c>
      <c r="AI152" s="13">
        <v>680</v>
      </c>
      <c r="AK152" s="13">
        <v>34708.534282699206</v>
      </c>
      <c r="AN152" s="163" t="s">
        <v>235</v>
      </c>
      <c r="AO152" s="163">
        <v>0</v>
      </c>
      <c r="AP152" s="163" t="s">
        <v>252</v>
      </c>
      <c r="AR152" s="13">
        <v>22560.547283754484</v>
      </c>
      <c r="AS152" s="13">
        <v>10930.888180800002</v>
      </c>
      <c r="AT152" s="13">
        <v>63827.992945357626</v>
      </c>
      <c r="AU152" s="13">
        <v>1</v>
      </c>
      <c r="AV152" s="13">
        <v>1</v>
      </c>
      <c r="AW152" s="13">
        <v>0</v>
      </c>
      <c r="AX152" s="13">
        <v>0</v>
      </c>
      <c r="AY152" s="13">
        <v>0</v>
      </c>
      <c r="AZ152" s="13">
        <v>0</v>
      </c>
      <c r="BA152" s="13">
        <v>0</v>
      </c>
      <c r="BB152" s="13">
        <v>0</v>
      </c>
      <c r="BC152" s="13">
        <v>0</v>
      </c>
      <c r="BD152" s="13">
        <v>0</v>
      </c>
      <c r="BE152" s="13">
        <v>0</v>
      </c>
      <c r="BF152" s="13">
        <v>0</v>
      </c>
      <c r="BG152" s="13">
        <v>0</v>
      </c>
      <c r="BH152" s="13">
        <v>0</v>
      </c>
      <c r="BI152" s="13">
        <v>0</v>
      </c>
      <c r="BJ152" s="13">
        <v>0</v>
      </c>
      <c r="BK152" s="13">
        <v>0</v>
      </c>
      <c r="BL152" s="13">
        <v>0</v>
      </c>
      <c r="BM152" s="13">
        <v>0</v>
      </c>
      <c r="BN152" s="13">
        <v>0</v>
      </c>
      <c r="BO152" s="13">
        <v>0</v>
      </c>
      <c r="BP152" s="13">
        <v>1</v>
      </c>
      <c r="BR152" s="13">
        <v>12</v>
      </c>
    </row>
    <row r="153" spans="1:70" s="13" customFormat="1" ht="14.25" x14ac:dyDescent="0.15">
      <c r="A153" s="164"/>
      <c r="B153" s="13" t="s">
        <v>2540</v>
      </c>
      <c r="C153" s="11" t="s">
        <v>2416</v>
      </c>
      <c r="E153" s="13" t="s">
        <v>2417</v>
      </c>
      <c r="G153" s="13">
        <v>2</v>
      </c>
      <c r="H153" s="13">
        <v>11</v>
      </c>
      <c r="I153" s="13" t="s">
        <v>809</v>
      </c>
      <c r="K153" s="13">
        <v>3</v>
      </c>
      <c r="L153" s="13">
        <v>1</v>
      </c>
      <c r="M153" s="13" t="s">
        <v>254</v>
      </c>
      <c r="N153" s="13" t="s">
        <v>396</v>
      </c>
      <c r="O153" s="13">
        <v>0</v>
      </c>
      <c r="P153" s="13" t="s">
        <v>2541</v>
      </c>
      <c r="Q153" s="13" t="s">
        <v>2419</v>
      </c>
      <c r="U153" s="42"/>
      <c r="Y153" s="13" t="s">
        <v>250</v>
      </c>
      <c r="Z153" s="13" t="s">
        <v>235</v>
      </c>
      <c r="AA153" s="13" t="s">
        <v>251</v>
      </c>
      <c r="AB153" s="13">
        <v>0.15</v>
      </c>
      <c r="AC153" s="13">
        <v>30</v>
      </c>
      <c r="AD153" s="13">
        <v>20</v>
      </c>
      <c r="AE153" s="13">
        <v>1</v>
      </c>
      <c r="AF153" s="13" t="s">
        <v>235</v>
      </c>
      <c r="AH153" s="13" t="s">
        <v>399</v>
      </c>
      <c r="AI153" s="13">
        <v>0</v>
      </c>
      <c r="AK153" s="13">
        <v>22607.2647</v>
      </c>
      <c r="AN153" s="163" t="s">
        <v>235</v>
      </c>
      <c r="AO153" s="163">
        <v>0</v>
      </c>
      <c r="AP153" s="163" t="s">
        <v>252</v>
      </c>
      <c r="AR153" s="13">
        <v>14694.722055</v>
      </c>
      <c r="AS153" s="13">
        <v>6126.63</v>
      </c>
      <c r="AT153" s="13">
        <v>1</v>
      </c>
      <c r="AU153" s="13">
        <v>1</v>
      </c>
      <c r="AV153" s="13">
        <v>1</v>
      </c>
      <c r="AW153" s="13">
        <v>0</v>
      </c>
      <c r="AX153" s="13">
        <v>0</v>
      </c>
      <c r="AY153" s="13">
        <v>0</v>
      </c>
      <c r="AZ153" s="13">
        <v>0</v>
      </c>
      <c r="BA153" s="13">
        <v>0</v>
      </c>
      <c r="BB153" s="13">
        <v>0</v>
      </c>
      <c r="BC153" s="13">
        <v>0</v>
      </c>
      <c r="BD153" s="13">
        <v>0</v>
      </c>
      <c r="BE153" s="13">
        <v>0</v>
      </c>
      <c r="BF153" s="13">
        <v>0</v>
      </c>
      <c r="BG153" s="13">
        <v>0</v>
      </c>
      <c r="BH153" s="13">
        <v>0</v>
      </c>
      <c r="BI153" s="13">
        <v>0</v>
      </c>
      <c r="BJ153" s="13">
        <v>0</v>
      </c>
      <c r="BK153" s="13">
        <v>0</v>
      </c>
      <c r="BL153" s="13">
        <v>0</v>
      </c>
      <c r="BM153" s="13">
        <v>0</v>
      </c>
      <c r="BN153" s="13">
        <v>0</v>
      </c>
      <c r="BO153" s="13">
        <v>0</v>
      </c>
      <c r="BP153" s="13">
        <v>1</v>
      </c>
      <c r="BR153" s="13">
        <v>11</v>
      </c>
    </row>
    <row r="154" spans="1:70" s="13" customFormat="1" ht="14.25" x14ac:dyDescent="0.15">
      <c r="A154" s="164"/>
      <c r="B154" s="13" t="s">
        <v>2542</v>
      </c>
      <c r="C154" s="13" t="s">
        <v>2416</v>
      </c>
      <c r="E154" s="13" t="s">
        <v>2417</v>
      </c>
      <c r="G154" s="13">
        <v>2</v>
      </c>
      <c r="H154" s="13">
        <v>11</v>
      </c>
      <c r="I154" s="13" t="s">
        <v>809</v>
      </c>
      <c r="K154" s="13">
        <v>3</v>
      </c>
      <c r="L154" s="13">
        <v>1</v>
      </c>
      <c r="M154" s="13" t="s">
        <v>254</v>
      </c>
      <c r="N154" s="13" t="s">
        <v>396</v>
      </c>
      <c r="O154" s="13">
        <v>0</v>
      </c>
      <c r="P154" s="13" t="s">
        <v>2543</v>
      </c>
      <c r="Q154" s="13" t="s">
        <v>2419</v>
      </c>
      <c r="U154" s="42"/>
      <c r="Y154" s="13" t="s">
        <v>250</v>
      </c>
      <c r="Z154" s="13" t="s">
        <v>235</v>
      </c>
      <c r="AA154" s="13" t="s">
        <v>251</v>
      </c>
      <c r="AB154" s="13">
        <v>0.15</v>
      </c>
      <c r="AC154" s="13">
        <v>0</v>
      </c>
      <c r="AD154" s="13">
        <v>20</v>
      </c>
      <c r="AE154" s="13">
        <v>1</v>
      </c>
      <c r="AF154" s="13" t="s">
        <v>235</v>
      </c>
      <c r="AH154" s="13" t="s">
        <v>399</v>
      </c>
      <c r="AI154" s="13">
        <v>0</v>
      </c>
      <c r="AK154" s="13">
        <v>22607.2647</v>
      </c>
      <c r="AN154" s="163" t="s">
        <v>235</v>
      </c>
      <c r="AO154" s="163">
        <v>0</v>
      </c>
      <c r="AP154" s="163" t="s">
        <v>252</v>
      </c>
      <c r="AR154" s="13">
        <v>14694.722055</v>
      </c>
      <c r="AS154" s="13">
        <v>6126.63</v>
      </c>
      <c r="AT154" s="13">
        <v>1</v>
      </c>
      <c r="AU154" s="13">
        <v>1</v>
      </c>
      <c r="AV154" s="13">
        <v>1</v>
      </c>
      <c r="AW154" s="13">
        <v>0</v>
      </c>
      <c r="AX154" s="13">
        <v>0</v>
      </c>
      <c r="AY154" s="13">
        <v>0</v>
      </c>
      <c r="AZ154" s="13">
        <v>0</v>
      </c>
      <c r="BA154" s="13">
        <v>0</v>
      </c>
      <c r="BB154" s="13">
        <v>0</v>
      </c>
      <c r="BC154" s="13">
        <v>0</v>
      </c>
      <c r="BD154" s="13">
        <v>0</v>
      </c>
      <c r="BE154" s="13">
        <v>0</v>
      </c>
      <c r="BF154" s="13">
        <v>0</v>
      </c>
      <c r="BG154" s="13">
        <v>0</v>
      </c>
      <c r="BH154" s="13">
        <v>0</v>
      </c>
      <c r="BI154" s="13">
        <v>0</v>
      </c>
      <c r="BJ154" s="13">
        <v>0</v>
      </c>
      <c r="BK154" s="13">
        <v>0</v>
      </c>
      <c r="BL154" s="13">
        <v>0</v>
      </c>
      <c r="BM154" s="13">
        <v>0</v>
      </c>
      <c r="BN154" s="13">
        <v>0</v>
      </c>
      <c r="BO154" s="13">
        <v>0</v>
      </c>
      <c r="BP154" s="13">
        <v>1</v>
      </c>
      <c r="BR154" s="13">
        <v>11</v>
      </c>
    </row>
    <row r="155" spans="1:70" s="13" customFormat="1" ht="14.25" x14ac:dyDescent="0.15">
      <c r="A155" s="164"/>
      <c r="B155" s="13" t="s">
        <v>2544</v>
      </c>
      <c r="C155" s="13" t="s">
        <v>2416</v>
      </c>
      <c r="E155" s="13" t="s">
        <v>2417</v>
      </c>
      <c r="G155" s="13">
        <v>2</v>
      </c>
      <c r="H155" s="13">
        <v>11</v>
      </c>
      <c r="I155" s="13" t="s">
        <v>809</v>
      </c>
      <c r="K155" s="13">
        <v>3</v>
      </c>
      <c r="L155" s="13">
        <v>1</v>
      </c>
      <c r="M155" s="13" t="s">
        <v>254</v>
      </c>
      <c r="N155" s="13" t="s">
        <v>396</v>
      </c>
      <c r="O155" s="13">
        <v>0</v>
      </c>
      <c r="P155" s="13" t="s">
        <v>2545</v>
      </c>
      <c r="Q155" s="13" t="s">
        <v>2419</v>
      </c>
      <c r="U155" s="42"/>
      <c r="Y155" s="13" t="s">
        <v>250</v>
      </c>
      <c r="Z155" s="13" t="s">
        <v>235</v>
      </c>
      <c r="AA155" s="13" t="s">
        <v>251</v>
      </c>
      <c r="AB155" s="13">
        <v>0.15</v>
      </c>
      <c r="AC155" s="13">
        <v>0</v>
      </c>
      <c r="AD155" s="13">
        <v>20</v>
      </c>
      <c r="AE155" s="13">
        <v>1</v>
      </c>
      <c r="AF155" s="13" t="s">
        <v>235</v>
      </c>
      <c r="AH155" s="13" t="s">
        <v>399</v>
      </c>
      <c r="AI155" s="13">
        <v>0</v>
      </c>
      <c r="AK155" s="13">
        <v>22607.2647</v>
      </c>
      <c r="AN155" s="163" t="s">
        <v>235</v>
      </c>
      <c r="AO155" s="163">
        <v>0</v>
      </c>
      <c r="AP155" s="163" t="s">
        <v>252</v>
      </c>
      <c r="AR155" s="13">
        <v>14694.722055</v>
      </c>
      <c r="AS155" s="13">
        <v>6126.63</v>
      </c>
      <c r="AT155" s="13">
        <v>1</v>
      </c>
      <c r="AU155" s="13">
        <v>1</v>
      </c>
      <c r="AV155" s="13">
        <v>1</v>
      </c>
      <c r="AW155" s="13">
        <v>0</v>
      </c>
      <c r="AX155" s="13">
        <v>0</v>
      </c>
      <c r="AY155" s="13">
        <v>0</v>
      </c>
      <c r="AZ155" s="13">
        <v>0</v>
      </c>
      <c r="BA155" s="13">
        <v>0</v>
      </c>
      <c r="BB155" s="13">
        <v>0</v>
      </c>
      <c r="BC155" s="13">
        <v>0</v>
      </c>
      <c r="BD155" s="13">
        <v>0</v>
      </c>
      <c r="BE155" s="13">
        <v>0</v>
      </c>
      <c r="BF155" s="13">
        <v>0</v>
      </c>
      <c r="BG155" s="13">
        <v>0</v>
      </c>
      <c r="BH155" s="13">
        <v>0</v>
      </c>
      <c r="BI155" s="13">
        <v>0</v>
      </c>
      <c r="BJ155" s="13">
        <v>0</v>
      </c>
      <c r="BK155" s="13">
        <v>0</v>
      </c>
      <c r="BL155" s="13">
        <v>0</v>
      </c>
      <c r="BM155" s="13">
        <v>0</v>
      </c>
      <c r="BN155" s="13">
        <v>0</v>
      </c>
      <c r="BO155" s="13">
        <v>0</v>
      </c>
      <c r="BP155" s="13">
        <v>1</v>
      </c>
      <c r="BR155" s="13">
        <v>11</v>
      </c>
    </row>
    <row r="156" spans="1:70" s="13" customFormat="1" ht="14.25" x14ac:dyDescent="0.15">
      <c r="A156" s="164"/>
      <c r="B156" s="13" t="s">
        <v>1918</v>
      </c>
      <c r="C156" s="13" t="s">
        <v>821</v>
      </c>
      <c r="E156" s="13" t="s">
        <v>822</v>
      </c>
      <c r="G156" s="13">
        <v>0</v>
      </c>
      <c r="H156" s="13">
        <v>14</v>
      </c>
      <c r="I156" s="13" t="s">
        <v>401</v>
      </c>
      <c r="K156" s="13">
        <v>3</v>
      </c>
      <c r="L156" s="13">
        <v>1</v>
      </c>
      <c r="M156" s="13" t="s">
        <v>254</v>
      </c>
      <c r="N156" s="13" t="s">
        <v>396</v>
      </c>
      <c r="O156" s="13">
        <v>0</v>
      </c>
      <c r="P156" s="13" t="s">
        <v>1919</v>
      </c>
      <c r="Q156" s="13" t="s">
        <v>823</v>
      </c>
      <c r="S156" s="13" t="s">
        <v>824</v>
      </c>
      <c r="U156" s="42" t="s">
        <v>825</v>
      </c>
      <c r="Y156" s="13" t="s">
        <v>250</v>
      </c>
      <c r="Z156" s="13" t="s">
        <v>826</v>
      </c>
      <c r="AA156" s="13" t="s">
        <v>251</v>
      </c>
      <c r="AB156" s="13">
        <v>0.15</v>
      </c>
      <c r="AC156" s="13">
        <v>0</v>
      </c>
      <c r="AD156" s="13">
        <v>20</v>
      </c>
      <c r="AE156" s="13">
        <v>1</v>
      </c>
      <c r="AF156" s="13" t="s">
        <v>1008</v>
      </c>
      <c r="AH156" s="13" t="s">
        <v>399</v>
      </c>
      <c r="AI156" s="13">
        <v>0</v>
      </c>
      <c r="AK156" s="13">
        <v>39253.699486386002</v>
      </c>
      <c r="AN156" s="163" t="s">
        <v>235</v>
      </c>
      <c r="AO156" s="163">
        <v>0</v>
      </c>
      <c r="AP156" s="163" t="s">
        <v>252</v>
      </c>
      <c r="AR156" s="13">
        <v>25514.904666150902</v>
      </c>
      <c r="AS156" s="13">
        <v>10930.888180800002</v>
      </c>
      <c r="AT156" s="13">
        <v>70673.313927903218</v>
      </c>
      <c r="AU156" s="13">
        <v>1</v>
      </c>
      <c r="AV156" s="13">
        <v>1</v>
      </c>
      <c r="AW156" s="13">
        <v>0</v>
      </c>
      <c r="AX156" s="13">
        <v>0</v>
      </c>
      <c r="AY156" s="13">
        <v>0</v>
      </c>
      <c r="AZ156" s="13">
        <v>0</v>
      </c>
      <c r="BA156" s="13">
        <v>0</v>
      </c>
      <c r="BB156" s="13">
        <v>0</v>
      </c>
      <c r="BC156" s="13">
        <v>0</v>
      </c>
      <c r="BD156" s="13">
        <v>0</v>
      </c>
      <c r="BE156" s="13">
        <v>0</v>
      </c>
      <c r="BF156" s="13">
        <v>0</v>
      </c>
      <c r="BG156" s="13">
        <v>0</v>
      </c>
      <c r="BH156" s="13">
        <v>0</v>
      </c>
      <c r="BI156" s="13">
        <v>0</v>
      </c>
      <c r="BJ156" s="13">
        <v>0</v>
      </c>
      <c r="BK156" s="13">
        <v>0</v>
      </c>
      <c r="BL156" s="13">
        <v>0</v>
      </c>
      <c r="BM156" s="13">
        <v>0</v>
      </c>
      <c r="BN156" s="13">
        <v>0</v>
      </c>
      <c r="BO156" s="13">
        <v>0</v>
      </c>
      <c r="BP156" s="13">
        <v>1</v>
      </c>
      <c r="BR156" s="13">
        <v>14</v>
      </c>
    </row>
    <row r="157" spans="1:70" s="13" customFormat="1" ht="14.25" x14ac:dyDescent="0.15">
      <c r="A157" s="164"/>
      <c r="B157" s="13" t="s">
        <v>1920</v>
      </c>
      <c r="C157" s="13" t="s">
        <v>981</v>
      </c>
      <c r="E157" s="13" t="s">
        <v>810</v>
      </c>
      <c r="G157" s="13">
        <v>0</v>
      </c>
      <c r="H157" s="13">
        <v>12</v>
      </c>
      <c r="I157" s="13" t="s">
        <v>400</v>
      </c>
      <c r="K157" s="13">
        <v>3</v>
      </c>
      <c r="L157" s="13">
        <v>1</v>
      </c>
      <c r="M157" s="13" t="s">
        <v>254</v>
      </c>
      <c r="N157" s="13" t="s">
        <v>396</v>
      </c>
      <c r="O157" s="13">
        <v>0</v>
      </c>
      <c r="P157" s="13" t="s">
        <v>1921</v>
      </c>
      <c r="Q157" s="13" t="s">
        <v>811</v>
      </c>
      <c r="S157" s="13" t="s">
        <v>812</v>
      </c>
      <c r="U157" s="42" t="s">
        <v>813</v>
      </c>
      <c r="Y157" s="13" t="s">
        <v>250</v>
      </c>
      <c r="Z157" s="13" t="s">
        <v>814</v>
      </c>
      <c r="AA157" s="13" t="s">
        <v>251</v>
      </c>
      <c r="AB157" s="13">
        <v>0.15</v>
      </c>
      <c r="AC157" s="13">
        <v>30</v>
      </c>
      <c r="AD157" s="13">
        <v>20</v>
      </c>
      <c r="AE157" s="13">
        <v>1</v>
      </c>
      <c r="AF157" s="13" t="s">
        <v>1030</v>
      </c>
      <c r="AH157" s="13" t="s">
        <v>399</v>
      </c>
      <c r="AI157" s="13">
        <v>0</v>
      </c>
      <c r="AK157" s="13">
        <v>21974.559042618002</v>
      </c>
      <c r="AN157" s="163" t="s">
        <v>235</v>
      </c>
      <c r="AO157" s="163">
        <v>0</v>
      </c>
      <c r="AP157" s="163" t="s">
        <v>252</v>
      </c>
      <c r="AR157" s="13">
        <v>14283.463377701702</v>
      </c>
      <c r="AS157" s="13">
        <v>12898.448053344002</v>
      </c>
      <c r="AT157" s="13">
        <v>105311.0492299733</v>
      </c>
      <c r="AU157" s="13">
        <v>1</v>
      </c>
      <c r="AV157" s="13">
        <v>1</v>
      </c>
      <c r="AW157" s="13">
        <v>0</v>
      </c>
      <c r="AX157" s="13">
        <v>0</v>
      </c>
      <c r="AY157" s="13">
        <v>0</v>
      </c>
      <c r="AZ157" s="13">
        <v>0</v>
      </c>
      <c r="BA157" s="13">
        <v>0</v>
      </c>
      <c r="BB157" s="13">
        <v>0</v>
      </c>
      <c r="BC157" s="13">
        <v>0</v>
      </c>
      <c r="BD157" s="13">
        <v>0</v>
      </c>
      <c r="BE157" s="13">
        <v>0</v>
      </c>
      <c r="BF157" s="13">
        <v>0</v>
      </c>
      <c r="BG157" s="13">
        <v>0</v>
      </c>
      <c r="BH157" s="13">
        <v>0</v>
      </c>
      <c r="BI157" s="13">
        <v>0</v>
      </c>
      <c r="BJ157" s="13">
        <v>0</v>
      </c>
      <c r="BK157" s="13">
        <v>0</v>
      </c>
      <c r="BL157" s="13">
        <v>0</v>
      </c>
      <c r="BM157" s="13">
        <v>0</v>
      </c>
      <c r="BN157" s="13">
        <v>0</v>
      </c>
      <c r="BO157" s="13">
        <v>0</v>
      </c>
      <c r="BP157" s="13">
        <v>1</v>
      </c>
      <c r="BR157" s="13">
        <v>11</v>
      </c>
    </row>
    <row r="158" spans="1:70" s="13" customFormat="1" ht="14.25" x14ac:dyDescent="0.15">
      <c r="A158" s="164"/>
      <c r="B158" s="13" t="s">
        <v>1922</v>
      </c>
      <c r="C158" s="11" t="s">
        <v>882</v>
      </c>
      <c r="E158" s="13" t="s">
        <v>883</v>
      </c>
      <c r="G158" s="13">
        <v>1</v>
      </c>
      <c r="H158" s="13">
        <v>14</v>
      </c>
      <c r="I158" s="13" t="s">
        <v>400</v>
      </c>
      <c r="K158" s="13">
        <v>3</v>
      </c>
      <c r="L158" s="13">
        <v>1</v>
      </c>
      <c r="M158" s="13" t="s">
        <v>254</v>
      </c>
      <c r="N158" s="13" t="s">
        <v>396</v>
      </c>
      <c r="O158" s="13">
        <v>0</v>
      </c>
      <c r="P158" s="13" t="s">
        <v>1923</v>
      </c>
      <c r="Q158" s="13" t="s">
        <v>884</v>
      </c>
      <c r="S158" s="13" t="s">
        <v>885</v>
      </c>
      <c r="U158" s="42" t="s">
        <v>886</v>
      </c>
      <c r="Y158" s="13" t="s">
        <v>250</v>
      </c>
      <c r="Z158" s="13" t="s">
        <v>887</v>
      </c>
      <c r="AA158" s="13" t="s">
        <v>251</v>
      </c>
      <c r="AB158" s="13">
        <v>0.15</v>
      </c>
      <c r="AC158" s="13">
        <v>0</v>
      </c>
      <c r="AD158" s="13">
        <v>20</v>
      </c>
      <c r="AE158" s="13">
        <v>1</v>
      </c>
      <c r="AF158" s="13" t="s">
        <v>1010</v>
      </c>
      <c r="AH158" s="13" t="s">
        <v>399</v>
      </c>
      <c r="AI158" s="13">
        <v>0</v>
      </c>
      <c r="AK158" s="13">
        <v>29862.862288686003</v>
      </c>
      <c r="AN158" s="163" t="s">
        <v>235</v>
      </c>
      <c r="AO158" s="163">
        <v>0</v>
      </c>
      <c r="AP158" s="163" t="s">
        <v>252</v>
      </c>
      <c r="AR158" s="13">
        <v>19410.860487645903</v>
      </c>
      <c r="AS158" s="13">
        <v>12898.448053344002</v>
      </c>
      <c r="AT158" s="13">
        <v>134617.79381690774</v>
      </c>
      <c r="AU158" s="13">
        <v>1</v>
      </c>
      <c r="AV158" s="13">
        <v>1</v>
      </c>
      <c r="AW158" s="13">
        <v>0</v>
      </c>
      <c r="AX158" s="13">
        <v>0</v>
      </c>
      <c r="AY158" s="13">
        <v>0</v>
      </c>
      <c r="AZ158" s="13">
        <v>0</v>
      </c>
      <c r="BA158" s="13">
        <v>0</v>
      </c>
      <c r="BB158" s="13">
        <v>0</v>
      </c>
      <c r="BC158" s="13">
        <v>0</v>
      </c>
      <c r="BD158" s="13">
        <v>0</v>
      </c>
      <c r="BE158" s="13">
        <v>0</v>
      </c>
      <c r="BF158" s="13">
        <v>0</v>
      </c>
      <c r="BG158" s="13">
        <v>0</v>
      </c>
      <c r="BH158" s="13">
        <v>0</v>
      </c>
      <c r="BI158" s="13">
        <v>0</v>
      </c>
      <c r="BJ158" s="13">
        <v>0</v>
      </c>
      <c r="BK158" s="13">
        <v>0</v>
      </c>
      <c r="BL158" s="13">
        <v>0</v>
      </c>
      <c r="BM158" s="13">
        <v>0</v>
      </c>
      <c r="BN158" s="13">
        <v>0</v>
      </c>
      <c r="BO158" s="13">
        <v>0</v>
      </c>
      <c r="BP158" s="13">
        <v>1</v>
      </c>
      <c r="BR158" s="13">
        <v>16</v>
      </c>
    </row>
    <row r="159" spans="1:70" s="13" customFormat="1" ht="14.25" x14ac:dyDescent="0.15">
      <c r="A159" s="164"/>
      <c r="B159" s="13" t="s">
        <v>1924</v>
      </c>
      <c r="C159" s="13" t="s">
        <v>981</v>
      </c>
      <c r="E159" s="13" t="s">
        <v>810</v>
      </c>
      <c r="G159" s="13">
        <v>0</v>
      </c>
      <c r="H159" s="13">
        <v>12</v>
      </c>
      <c r="I159" s="13" t="s">
        <v>400</v>
      </c>
      <c r="K159" s="13">
        <v>3</v>
      </c>
      <c r="L159" s="13">
        <v>1</v>
      </c>
      <c r="M159" s="13" t="s">
        <v>254</v>
      </c>
      <c r="N159" s="13" t="s">
        <v>396</v>
      </c>
      <c r="O159" s="13">
        <v>0</v>
      </c>
      <c r="P159" s="13" t="s">
        <v>1925</v>
      </c>
      <c r="Q159" s="13" t="s">
        <v>811</v>
      </c>
      <c r="S159" s="13" t="s">
        <v>812</v>
      </c>
      <c r="U159" s="42" t="s">
        <v>813</v>
      </c>
      <c r="Y159" s="13" t="s">
        <v>250</v>
      </c>
      <c r="Z159" s="13" t="s">
        <v>814</v>
      </c>
      <c r="AA159" s="13" t="s">
        <v>251</v>
      </c>
      <c r="AB159" s="13">
        <v>0.15</v>
      </c>
      <c r="AC159" s="13">
        <v>0</v>
      </c>
      <c r="AD159" s="13">
        <v>20</v>
      </c>
      <c r="AE159" s="13">
        <v>1</v>
      </c>
      <c r="AF159" s="13" t="s">
        <v>1030</v>
      </c>
      <c r="AH159" s="13" t="s">
        <v>399</v>
      </c>
      <c r="AI159" s="13">
        <v>0</v>
      </c>
      <c r="AK159" s="13">
        <v>21974.559042618002</v>
      </c>
      <c r="AN159" s="163" t="s">
        <v>235</v>
      </c>
      <c r="AO159" s="163">
        <v>0</v>
      </c>
      <c r="AP159" s="163" t="s">
        <v>252</v>
      </c>
      <c r="AR159" s="13">
        <v>14283.463377701702</v>
      </c>
      <c r="AS159" s="13">
        <v>12898.448053344002</v>
      </c>
      <c r="AT159" s="13">
        <v>105311.0492299733</v>
      </c>
      <c r="AU159" s="13">
        <v>1</v>
      </c>
      <c r="AV159" s="13">
        <v>1</v>
      </c>
      <c r="AW159" s="13">
        <v>0</v>
      </c>
      <c r="AX159" s="13">
        <v>0</v>
      </c>
      <c r="AY159" s="13">
        <v>0</v>
      </c>
      <c r="AZ159" s="13">
        <v>0</v>
      </c>
      <c r="BA159" s="13">
        <v>0</v>
      </c>
      <c r="BB159" s="13">
        <v>0</v>
      </c>
      <c r="BC159" s="13">
        <v>0</v>
      </c>
      <c r="BD159" s="13">
        <v>0</v>
      </c>
      <c r="BE159" s="13">
        <v>0</v>
      </c>
      <c r="BF159" s="13">
        <v>0</v>
      </c>
      <c r="BG159" s="13">
        <v>0</v>
      </c>
      <c r="BH159" s="13">
        <v>0</v>
      </c>
      <c r="BI159" s="13">
        <v>0</v>
      </c>
      <c r="BJ159" s="13">
        <v>0</v>
      </c>
      <c r="BK159" s="13">
        <v>0</v>
      </c>
      <c r="BL159" s="13">
        <v>0</v>
      </c>
      <c r="BM159" s="13">
        <v>0</v>
      </c>
      <c r="BN159" s="13">
        <v>0</v>
      </c>
      <c r="BO159" s="13">
        <v>0</v>
      </c>
      <c r="BP159" s="13">
        <v>1</v>
      </c>
      <c r="BR159" s="13">
        <v>11</v>
      </c>
    </row>
    <row r="160" spans="1:70" s="13" customFormat="1" ht="14.25" x14ac:dyDescent="0.15">
      <c r="A160" s="164"/>
      <c r="B160" s="13" t="s">
        <v>2546</v>
      </c>
      <c r="C160" s="11" t="s">
        <v>918</v>
      </c>
      <c r="E160" s="13" t="s">
        <v>919</v>
      </c>
      <c r="G160" s="13">
        <v>0</v>
      </c>
      <c r="H160" s="13">
        <v>13</v>
      </c>
      <c r="I160" s="13" t="s">
        <v>809</v>
      </c>
      <c r="K160" s="13">
        <v>3</v>
      </c>
      <c r="L160" s="13">
        <v>1</v>
      </c>
      <c r="M160" s="13" t="s">
        <v>254</v>
      </c>
      <c r="N160" s="13" t="s">
        <v>396</v>
      </c>
      <c r="O160" s="13">
        <v>0</v>
      </c>
      <c r="P160" s="13" t="s">
        <v>2547</v>
      </c>
      <c r="Q160" s="13" t="s">
        <v>920</v>
      </c>
      <c r="S160" s="13" t="s">
        <v>921</v>
      </c>
      <c r="U160" s="42" t="s">
        <v>922</v>
      </c>
      <c r="Y160" s="13" t="s">
        <v>923</v>
      </c>
      <c r="Z160" s="13" t="s">
        <v>235</v>
      </c>
      <c r="AA160" s="13" t="s">
        <v>251</v>
      </c>
      <c r="AB160" s="13">
        <v>0.15</v>
      </c>
      <c r="AC160" s="13">
        <v>0</v>
      </c>
      <c r="AD160" s="13">
        <v>20</v>
      </c>
      <c r="AE160" s="13">
        <v>1</v>
      </c>
      <c r="AF160" s="13" t="s">
        <v>1017</v>
      </c>
      <c r="AH160" s="13" t="s">
        <v>399</v>
      </c>
      <c r="AI160" s="13">
        <v>0</v>
      </c>
      <c r="AK160" s="13">
        <v>31553.212984272002</v>
      </c>
      <c r="AN160" s="163" t="s">
        <v>235</v>
      </c>
      <c r="AO160" s="163">
        <v>0</v>
      </c>
      <c r="AP160" s="163" t="s">
        <v>252</v>
      </c>
      <c r="AR160" s="13">
        <v>20509.588439776799</v>
      </c>
      <c r="AS160" s="13">
        <v>10930.888180800002</v>
      </c>
      <c r="AT160" s="13">
        <v>78799.991290564954</v>
      </c>
      <c r="AU160" s="13">
        <v>1</v>
      </c>
      <c r="AV160" s="13">
        <v>1</v>
      </c>
      <c r="AW160" s="13">
        <v>0</v>
      </c>
      <c r="AX160" s="13">
        <v>0</v>
      </c>
      <c r="AY160" s="13">
        <v>0</v>
      </c>
      <c r="AZ160" s="13">
        <v>0</v>
      </c>
      <c r="BA160" s="13">
        <v>0</v>
      </c>
      <c r="BB160" s="13">
        <v>0</v>
      </c>
      <c r="BC160" s="13">
        <v>0</v>
      </c>
      <c r="BD160" s="13">
        <v>0</v>
      </c>
      <c r="BE160" s="13">
        <v>0</v>
      </c>
      <c r="BF160" s="13">
        <v>0</v>
      </c>
      <c r="BG160" s="13">
        <v>0</v>
      </c>
      <c r="BH160" s="13">
        <v>0</v>
      </c>
      <c r="BI160" s="13">
        <v>0</v>
      </c>
      <c r="BJ160" s="13">
        <v>0</v>
      </c>
      <c r="BK160" s="13">
        <v>0</v>
      </c>
      <c r="BL160" s="13">
        <v>0</v>
      </c>
      <c r="BM160" s="13">
        <v>0</v>
      </c>
      <c r="BN160" s="13">
        <v>0</v>
      </c>
      <c r="BO160" s="13">
        <v>0</v>
      </c>
      <c r="BP160" s="13">
        <v>1</v>
      </c>
      <c r="BR160" s="13">
        <v>12</v>
      </c>
    </row>
    <row r="161" spans="1:70" s="13" customFormat="1" ht="14.25" x14ac:dyDescent="0.15">
      <c r="A161" s="164"/>
      <c r="B161" s="13" t="s">
        <v>2548</v>
      </c>
      <c r="C161" s="11" t="s">
        <v>930</v>
      </c>
      <c r="E161" s="13" t="s">
        <v>404</v>
      </c>
      <c r="G161" s="13">
        <v>0</v>
      </c>
      <c r="H161" s="13">
        <v>14</v>
      </c>
      <c r="I161" s="13" t="s">
        <v>296</v>
      </c>
      <c r="K161" s="13">
        <v>3</v>
      </c>
      <c r="L161" s="13">
        <v>1</v>
      </c>
      <c r="M161" s="13" t="s">
        <v>254</v>
      </c>
      <c r="N161" s="13" t="s">
        <v>396</v>
      </c>
      <c r="O161" s="13">
        <v>0</v>
      </c>
      <c r="P161" s="13" t="s">
        <v>2549</v>
      </c>
      <c r="Q161" s="13" t="s">
        <v>257</v>
      </c>
      <c r="S161" s="13" t="s">
        <v>403</v>
      </c>
      <c r="U161" s="42" t="s">
        <v>402</v>
      </c>
      <c r="Y161" s="13" t="s">
        <v>250</v>
      </c>
      <c r="Z161" s="13" t="s">
        <v>256</v>
      </c>
      <c r="AA161" s="13" t="s">
        <v>251</v>
      </c>
      <c r="AB161" s="13">
        <v>0.15</v>
      </c>
      <c r="AC161" s="13">
        <v>30</v>
      </c>
      <c r="AD161" s="13">
        <v>20</v>
      </c>
      <c r="AE161" s="13">
        <v>1</v>
      </c>
      <c r="AF161" s="13" t="s">
        <v>1019</v>
      </c>
      <c r="AH161" s="13" t="s">
        <v>399</v>
      </c>
      <c r="AI161" s="13">
        <v>1000</v>
      </c>
      <c r="AK161" s="13">
        <v>50034.380589345608</v>
      </c>
      <c r="AN161" s="163" t="s">
        <v>235</v>
      </c>
      <c r="AO161" s="163">
        <v>0</v>
      </c>
      <c r="AP161" s="163" t="s">
        <v>252</v>
      </c>
      <c r="AR161" s="13">
        <v>32522.347383074644</v>
      </c>
      <c r="AS161" s="13">
        <v>8963.328308256001</v>
      </c>
      <c r="AT161" s="13">
        <v>70867.458833981422</v>
      </c>
      <c r="AU161" s="13">
        <v>1</v>
      </c>
      <c r="AV161" s="13">
        <v>1</v>
      </c>
      <c r="AW161" s="13">
        <v>0</v>
      </c>
      <c r="AX161" s="13">
        <v>0</v>
      </c>
      <c r="AY161" s="13">
        <v>0</v>
      </c>
      <c r="AZ161" s="13">
        <v>0</v>
      </c>
      <c r="BA161" s="13">
        <v>0</v>
      </c>
      <c r="BB161" s="13">
        <v>0</v>
      </c>
      <c r="BC161" s="13">
        <v>0</v>
      </c>
      <c r="BD161" s="13">
        <v>0</v>
      </c>
      <c r="BE161" s="13">
        <v>0</v>
      </c>
      <c r="BF161" s="13">
        <v>0</v>
      </c>
      <c r="BG161" s="13">
        <v>0</v>
      </c>
      <c r="BH161" s="13">
        <v>0</v>
      </c>
      <c r="BI161" s="13">
        <v>0</v>
      </c>
      <c r="BJ161" s="13">
        <v>0</v>
      </c>
      <c r="BK161" s="13">
        <v>0</v>
      </c>
      <c r="BL161" s="13">
        <v>0</v>
      </c>
      <c r="BM161" s="13">
        <v>0</v>
      </c>
      <c r="BN161" s="13">
        <v>0</v>
      </c>
      <c r="BO161" s="13">
        <v>0</v>
      </c>
      <c r="BP161" s="13">
        <v>1</v>
      </c>
      <c r="BR161" s="13">
        <v>17</v>
      </c>
    </row>
    <row r="162" spans="1:70" s="13" customFormat="1" ht="14.25" x14ac:dyDescent="0.15">
      <c r="A162" s="164"/>
      <c r="B162" s="13" t="s">
        <v>1926</v>
      </c>
      <c r="C162" s="13" t="s">
        <v>2550</v>
      </c>
      <c r="E162" s="13" t="s">
        <v>2551</v>
      </c>
      <c r="G162" s="13">
        <v>1</v>
      </c>
      <c r="H162" s="13">
        <v>14</v>
      </c>
      <c r="I162" s="13" t="s">
        <v>400</v>
      </c>
      <c r="K162" s="13">
        <v>3</v>
      </c>
      <c r="L162" s="13">
        <v>1</v>
      </c>
      <c r="M162" s="13" t="s">
        <v>254</v>
      </c>
      <c r="N162" s="13" t="s">
        <v>396</v>
      </c>
      <c r="O162" s="13">
        <v>0</v>
      </c>
      <c r="P162" s="13" t="s">
        <v>1927</v>
      </c>
      <c r="Q162" s="13" t="s">
        <v>2552</v>
      </c>
      <c r="S162" s="13" t="s">
        <v>2553</v>
      </c>
      <c r="U162" s="42" t="s">
        <v>2554</v>
      </c>
      <c r="Y162" s="13" t="s">
        <v>250</v>
      </c>
      <c r="Z162" s="13" t="s">
        <v>2555</v>
      </c>
      <c r="AA162" s="13" t="s">
        <v>251</v>
      </c>
      <c r="AB162" s="13">
        <v>0.15</v>
      </c>
      <c r="AC162" s="13">
        <v>0</v>
      </c>
      <c r="AD162" s="13">
        <v>20</v>
      </c>
      <c r="AE162" s="13">
        <v>1</v>
      </c>
      <c r="AF162" s="13" t="s">
        <v>2556</v>
      </c>
      <c r="AH162" s="13" t="s">
        <v>399</v>
      </c>
      <c r="AI162" s="13">
        <v>0</v>
      </c>
      <c r="AK162" s="13">
        <v>26763.886013445001</v>
      </c>
      <c r="AN162" s="163" t="s">
        <v>235</v>
      </c>
      <c r="AO162" s="163">
        <v>0</v>
      </c>
      <c r="AP162" s="163" t="s">
        <v>252</v>
      </c>
      <c r="AR162" s="13">
        <v>17396.525908739248</v>
      </c>
      <c r="AS162" s="13">
        <v>12898.448053344002</v>
      </c>
      <c r="AT162" s="13">
        <v>123023.91683746116</v>
      </c>
      <c r="AU162" s="13">
        <v>1</v>
      </c>
      <c r="AV162" s="13">
        <v>1</v>
      </c>
      <c r="AW162" s="13">
        <v>0</v>
      </c>
      <c r="AX162" s="13">
        <v>0</v>
      </c>
      <c r="AY162" s="13">
        <v>0</v>
      </c>
      <c r="AZ162" s="13">
        <v>0</v>
      </c>
      <c r="BA162" s="13">
        <v>0</v>
      </c>
      <c r="BB162" s="13">
        <v>0</v>
      </c>
      <c r="BC162" s="13">
        <v>0</v>
      </c>
      <c r="BD162" s="13">
        <v>0</v>
      </c>
      <c r="BE162" s="13">
        <v>0</v>
      </c>
      <c r="BF162" s="13">
        <v>0</v>
      </c>
      <c r="BG162" s="13">
        <v>0</v>
      </c>
      <c r="BH162" s="13">
        <v>0</v>
      </c>
      <c r="BI162" s="13">
        <v>0</v>
      </c>
      <c r="BJ162" s="13">
        <v>0</v>
      </c>
      <c r="BK162" s="13">
        <v>0</v>
      </c>
      <c r="BL162" s="13">
        <v>0</v>
      </c>
      <c r="BM162" s="13">
        <v>0</v>
      </c>
      <c r="BN162" s="13">
        <v>0</v>
      </c>
      <c r="BO162" s="13">
        <v>0</v>
      </c>
      <c r="BP162" s="13">
        <v>1</v>
      </c>
      <c r="BR162" s="13">
        <v>14</v>
      </c>
    </row>
    <row r="163" spans="1:70" s="13" customFormat="1" ht="14.25" x14ac:dyDescent="0.15">
      <c r="A163" s="164"/>
      <c r="B163" s="13" t="s">
        <v>2557</v>
      </c>
      <c r="C163" s="13" t="s">
        <v>2340</v>
      </c>
      <c r="E163" s="13" t="s">
        <v>2341</v>
      </c>
      <c r="G163" s="13">
        <v>0</v>
      </c>
      <c r="H163" s="13">
        <v>14</v>
      </c>
      <c r="I163" s="13" t="s">
        <v>401</v>
      </c>
      <c r="K163" s="13">
        <v>3</v>
      </c>
      <c r="L163" s="13">
        <v>1</v>
      </c>
      <c r="M163" s="13" t="s">
        <v>254</v>
      </c>
      <c r="N163" s="13" t="s">
        <v>396</v>
      </c>
      <c r="O163" s="13">
        <v>0</v>
      </c>
      <c r="P163" s="13" t="s">
        <v>2558</v>
      </c>
      <c r="Q163" s="13" t="s">
        <v>2342</v>
      </c>
      <c r="S163" s="13" t="s">
        <v>2343</v>
      </c>
      <c r="U163" s="42" t="s">
        <v>2344</v>
      </c>
      <c r="Y163" s="13" t="s">
        <v>250</v>
      </c>
      <c r="Z163" s="13" t="s">
        <v>2345</v>
      </c>
      <c r="AA163" s="13" t="s">
        <v>251</v>
      </c>
      <c r="AB163" s="13">
        <v>0.15</v>
      </c>
      <c r="AC163" s="13">
        <v>0</v>
      </c>
      <c r="AD163" s="13">
        <v>20</v>
      </c>
      <c r="AE163" s="13">
        <v>1</v>
      </c>
      <c r="AF163" s="13" t="s">
        <v>2346</v>
      </c>
      <c r="AH163" s="13" t="s">
        <v>399</v>
      </c>
      <c r="AI163" s="13">
        <v>0</v>
      </c>
      <c r="AK163" s="13">
        <v>43798.864690072813</v>
      </c>
      <c r="AN163" s="163" t="s">
        <v>235</v>
      </c>
      <c r="AO163" s="163">
        <v>0</v>
      </c>
      <c r="AP163" s="163" t="s">
        <v>252</v>
      </c>
      <c r="AR163" s="13">
        <v>28469.262048547327</v>
      </c>
      <c r="AS163" s="13">
        <v>10930.888180800002</v>
      </c>
      <c r="AT163" s="13">
        <v>77333.626235244883</v>
      </c>
      <c r="AU163" s="13">
        <v>1</v>
      </c>
      <c r="AV163" s="13">
        <v>1</v>
      </c>
      <c r="AW163" s="13">
        <v>0</v>
      </c>
      <c r="AX163" s="13">
        <v>0</v>
      </c>
      <c r="AY163" s="13">
        <v>0</v>
      </c>
      <c r="AZ163" s="13">
        <v>0</v>
      </c>
      <c r="BA163" s="13">
        <v>0</v>
      </c>
      <c r="BB163" s="13">
        <v>0</v>
      </c>
      <c r="BC163" s="13">
        <v>0</v>
      </c>
      <c r="BD163" s="13">
        <v>0</v>
      </c>
      <c r="BE163" s="13">
        <v>0</v>
      </c>
      <c r="BF163" s="13">
        <v>0</v>
      </c>
      <c r="BG163" s="13">
        <v>0</v>
      </c>
      <c r="BH163" s="13">
        <v>0</v>
      </c>
      <c r="BI163" s="13">
        <v>0</v>
      </c>
      <c r="BJ163" s="13">
        <v>0</v>
      </c>
      <c r="BK163" s="13">
        <v>0</v>
      </c>
      <c r="BL163" s="13">
        <v>0</v>
      </c>
      <c r="BM163" s="13">
        <v>0</v>
      </c>
      <c r="BN163" s="13">
        <v>0</v>
      </c>
      <c r="BO163" s="13">
        <v>0</v>
      </c>
      <c r="BP163" s="13">
        <v>1</v>
      </c>
      <c r="BR163" s="13">
        <v>16</v>
      </c>
    </row>
    <row r="164" spans="1:70" s="13" customFormat="1" ht="14.25" x14ac:dyDescent="0.15">
      <c r="A164" s="164"/>
      <c r="B164" s="13" t="s">
        <v>2559</v>
      </c>
      <c r="C164" s="13" t="s">
        <v>2560</v>
      </c>
      <c r="E164" s="13" t="s">
        <v>2561</v>
      </c>
      <c r="G164" s="13">
        <v>0</v>
      </c>
      <c r="H164" s="13">
        <v>14</v>
      </c>
      <c r="I164" s="13" t="s">
        <v>397</v>
      </c>
      <c r="K164" s="13">
        <v>3</v>
      </c>
      <c r="L164" s="13">
        <v>1</v>
      </c>
      <c r="M164" s="13" t="s">
        <v>254</v>
      </c>
      <c r="N164" s="13" t="s">
        <v>396</v>
      </c>
      <c r="O164" s="13">
        <v>0</v>
      </c>
      <c r="P164" s="13" t="s">
        <v>2562</v>
      </c>
      <c r="Q164" s="13" t="s">
        <v>2563</v>
      </c>
      <c r="S164" s="13" t="s">
        <v>2564</v>
      </c>
      <c r="U164" s="42" t="s">
        <v>2565</v>
      </c>
      <c r="Y164" s="13" t="s">
        <v>250</v>
      </c>
      <c r="Z164" s="13" t="s">
        <v>2566</v>
      </c>
      <c r="AA164" s="13" t="s">
        <v>251</v>
      </c>
      <c r="AB164" s="13">
        <v>0.15</v>
      </c>
      <c r="AC164" s="13">
        <v>0</v>
      </c>
      <c r="AD164" s="13">
        <v>20</v>
      </c>
      <c r="AE164" s="13">
        <v>1</v>
      </c>
      <c r="AF164" s="13" t="s">
        <v>2567</v>
      </c>
      <c r="AH164" s="13" t="s">
        <v>399</v>
      </c>
      <c r="AI164" s="13">
        <v>0</v>
      </c>
      <c r="AK164" s="13">
        <v>37112.588605310397</v>
      </c>
      <c r="AN164" s="163" t="s">
        <v>235</v>
      </c>
      <c r="AO164" s="163">
        <v>0</v>
      </c>
      <c r="AP164" s="163" t="s">
        <v>252</v>
      </c>
      <c r="AR164" s="13">
        <v>24123.182593451762</v>
      </c>
      <c r="AS164" s="13">
        <v>10930.888180800002</v>
      </c>
      <c r="AT164" s="13">
        <v>100338.65557665272</v>
      </c>
      <c r="AU164" s="13">
        <v>1</v>
      </c>
      <c r="AV164" s="13">
        <v>1</v>
      </c>
      <c r="AW164" s="13">
        <v>0</v>
      </c>
      <c r="AX164" s="13">
        <v>0</v>
      </c>
      <c r="AY164" s="13">
        <v>0</v>
      </c>
      <c r="AZ164" s="13">
        <v>0</v>
      </c>
      <c r="BA164" s="13">
        <v>0</v>
      </c>
      <c r="BB164" s="13">
        <v>0</v>
      </c>
      <c r="BC164" s="13">
        <v>0</v>
      </c>
      <c r="BD164" s="13">
        <v>0</v>
      </c>
      <c r="BE164" s="13">
        <v>0</v>
      </c>
      <c r="BF164" s="13">
        <v>0</v>
      </c>
      <c r="BG164" s="13">
        <v>0</v>
      </c>
      <c r="BH164" s="13">
        <v>0</v>
      </c>
      <c r="BI164" s="13">
        <v>0</v>
      </c>
      <c r="BJ164" s="13">
        <v>0</v>
      </c>
      <c r="BK164" s="13">
        <v>0</v>
      </c>
      <c r="BL164" s="13">
        <v>0</v>
      </c>
      <c r="BM164" s="13">
        <v>0</v>
      </c>
      <c r="BN164" s="13">
        <v>0</v>
      </c>
      <c r="BO164" s="13">
        <v>0</v>
      </c>
      <c r="BP164" s="13">
        <v>1</v>
      </c>
      <c r="BR164" s="13">
        <v>14</v>
      </c>
    </row>
    <row r="165" spans="1:70" s="13" customFormat="1" ht="14.25" x14ac:dyDescent="0.15">
      <c r="A165" s="164"/>
      <c r="B165" s="13" t="s">
        <v>1928</v>
      </c>
      <c r="C165" s="13" t="s">
        <v>2245</v>
      </c>
      <c r="E165" s="13" t="s">
        <v>2246</v>
      </c>
      <c r="G165" s="13">
        <v>1</v>
      </c>
      <c r="H165" s="13">
        <v>14</v>
      </c>
      <c r="I165" s="13" t="s">
        <v>296</v>
      </c>
      <c r="K165" s="13">
        <v>3</v>
      </c>
      <c r="L165" s="13">
        <v>1</v>
      </c>
      <c r="M165" s="13" t="s">
        <v>254</v>
      </c>
      <c r="N165" s="13" t="s">
        <v>396</v>
      </c>
      <c r="O165" s="13">
        <v>0</v>
      </c>
      <c r="P165" s="13" t="s">
        <v>1929</v>
      </c>
      <c r="Q165" s="13" t="s">
        <v>2247</v>
      </c>
      <c r="S165" s="13" t="s">
        <v>2270</v>
      </c>
      <c r="U165" s="42" t="s">
        <v>2248</v>
      </c>
      <c r="Y165" s="13" t="s">
        <v>250</v>
      </c>
      <c r="Z165" s="162" t="s">
        <v>3183</v>
      </c>
      <c r="AA165" s="13" t="s">
        <v>251</v>
      </c>
      <c r="AB165" s="13">
        <v>0.15</v>
      </c>
      <c r="AC165" s="13">
        <v>30</v>
      </c>
      <c r="AD165" s="13">
        <v>20</v>
      </c>
      <c r="AE165" s="13">
        <v>1</v>
      </c>
      <c r="AF165" s="13" t="s">
        <v>2271</v>
      </c>
      <c r="AH165" s="13" t="s">
        <v>399</v>
      </c>
      <c r="AI165" s="13">
        <v>0</v>
      </c>
      <c r="AK165" s="13">
        <v>45076.018548960004</v>
      </c>
      <c r="AN165" s="163" t="s">
        <v>235</v>
      </c>
      <c r="AO165" s="163">
        <v>0</v>
      </c>
      <c r="AP165" s="163" t="s">
        <v>252</v>
      </c>
      <c r="AR165" s="13">
        <v>29299.412056824007</v>
      </c>
      <c r="AS165" s="13">
        <v>8963.328308256001</v>
      </c>
      <c r="AT165" s="13">
        <v>64867.239207305654</v>
      </c>
      <c r="AU165" s="13">
        <v>1</v>
      </c>
      <c r="AV165" s="13">
        <v>1</v>
      </c>
      <c r="AW165" s="13">
        <v>0</v>
      </c>
      <c r="AX165" s="13">
        <v>0</v>
      </c>
      <c r="AY165" s="13">
        <v>0</v>
      </c>
      <c r="AZ165" s="13">
        <v>0</v>
      </c>
      <c r="BA165" s="13">
        <v>0</v>
      </c>
      <c r="BB165" s="13">
        <v>0</v>
      </c>
      <c r="BC165" s="13">
        <v>0</v>
      </c>
      <c r="BD165" s="13">
        <v>0</v>
      </c>
      <c r="BE165" s="13">
        <v>0</v>
      </c>
      <c r="BF165" s="13">
        <v>0</v>
      </c>
      <c r="BG165" s="13">
        <v>0</v>
      </c>
      <c r="BH165" s="13">
        <v>0</v>
      </c>
      <c r="BI165" s="13">
        <v>0</v>
      </c>
      <c r="BJ165" s="13">
        <v>0</v>
      </c>
      <c r="BK165" s="13">
        <v>0</v>
      </c>
      <c r="BL165" s="13">
        <v>0</v>
      </c>
      <c r="BM165" s="13">
        <v>0</v>
      </c>
      <c r="BN165" s="13">
        <v>0</v>
      </c>
      <c r="BO165" s="13">
        <v>0</v>
      </c>
      <c r="BP165" s="13">
        <v>1</v>
      </c>
      <c r="BR165" s="13">
        <v>15</v>
      </c>
    </row>
    <row r="166" spans="1:70" s="13" customFormat="1" ht="14.25" x14ac:dyDescent="0.15">
      <c r="A166" s="164"/>
      <c r="B166" s="13" t="s">
        <v>1930</v>
      </c>
      <c r="C166" s="13" t="s">
        <v>1163</v>
      </c>
      <c r="E166" s="13" t="s">
        <v>1164</v>
      </c>
      <c r="G166" s="13">
        <v>0</v>
      </c>
      <c r="H166" s="13">
        <v>13</v>
      </c>
      <c r="I166" s="13" t="s">
        <v>296</v>
      </c>
      <c r="K166" s="13">
        <v>3</v>
      </c>
      <c r="L166" s="13">
        <v>1</v>
      </c>
      <c r="M166" s="13" t="s">
        <v>254</v>
      </c>
      <c r="N166" s="13" t="s">
        <v>396</v>
      </c>
      <c r="O166" s="13">
        <v>0</v>
      </c>
      <c r="P166" s="13" t="s">
        <v>1931</v>
      </c>
      <c r="Q166" s="13" t="s">
        <v>1165</v>
      </c>
      <c r="S166" s="13" t="s">
        <v>1166</v>
      </c>
      <c r="U166" s="42" t="s">
        <v>1167</v>
      </c>
      <c r="Y166" s="13" t="s">
        <v>3303</v>
      </c>
      <c r="Z166" s="13" t="s">
        <v>444</v>
      </c>
      <c r="AA166" s="13" t="s">
        <v>251</v>
      </c>
      <c r="AB166" s="13">
        <v>0.15</v>
      </c>
      <c r="AC166" s="13">
        <v>0</v>
      </c>
      <c r="AD166" s="13">
        <v>20</v>
      </c>
      <c r="AE166" s="13">
        <v>1</v>
      </c>
      <c r="AF166" s="13" t="s">
        <v>1169</v>
      </c>
      <c r="AH166" s="13" t="s">
        <v>399</v>
      </c>
      <c r="AI166" s="13">
        <v>0</v>
      </c>
      <c r="AK166" s="13">
        <v>50034.380589345608</v>
      </c>
      <c r="AN166" s="163" t="s">
        <v>235</v>
      </c>
      <c r="AO166" s="163">
        <v>0</v>
      </c>
      <c r="AP166" s="163" t="s">
        <v>252</v>
      </c>
      <c r="AR166" s="13">
        <v>32522.347383074644</v>
      </c>
      <c r="AS166" s="13">
        <v>8963.328308256001</v>
      </c>
      <c r="AT166" s="13">
        <v>70867.458833981422</v>
      </c>
      <c r="AU166" s="13">
        <v>1</v>
      </c>
      <c r="AV166" s="13">
        <v>1</v>
      </c>
      <c r="AW166" s="13">
        <v>0</v>
      </c>
      <c r="AX166" s="13">
        <v>0</v>
      </c>
      <c r="AY166" s="13">
        <v>0</v>
      </c>
      <c r="AZ166" s="13">
        <v>0</v>
      </c>
      <c r="BA166" s="13">
        <v>0</v>
      </c>
      <c r="BB166" s="13">
        <v>0</v>
      </c>
      <c r="BC166" s="13">
        <v>0</v>
      </c>
      <c r="BD166" s="13">
        <v>0</v>
      </c>
      <c r="BE166" s="13">
        <v>0</v>
      </c>
      <c r="BF166" s="13">
        <v>0</v>
      </c>
      <c r="BG166" s="13">
        <v>0</v>
      </c>
      <c r="BH166" s="13">
        <v>0</v>
      </c>
      <c r="BI166" s="13">
        <v>0</v>
      </c>
      <c r="BJ166" s="13">
        <v>0</v>
      </c>
      <c r="BK166" s="13">
        <v>0</v>
      </c>
      <c r="BL166" s="13">
        <v>0</v>
      </c>
      <c r="BM166" s="13">
        <v>0</v>
      </c>
      <c r="BN166" s="13">
        <v>0</v>
      </c>
      <c r="BO166" s="13">
        <v>0</v>
      </c>
      <c r="BP166" s="13">
        <v>1</v>
      </c>
      <c r="BQ166" s="11" t="s">
        <v>2337</v>
      </c>
      <c r="BR166" s="13">
        <v>17</v>
      </c>
    </row>
    <row r="167" spans="1:70" s="13" customFormat="1" ht="14.25" x14ac:dyDescent="0.15">
      <c r="A167" s="164"/>
      <c r="B167" s="13" t="s">
        <v>2568</v>
      </c>
      <c r="C167" s="13" t="s">
        <v>2370</v>
      </c>
      <c r="E167" s="13" t="s">
        <v>2371</v>
      </c>
      <c r="G167" s="13">
        <v>0</v>
      </c>
      <c r="H167" s="13">
        <v>14</v>
      </c>
      <c r="I167" s="13" t="s">
        <v>296</v>
      </c>
      <c r="K167" s="13">
        <v>3</v>
      </c>
      <c r="L167" s="13">
        <v>1</v>
      </c>
      <c r="M167" s="13" t="s">
        <v>254</v>
      </c>
      <c r="N167" s="13" t="s">
        <v>396</v>
      </c>
      <c r="O167" s="13">
        <v>0</v>
      </c>
      <c r="P167" s="13" t="s">
        <v>2569</v>
      </c>
      <c r="Q167" s="13" t="s">
        <v>2373</v>
      </c>
      <c r="S167" s="13" t="s">
        <v>2374</v>
      </c>
      <c r="U167" s="42" t="s">
        <v>2375</v>
      </c>
      <c r="Y167" s="13" t="s">
        <v>250</v>
      </c>
      <c r="Z167" s="13" t="s">
        <v>2376</v>
      </c>
      <c r="AA167" s="13" t="s">
        <v>251</v>
      </c>
      <c r="AB167" s="13">
        <v>0.15</v>
      </c>
      <c r="AC167" s="13">
        <v>0</v>
      </c>
      <c r="AD167" s="13">
        <v>20</v>
      </c>
      <c r="AE167" s="13">
        <v>1</v>
      </c>
      <c r="AF167" s="13" t="s">
        <v>2377</v>
      </c>
      <c r="AH167" s="13" t="s">
        <v>399</v>
      </c>
      <c r="AI167" s="13">
        <v>1000</v>
      </c>
      <c r="AK167" s="13">
        <v>37863.855581126401</v>
      </c>
      <c r="AN167" s="163" t="s">
        <v>235</v>
      </c>
      <c r="AO167" s="163">
        <v>0</v>
      </c>
      <c r="AP167" s="163" t="s">
        <v>252</v>
      </c>
      <c r="AR167" s="13">
        <v>24611.506127732162</v>
      </c>
      <c r="AS167" s="13">
        <v>8963.328308256001</v>
      </c>
      <c r="AT167" s="13">
        <v>55947.993816301132</v>
      </c>
      <c r="AU167" s="13">
        <v>1</v>
      </c>
      <c r="AV167" s="13">
        <v>1</v>
      </c>
      <c r="AW167" s="13">
        <v>0</v>
      </c>
      <c r="AX167" s="13">
        <v>0</v>
      </c>
      <c r="AY167" s="13">
        <v>0</v>
      </c>
      <c r="AZ167" s="13">
        <v>0</v>
      </c>
      <c r="BA167" s="13">
        <v>0</v>
      </c>
      <c r="BB167" s="13">
        <v>0</v>
      </c>
      <c r="BC167" s="13">
        <v>0</v>
      </c>
      <c r="BD167" s="13">
        <v>0</v>
      </c>
      <c r="BE167" s="13">
        <v>0</v>
      </c>
      <c r="BF167" s="13">
        <v>0</v>
      </c>
      <c r="BG167" s="13">
        <v>0</v>
      </c>
      <c r="BH167" s="13">
        <v>0</v>
      </c>
      <c r="BI167" s="13">
        <v>0</v>
      </c>
      <c r="BJ167" s="13">
        <v>0</v>
      </c>
      <c r="BK167" s="13">
        <v>0</v>
      </c>
      <c r="BL167" s="13">
        <v>0</v>
      </c>
      <c r="BM167" s="13">
        <v>0</v>
      </c>
      <c r="BN167" s="13">
        <v>0</v>
      </c>
      <c r="BO167" s="13">
        <v>0</v>
      </c>
      <c r="BP167" s="13">
        <v>1</v>
      </c>
      <c r="BR167" s="13">
        <v>10</v>
      </c>
    </row>
    <row r="168" spans="1:70" s="13" customFormat="1" ht="14.25" x14ac:dyDescent="0.15">
      <c r="A168" s="164"/>
      <c r="B168" s="13" t="s">
        <v>2570</v>
      </c>
      <c r="C168" s="13" t="s">
        <v>2245</v>
      </c>
      <c r="E168" s="13" t="s">
        <v>2246</v>
      </c>
      <c r="G168" s="13">
        <v>1</v>
      </c>
      <c r="H168" s="13">
        <v>14</v>
      </c>
      <c r="I168" s="13" t="s">
        <v>296</v>
      </c>
      <c r="K168" s="13">
        <v>3</v>
      </c>
      <c r="L168" s="13">
        <v>1</v>
      </c>
      <c r="M168" s="13" t="s">
        <v>254</v>
      </c>
      <c r="N168" s="13" t="s">
        <v>396</v>
      </c>
      <c r="O168" s="13">
        <v>0</v>
      </c>
      <c r="P168" s="13" t="s">
        <v>2571</v>
      </c>
      <c r="Q168" s="13" t="s">
        <v>2247</v>
      </c>
      <c r="S168" s="13" t="s">
        <v>2270</v>
      </c>
      <c r="U168" s="42" t="s">
        <v>2248</v>
      </c>
      <c r="Y168" s="13" t="s">
        <v>250</v>
      </c>
      <c r="Z168" s="162" t="s">
        <v>3183</v>
      </c>
      <c r="AA168" s="13" t="s">
        <v>251</v>
      </c>
      <c r="AB168" s="13">
        <v>0.15</v>
      </c>
      <c r="AC168" s="13">
        <v>30</v>
      </c>
      <c r="AD168" s="13">
        <v>20</v>
      </c>
      <c r="AE168" s="13">
        <v>1</v>
      </c>
      <c r="AF168" s="13" t="s">
        <v>2271</v>
      </c>
      <c r="AH168" s="13" t="s">
        <v>399</v>
      </c>
      <c r="AI168" s="13">
        <v>0</v>
      </c>
      <c r="AK168" s="13">
        <v>45076.018548960004</v>
      </c>
      <c r="AN168" s="163" t="s">
        <v>235</v>
      </c>
      <c r="AO168" s="163">
        <v>0</v>
      </c>
      <c r="AP168" s="163" t="s">
        <v>252</v>
      </c>
      <c r="AR168" s="13">
        <v>29299.412056824007</v>
      </c>
      <c r="AS168" s="13">
        <v>8963.328308256001</v>
      </c>
      <c r="AT168" s="13">
        <v>64867.239207305654</v>
      </c>
      <c r="AU168" s="13">
        <v>1</v>
      </c>
      <c r="AV168" s="13">
        <v>1</v>
      </c>
      <c r="AW168" s="13">
        <v>0</v>
      </c>
      <c r="AX168" s="13">
        <v>0</v>
      </c>
      <c r="AY168" s="13">
        <v>0</v>
      </c>
      <c r="AZ168" s="13">
        <v>0</v>
      </c>
      <c r="BA168" s="13">
        <v>0</v>
      </c>
      <c r="BB168" s="13">
        <v>0</v>
      </c>
      <c r="BC168" s="13">
        <v>0</v>
      </c>
      <c r="BD168" s="13">
        <v>0</v>
      </c>
      <c r="BE168" s="13">
        <v>0</v>
      </c>
      <c r="BF168" s="13">
        <v>0</v>
      </c>
      <c r="BG168" s="13">
        <v>0</v>
      </c>
      <c r="BH168" s="13">
        <v>0</v>
      </c>
      <c r="BI168" s="13">
        <v>0</v>
      </c>
      <c r="BJ168" s="13">
        <v>0</v>
      </c>
      <c r="BK168" s="13">
        <v>0</v>
      </c>
      <c r="BL168" s="13">
        <v>0</v>
      </c>
      <c r="BM168" s="13">
        <v>0</v>
      </c>
      <c r="BN168" s="13">
        <v>0</v>
      </c>
      <c r="BO168" s="13">
        <v>0</v>
      </c>
      <c r="BP168" s="13">
        <v>1</v>
      </c>
      <c r="BR168" s="13">
        <v>15</v>
      </c>
    </row>
    <row r="169" spans="1:70" s="13" customFormat="1" ht="14.25" x14ac:dyDescent="0.15">
      <c r="A169" s="164"/>
      <c r="B169" s="13" t="s">
        <v>2572</v>
      </c>
      <c r="C169" s="13" t="s">
        <v>882</v>
      </c>
      <c r="E169" s="13" t="s">
        <v>883</v>
      </c>
      <c r="G169" s="13">
        <v>1</v>
      </c>
      <c r="H169" s="13">
        <v>14</v>
      </c>
      <c r="I169" s="13" t="s">
        <v>400</v>
      </c>
      <c r="K169" s="13">
        <v>3</v>
      </c>
      <c r="L169" s="13">
        <v>1</v>
      </c>
      <c r="M169" s="13" t="s">
        <v>254</v>
      </c>
      <c r="N169" s="13" t="s">
        <v>396</v>
      </c>
      <c r="O169" s="13">
        <v>0</v>
      </c>
      <c r="P169" s="13" t="s">
        <v>2573</v>
      </c>
      <c r="Q169" s="13" t="s">
        <v>884</v>
      </c>
      <c r="S169" s="13" t="s">
        <v>885</v>
      </c>
      <c r="U169" s="42" t="s">
        <v>886</v>
      </c>
      <c r="Y169" s="13" t="s">
        <v>250</v>
      </c>
      <c r="Z169" s="13" t="s">
        <v>887</v>
      </c>
      <c r="AA169" s="13" t="s">
        <v>251</v>
      </c>
      <c r="AB169" s="13">
        <v>0.15</v>
      </c>
      <c r="AC169" s="13">
        <v>0</v>
      </c>
      <c r="AD169" s="13">
        <v>20</v>
      </c>
      <c r="AE169" s="13">
        <v>1</v>
      </c>
      <c r="AF169" s="13" t="s">
        <v>1010</v>
      </c>
      <c r="AH169" s="13" t="s">
        <v>399</v>
      </c>
      <c r="AI169" s="13">
        <v>0</v>
      </c>
      <c r="AK169" s="13">
        <v>29862.862288686003</v>
      </c>
      <c r="AN169" s="163" t="s">
        <v>235</v>
      </c>
      <c r="AO169" s="163">
        <v>0</v>
      </c>
      <c r="AP169" s="163" t="s">
        <v>252</v>
      </c>
      <c r="AR169" s="13">
        <v>19410.860487645903</v>
      </c>
      <c r="AS169" s="13">
        <v>12898.448053344002</v>
      </c>
      <c r="AT169" s="13">
        <v>134617.79381690774</v>
      </c>
      <c r="AU169" s="13">
        <v>1</v>
      </c>
      <c r="AV169" s="13">
        <v>1</v>
      </c>
      <c r="AW169" s="13">
        <v>0</v>
      </c>
      <c r="AX169" s="13">
        <v>0</v>
      </c>
      <c r="AY169" s="13">
        <v>0</v>
      </c>
      <c r="AZ169" s="13">
        <v>0</v>
      </c>
      <c r="BA169" s="13">
        <v>0</v>
      </c>
      <c r="BB169" s="13">
        <v>0</v>
      </c>
      <c r="BC169" s="13">
        <v>0</v>
      </c>
      <c r="BD169" s="13">
        <v>0</v>
      </c>
      <c r="BE169" s="13">
        <v>0</v>
      </c>
      <c r="BF169" s="13">
        <v>0</v>
      </c>
      <c r="BG169" s="13">
        <v>0</v>
      </c>
      <c r="BH169" s="13">
        <v>0</v>
      </c>
      <c r="BI169" s="13">
        <v>0</v>
      </c>
      <c r="BJ169" s="13">
        <v>0</v>
      </c>
      <c r="BK169" s="13">
        <v>0</v>
      </c>
      <c r="BL169" s="13">
        <v>0</v>
      </c>
      <c r="BM169" s="13">
        <v>0</v>
      </c>
      <c r="BN169" s="13">
        <v>0</v>
      </c>
      <c r="BO169" s="13">
        <v>0</v>
      </c>
      <c r="BP169" s="13">
        <v>1</v>
      </c>
      <c r="BR169" s="13">
        <v>16</v>
      </c>
    </row>
    <row r="170" spans="1:70" s="13" customFormat="1" ht="14.25" x14ac:dyDescent="0.15">
      <c r="A170" s="164"/>
      <c r="B170" s="13" t="s">
        <v>2574</v>
      </c>
      <c r="C170" s="11" t="s">
        <v>2403</v>
      </c>
      <c r="E170" s="13" t="s">
        <v>2404</v>
      </c>
      <c r="G170" s="13">
        <v>0</v>
      </c>
      <c r="H170" s="13">
        <v>14</v>
      </c>
      <c r="I170" s="13" t="s">
        <v>296</v>
      </c>
      <c r="K170" s="13">
        <v>3</v>
      </c>
      <c r="L170" s="13">
        <v>1</v>
      </c>
      <c r="M170" s="13" t="s">
        <v>254</v>
      </c>
      <c r="N170" s="13" t="s">
        <v>396</v>
      </c>
      <c r="O170" s="13">
        <v>0</v>
      </c>
      <c r="P170" s="13" t="s">
        <v>2575</v>
      </c>
      <c r="Q170" s="13" t="s">
        <v>2406</v>
      </c>
      <c r="S170" s="13" t="s">
        <v>2407</v>
      </c>
      <c r="U170" s="42" t="s">
        <v>2408</v>
      </c>
      <c r="Y170" s="13" t="s">
        <v>250</v>
      </c>
      <c r="Z170" s="13" t="s">
        <v>2409</v>
      </c>
      <c r="AA170" s="13" t="s">
        <v>251</v>
      </c>
      <c r="AB170" s="13">
        <v>0.15</v>
      </c>
      <c r="AC170" s="13">
        <v>0</v>
      </c>
      <c r="AD170" s="13">
        <v>20</v>
      </c>
      <c r="AE170" s="13">
        <v>1</v>
      </c>
      <c r="AF170" s="13" t="s">
        <v>2410</v>
      </c>
      <c r="AH170" s="13" t="s">
        <v>399</v>
      </c>
      <c r="AI170" s="13">
        <v>1000</v>
      </c>
      <c r="AK170" s="13">
        <v>42822.217621512005</v>
      </c>
      <c r="AN170" s="163" t="s">
        <v>235</v>
      </c>
      <c r="AO170" s="163">
        <v>0</v>
      </c>
      <c r="AP170" s="163" t="s">
        <v>252</v>
      </c>
      <c r="AR170" s="13">
        <v>27834.441453982803</v>
      </c>
      <c r="AS170" s="13">
        <v>8963.328308256001</v>
      </c>
      <c r="AT170" s="13">
        <v>61948.213442976907</v>
      </c>
      <c r="AU170" s="13">
        <v>1</v>
      </c>
      <c r="AV170" s="13">
        <v>1</v>
      </c>
      <c r="AW170" s="13">
        <v>0</v>
      </c>
      <c r="AX170" s="13">
        <v>0</v>
      </c>
      <c r="AY170" s="13">
        <v>0</v>
      </c>
      <c r="AZ170" s="13">
        <v>0</v>
      </c>
      <c r="BA170" s="13">
        <v>0</v>
      </c>
      <c r="BB170" s="13">
        <v>0</v>
      </c>
      <c r="BC170" s="13">
        <v>0</v>
      </c>
      <c r="BD170" s="13">
        <v>0</v>
      </c>
      <c r="BE170" s="13">
        <v>0</v>
      </c>
      <c r="BF170" s="13">
        <v>0</v>
      </c>
      <c r="BG170" s="13">
        <v>0</v>
      </c>
      <c r="BH170" s="13">
        <v>0</v>
      </c>
      <c r="BI170" s="13">
        <v>0</v>
      </c>
      <c r="BJ170" s="13">
        <v>0</v>
      </c>
      <c r="BK170" s="13">
        <v>0</v>
      </c>
      <c r="BL170" s="13">
        <v>0</v>
      </c>
      <c r="BM170" s="13">
        <v>0</v>
      </c>
      <c r="BN170" s="13">
        <v>0</v>
      </c>
      <c r="BO170" s="13">
        <v>0</v>
      </c>
      <c r="BP170" s="13">
        <v>1</v>
      </c>
      <c r="BR170" s="13">
        <v>14</v>
      </c>
    </row>
    <row r="171" spans="1:70" s="13" customFormat="1" ht="14.25" x14ac:dyDescent="0.15">
      <c r="A171" s="164"/>
      <c r="B171" s="13" t="s">
        <v>2576</v>
      </c>
      <c r="C171" s="13" t="s">
        <v>862</v>
      </c>
      <c r="E171" s="13" t="s">
        <v>863</v>
      </c>
      <c r="G171" s="13">
        <v>0</v>
      </c>
      <c r="H171" s="13">
        <v>13</v>
      </c>
      <c r="I171" s="13" t="s">
        <v>296</v>
      </c>
      <c r="K171" s="13">
        <v>3</v>
      </c>
      <c r="L171" s="13">
        <v>1</v>
      </c>
      <c r="M171" s="13" t="s">
        <v>254</v>
      </c>
      <c r="N171" s="13" t="s">
        <v>396</v>
      </c>
      <c r="O171" s="13">
        <v>0</v>
      </c>
      <c r="P171" s="13" t="s">
        <v>2577</v>
      </c>
      <c r="Q171" s="13" t="s">
        <v>864</v>
      </c>
      <c r="S171" s="13" t="s">
        <v>865</v>
      </c>
      <c r="U171" s="42" t="s">
        <v>866</v>
      </c>
      <c r="Y171" s="13" t="s">
        <v>250</v>
      </c>
      <c r="Z171" s="13" t="s">
        <v>867</v>
      </c>
      <c r="AA171" s="13" t="s">
        <v>251</v>
      </c>
      <c r="AB171" s="13">
        <v>0.15</v>
      </c>
      <c r="AC171" s="13">
        <v>0</v>
      </c>
      <c r="AD171" s="13">
        <v>20</v>
      </c>
      <c r="AE171" s="13">
        <v>1</v>
      </c>
      <c r="AF171" s="13" t="s">
        <v>1005</v>
      </c>
      <c r="AH171" s="13" t="s">
        <v>399</v>
      </c>
      <c r="AI171" s="13">
        <v>800</v>
      </c>
      <c r="AK171" s="13">
        <v>36380.404366487994</v>
      </c>
      <c r="AN171" s="163" t="s">
        <v>235</v>
      </c>
      <c r="AO171" s="163">
        <v>0</v>
      </c>
      <c r="AP171" s="163" t="s">
        <v>252</v>
      </c>
      <c r="AR171" s="13">
        <v>36380.404366487994</v>
      </c>
      <c r="AS171" s="13">
        <v>8279.6846237279988</v>
      </c>
      <c r="AT171" s="13">
        <v>83036.038155683738</v>
      </c>
      <c r="AU171" s="13">
        <v>1</v>
      </c>
      <c r="AV171" s="13">
        <v>1</v>
      </c>
      <c r="AW171" s="13">
        <v>0</v>
      </c>
      <c r="AX171" s="13">
        <v>0</v>
      </c>
      <c r="AY171" s="13">
        <v>0</v>
      </c>
      <c r="AZ171" s="13">
        <v>0</v>
      </c>
      <c r="BA171" s="13">
        <v>0</v>
      </c>
      <c r="BB171" s="13">
        <v>0</v>
      </c>
      <c r="BC171" s="13">
        <v>0</v>
      </c>
      <c r="BD171" s="13">
        <v>0</v>
      </c>
      <c r="BE171" s="13">
        <v>0</v>
      </c>
      <c r="BF171" s="13">
        <v>0</v>
      </c>
      <c r="BG171" s="13">
        <v>0</v>
      </c>
      <c r="BH171" s="13">
        <v>0</v>
      </c>
      <c r="BI171" s="13">
        <v>0</v>
      </c>
      <c r="BJ171" s="13">
        <v>0</v>
      </c>
      <c r="BK171" s="13">
        <v>0</v>
      </c>
      <c r="BL171" s="13">
        <v>0</v>
      </c>
      <c r="BM171" s="13">
        <v>0</v>
      </c>
      <c r="BN171" s="13">
        <v>0</v>
      </c>
      <c r="BO171" s="13">
        <v>0</v>
      </c>
      <c r="BP171" s="13">
        <v>1</v>
      </c>
      <c r="BR171" s="13">
        <v>14</v>
      </c>
    </row>
    <row r="172" spans="1:70" s="13" customFormat="1" ht="14.25" x14ac:dyDescent="0.15">
      <c r="A172" s="164"/>
      <c r="B172" s="13" t="s">
        <v>1932</v>
      </c>
      <c r="C172" s="13" t="s">
        <v>975</v>
      </c>
      <c r="E172" s="13" t="s">
        <v>976</v>
      </c>
      <c r="G172" s="13">
        <v>0</v>
      </c>
      <c r="H172" s="13">
        <v>12</v>
      </c>
      <c r="I172" s="13" t="s">
        <v>296</v>
      </c>
      <c r="K172" s="13">
        <v>3</v>
      </c>
      <c r="L172" s="13">
        <v>1</v>
      </c>
      <c r="M172" s="13" t="s">
        <v>254</v>
      </c>
      <c r="N172" s="13" t="s">
        <v>396</v>
      </c>
      <c r="O172" s="13">
        <v>0</v>
      </c>
      <c r="P172" s="13" t="s">
        <v>1933</v>
      </c>
      <c r="Q172" s="13" t="s">
        <v>977</v>
      </c>
      <c r="S172" s="13" t="s">
        <v>978</v>
      </c>
      <c r="U172" s="42" t="s">
        <v>979</v>
      </c>
      <c r="Y172" s="13" t="s">
        <v>250</v>
      </c>
      <c r="Z172" s="13" t="s">
        <v>980</v>
      </c>
      <c r="AA172" s="13" t="s">
        <v>251</v>
      </c>
      <c r="AB172" s="13">
        <v>0.15</v>
      </c>
      <c r="AC172" s="13">
        <v>0</v>
      </c>
      <c r="AD172" s="13">
        <v>20</v>
      </c>
      <c r="AE172" s="13">
        <v>1</v>
      </c>
      <c r="AF172" s="13" t="s">
        <v>1029</v>
      </c>
      <c r="AH172" s="13" t="s">
        <v>399</v>
      </c>
      <c r="AI172" s="13">
        <v>680</v>
      </c>
      <c r="AK172" s="13">
        <v>28338.420243369597</v>
      </c>
      <c r="AN172" s="163" t="s">
        <v>235</v>
      </c>
      <c r="AO172" s="163">
        <v>0</v>
      </c>
      <c r="AP172" s="163" t="s">
        <v>252</v>
      </c>
      <c r="AR172" s="13">
        <v>28338.420243369597</v>
      </c>
      <c r="AS172" s="13">
        <v>8279.6846237279988</v>
      </c>
      <c r="AT172" s="13">
        <v>69124.241187192238</v>
      </c>
      <c r="AU172" s="13">
        <v>1</v>
      </c>
      <c r="AV172" s="13">
        <v>1</v>
      </c>
      <c r="AW172" s="13">
        <v>0</v>
      </c>
      <c r="AX172" s="13">
        <v>0</v>
      </c>
      <c r="AY172" s="13">
        <v>0</v>
      </c>
      <c r="AZ172" s="13">
        <v>0</v>
      </c>
      <c r="BA172" s="13">
        <v>0</v>
      </c>
      <c r="BB172" s="13">
        <v>0</v>
      </c>
      <c r="BC172" s="13">
        <v>0</v>
      </c>
      <c r="BD172" s="13">
        <v>0</v>
      </c>
      <c r="BE172" s="13">
        <v>0</v>
      </c>
      <c r="BF172" s="13">
        <v>0</v>
      </c>
      <c r="BG172" s="13">
        <v>0</v>
      </c>
      <c r="BH172" s="13">
        <v>0</v>
      </c>
      <c r="BI172" s="13">
        <v>0</v>
      </c>
      <c r="BJ172" s="13">
        <v>0</v>
      </c>
      <c r="BK172" s="13">
        <v>0</v>
      </c>
      <c r="BL172" s="13">
        <v>0</v>
      </c>
      <c r="BM172" s="13">
        <v>0</v>
      </c>
      <c r="BN172" s="13">
        <v>0</v>
      </c>
      <c r="BO172" s="13">
        <v>0</v>
      </c>
      <c r="BP172" s="13">
        <v>1</v>
      </c>
      <c r="BR172" s="13">
        <v>10</v>
      </c>
    </row>
    <row r="173" spans="1:70" s="13" customFormat="1" ht="14.25" x14ac:dyDescent="0.15">
      <c r="A173" s="164"/>
      <c r="B173" s="13" t="s">
        <v>2578</v>
      </c>
      <c r="C173" s="13" t="s">
        <v>868</v>
      </c>
      <c r="E173" s="13" t="s">
        <v>869</v>
      </c>
      <c r="G173" s="13">
        <v>0</v>
      </c>
      <c r="H173" s="13">
        <v>12</v>
      </c>
      <c r="I173" s="13" t="s">
        <v>401</v>
      </c>
      <c r="K173" s="13">
        <v>3</v>
      </c>
      <c r="L173" s="13">
        <v>1</v>
      </c>
      <c r="M173" s="13" t="s">
        <v>254</v>
      </c>
      <c r="N173" s="13" t="s">
        <v>396</v>
      </c>
      <c r="O173" s="13">
        <v>0</v>
      </c>
      <c r="P173" s="13" t="s">
        <v>2579</v>
      </c>
      <c r="Q173" s="13" t="s">
        <v>870</v>
      </c>
      <c r="S173" s="13" t="s">
        <v>871</v>
      </c>
      <c r="U173" s="42" t="s">
        <v>872</v>
      </c>
      <c r="Y173" s="13" t="s">
        <v>250</v>
      </c>
      <c r="Z173" s="13" t="s">
        <v>873</v>
      </c>
      <c r="AA173" s="13" t="s">
        <v>251</v>
      </c>
      <c r="AB173" s="13">
        <v>0.15</v>
      </c>
      <c r="AC173" s="13">
        <v>30</v>
      </c>
      <c r="AD173" s="13">
        <v>20</v>
      </c>
      <c r="AE173" s="13">
        <v>1</v>
      </c>
      <c r="AF173" s="13" t="s">
        <v>1006</v>
      </c>
      <c r="AH173" s="13" t="s">
        <v>399</v>
      </c>
      <c r="AI173" s="13">
        <v>680</v>
      </c>
      <c r="AK173" s="13">
        <v>29487.275118100799</v>
      </c>
      <c r="AN173" s="163" t="s">
        <v>235</v>
      </c>
      <c r="AO173" s="163">
        <v>0</v>
      </c>
      <c r="AP173" s="163" t="s">
        <v>252</v>
      </c>
      <c r="AR173" s="13">
        <v>29487.275118100799</v>
      </c>
      <c r="AS173" s="13">
        <v>10097.1763704</v>
      </c>
      <c r="AT173" s="13">
        <v>85555.714411200606</v>
      </c>
      <c r="AU173" s="13">
        <v>1</v>
      </c>
      <c r="AV173" s="13">
        <v>1</v>
      </c>
      <c r="AW173" s="13">
        <v>0</v>
      </c>
      <c r="AX173" s="13">
        <v>0</v>
      </c>
      <c r="AY173" s="13">
        <v>0</v>
      </c>
      <c r="AZ173" s="13">
        <v>0</v>
      </c>
      <c r="BA173" s="13">
        <v>0</v>
      </c>
      <c r="BB173" s="13">
        <v>0</v>
      </c>
      <c r="BC173" s="13">
        <v>0</v>
      </c>
      <c r="BD173" s="13">
        <v>0</v>
      </c>
      <c r="BE173" s="13">
        <v>0</v>
      </c>
      <c r="BF173" s="13">
        <v>0</v>
      </c>
      <c r="BG173" s="13">
        <v>0</v>
      </c>
      <c r="BH173" s="13">
        <v>0</v>
      </c>
      <c r="BI173" s="13">
        <v>0</v>
      </c>
      <c r="BJ173" s="13">
        <v>0</v>
      </c>
      <c r="BK173" s="13">
        <v>0</v>
      </c>
      <c r="BL173" s="13">
        <v>0</v>
      </c>
      <c r="BM173" s="13">
        <v>0</v>
      </c>
      <c r="BN173" s="13">
        <v>0</v>
      </c>
      <c r="BO173" s="13">
        <v>0</v>
      </c>
      <c r="BP173" s="13">
        <v>1</v>
      </c>
      <c r="BR173" s="13">
        <v>12</v>
      </c>
    </row>
    <row r="174" spans="1:70" s="13" customFormat="1" ht="14.25" x14ac:dyDescent="0.15">
      <c r="A174" s="164"/>
      <c r="B174" s="13" t="s">
        <v>2580</v>
      </c>
      <c r="C174" s="13" t="s">
        <v>930</v>
      </c>
      <c r="E174" s="13" t="s">
        <v>404</v>
      </c>
      <c r="G174" s="13">
        <v>0</v>
      </c>
      <c r="H174" s="13">
        <v>14</v>
      </c>
      <c r="I174" s="13" t="s">
        <v>296</v>
      </c>
      <c r="K174" s="13">
        <v>3</v>
      </c>
      <c r="L174" s="13">
        <v>1</v>
      </c>
      <c r="M174" s="13" t="s">
        <v>254</v>
      </c>
      <c r="N174" s="13" t="s">
        <v>396</v>
      </c>
      <c r="O174" s="13">
        <v>0</v>
      </c>
      <c r="P174" s="13" t="s">
        <v>2581</v>
      </c>
      <c r="Q174" s="13" t="s">
        <v>257</v>
      </c>
      <c r="S174" s="13" t="s">
        <v>403</v>
      </c>
      <c r="U174" s="42" t="s">
        <v>402</v>
      </c>
      <c r="Y174" s="13" t="s">
        <v>250</v>
      </c>
      <c r="Z174" s="13" t="s">
        <v>256</v>
      </c>
      <c r="AA174" s="13" t="s">
        <v>251</v>
      </c>
      <c r="AB174" s="13">
        <v>0.15</v>
      </c>
      <c r="AC174" s="13">
        <v>0</v>
      </c>
      <c r="AD174" s="13">
        <v>20</v>
      </c>
      <c r="AE174" s="13">
        <v>1</v>
      </c>
      <c r="AF174" s="13" t="s">
        <v>1019</v>
      </c>
      <c r="AH174" s="13" t="s">
        <v>399</v>
      </c>
      <c r="AI174" s="13">
        <v>1000</v>
      </c>
      <c r="AK174" s="13">
        <v>42507.630365054392</v>
      </c>
      <c r="AN174" s="163" t="s">
        <v>235</v>
      </c>
      <c r="AO174" s="163">
        <v>0</v>
      </c>
      <c r="AP174" s="163" t="s">
        <v>252</v>
      </c>
      <c r="AR174" s="13">
        <v>42507.630365054392</v>
      </c>
      <c r="AS174" s="13">
        <v>8279.6846237279988</v>
      </c>
      <c r="AT174" s="13">
        <v>94991.488675481145</v>
      </c>
      <c r="AU174" s="13">
        <v>1</v>
      </c>
      <c r="AV174" s="13">
        <v>1</v>
      </c>
      <c r="AW174" s="13">
        <v>0</v>
      </c>
      <c r="AX174" s="13">
        <v>0</v>
      </c>
      <c r="AY174" s="13">
        <v>0</v>
      </c>
      <c r="AZ174" s="13">
        <v>0</v>
      </c>
      <c r="BA174" s="13">
        <v>0</v>
      </c>
      <c r="BB174" s="13">
        <v>0</v>
      </c>
      <c r="BC174" s="13">
        <v>0</v>
      </c>
      <c r="BD174" s="13">
        <v>0</v>
      </c>
      <c r="BE174" s="13">
        <v>0</v>
      </c>
      <c r="BF174" s="13">
        <v>0</v>
      </c>
      <c r="BG174" s="13">
        <v>0</v>
      </c>
      <c r="BH174" s="13">
        <v>0</v>
      </c>
      <c r="BI174" s="13">
        <v>0</v>
      </c>
      <c r="BJ174" s="13">
        <v>0</v>
      </c>
      <c r="BK174" s="13">
        <v>0</v>
      </c>
      <c r="BL174" s="13">
        <v>0</v>
      </c>
      <c r="BM174" s="13">
        <v>0</v>
      </c>
      <c r="BN174" s="13">
        <v>0</v>
      </c>
      <c r="BO174" s="13">
        <v>0</v>
      </c>
      <c r="BP174" s="13">
        <v>1</v>
      </c>
      <c r="BR174" s="13">
        <v>17</v>
      </c>
    </row>
    <row r="175" spans="1:70" s="13" customFormat="1" ht="14.25" x14ac:dyDescent="0.15">
      <c r="A175" s="164"/>
      <c r="B175" s="13" t="s">
        <v>2582</v>
      </c>
      <c r="C175" s="13" t="s">
        <v>2245</v>
      </c>
      <c r="E175" s="13" t="s">
        <v>2246</v>
      </c>
      <c r="G175" s="13">
        <v>1</v>
      </c>
      <c r="H175" s="13">
        <v>14</v>
      </c>
      <c r="I175" s="13" t="s">
        <v>296</v>
      </c>
      <c r="K175" s="13">
        <v>3</v>
      </c>
      <c r="L175" s="13">
        <v>1</v>
      </c>
      <c r="M175" s="13" t="s">
        <v>254</v>
      </c>
      <c r="N175" s="13" t="s">
        <v>396</v>
      </c>
      <c r="O175" s="13">
        <v>0</v>
      </c>
      <c r="P175" s="13" t="s">
        <v>2583</v>
      </c>
      <c r="Q175" s="13" t="s">
        <v>2247</v>
      </c>
      <c r="S175" s="13" t="s">
        <v>2270</v>
      </c>
      <c r="U175" s="42" t="s">
        <v>2248</v>
      </c>
      <c r="Y175" s="13" t="s">
        <v>250</v>
      </c>
      <c r="Z175" s="162" t="s">
        <v>3183</v>
      </c>
      <c r="AA175" s="13" t="s">
        <v>251</v>
      </c>
      <c r="AB175" s="13">
        <v>0.15</v>
      </c>
      <c r="AC175" s="13">
        <v>0</v>
      </c>
      <c r="AD175" s="13">
        <v>20</v>
      </c>
      <c r="AE175" s="13">
        <v>1</v>
      </c>
      <c r="AF175" s="13" t="s">
        <v>2271</v>
      </c>
      <c r="AH175" s="13" t="s">
        <v>399</v>
      </c>
      <c r="AI175" s="13">
        <v>1000</v>
      </c>
      <c r="AK175" s="13">
        <v>38295.162491039999</v>
      </c>
      <c r="AN175" s="163" t="s">
        <v>235</v>
      </c>
      <c r="AO175" s="163">
        <v>0</v>
      </c>
      <c r="AP175" s="163" t="s">
        <v>252</v>
      </c>
      <c r="AR175" s="13">
        <v>38295.162491039999</v>
      </c>
      <c r="AS175" s="13">
        <v>8279.6846237279988</v>
      </c>
      <c r="AT175" s="13">
        <v>86948.731053071984</v>
      </c>
      <c r="AU175" s="13">
        <v>1</v>
      </c>
      <c r="AV175" s="13">
        <v>1</v>
      </c>
      <c r="AW175" s="13">
        <v>0</v>
      </c>
      <c r="AX175" s="13">
        <v>0</v>
      </c>
      <c r="AY175" s="13">
        <v>0</v>
      </c>
      <c r="AZ175" s="13">
        <v>0</v>
      </c>
      <c r="BA175" s="13">
        <v>0</v>
      </c>
      <c r="BB175" s="13">
        <v>0</v>
      </c>
      <c r="BC175" s="13">
        <v>0</v>
      </c>
      <c r="BD175" s="13">
        <v>0</v>
      </c>
      <c r="BE175" s="13">
        <v>0</v>
      </c>
      <c r="BF175" s="13">
        <v>0</v>
      </c>
      <c r="BG175" s="13">
        <v>0</v>
      </c>
      <c r="BH175" s="13">
        <v>0</v>
      </c>
      <c r="BI175" s="13">
        <v>0</v>
      </c>
      <c r="BJ175" s="13">
        <v>0</v>
      </c>
      <c r="BK175" s="13">
        <v>0</v>
      </c>
      <c r="BL175" s="13">
        <v>0</v>
      </c>
      <c r="BM175" s="13">
        <v>0</v>
      </c>
      <c r="BN175" s="13">
        <v>0</v>
      </c>
      <c r="BO175" s="13">
        <v>0</v>
      </c>
      <c r="BP175" s="13">
        <v>1</v>
      </c>
      <c r="BR175" s="13">
        <v>15</v>
      </c>
    </row>
    <row r="176" spans="1:70" s="13" customFormat="1" ht="14.25" x14ac:dyDescent="0.15">
      <c r="A176" s="164"/>
      <c r="B176" s="13" t="s">
        <v>2584</v>
      </c>
      <c r="C176" s="11" t="s">
        <v>924</v>
      </c>
      <c r="E176" s="13" t="s">
        <v>925</v>
      </c>
      <c r="G176" s="13">
        <v>0</v>
      </c>
      <c r="H176" s="13">
        <v>13</v>
      </c>
      <c r="I176" s="13" t="s">
        <v>296</v>
      </c>
      <c r="K176" s="13">
        <v>3</v>
      </c>
      <c r="L176" s="13">
        <v>1</v>
      </c>
      <c r="M176" s="13" t="s">
        <v>254</v>
      </c>
      <c r="N176" s="13" t="s">
        <v>396</v>
      </c>
      <c r="O176" s="13">
        <v>0</v>
      </c>
      <c r="P176" s="13" t="s">
        <v>2585</v>
      </c>
      <c r="Q176" s="13" t="s">
        <v>926</v>
      </c>
      <c r="S176" s="13" t="s">
        <v>927</v>
      </c>
      <c r="U176" s="42" t="s">
        <v>928</v>
      </c>
      <c r="Y176" s="13" t="s">
        <v>250</v>
      </c>
      <c r="Z176" s="13" t="s">
        <v>929</v>
      </c>
      <c r="AA176" s="13" t="s">
        <v>251</v>
      </c>
      <c r="AB176" s="13">
        <v>0.15</v>
      </c>
      <c r="AC176" s="13">
        <v>30</v>
      </c>
      <c r="AD176" s="13">
        <v>20</v>
      </c>
      <c r="AE176" s="13">
        <v>1</v>
      </c>
      <c r="AF176" s="13" t="s">
        <v>1018</v>
      </c>
      <c r="AH176" s="13" t="s">
        <v>399</v>
      </c>
      <c r="AI176" s="13">
        <v>1000</v>
      </c>
      <c r="AK176" s="13">
        <v>40592.872240502402</v>
      </c>
      <c r="AN176" s="163" t="s">
        <v>235</v>
      </c>
      <c r="AO176" s="163">
        <v>0</v>
      </c>
      <c r="AP176" s="163" t="s">
        <v>252</v>
      </c>
      <c r="AR176" s="13">
        <v>40592.872240502402</v>
      </c>
      <c r="AS176" s="13">
        <v>8279.6846237279988</v>
      </c>
      <c r="AT176" s="13">
        <v>90861.42395046023</v>
      </c>
      <c r="AU176" s="13">
        <v>1</v>
      </c>
      <c r="AV176" s="13">
        <v>1</v>
      </c>
      <c r="AW176" s="13">
        <v>0</v>
      </c>
      <c r="AX176" s="13">
        <v>0</v>
      </c>
      <c r="AY176" s="13">
        <v>0</v>
      </c>
      <c r="AZ176" s="13">
        <v>0</v>
      </c>
      <c r="BA176" s="13">
        <v>0</v>
      </c>
      <c r="BB176" s="13">
        <v>0</v>
      </c>
      <c r="BC176" s="13">
        <v>0</v>
      </c>
      <c r="BD176" s="13">
        <v>0</v>
      </c>
      <c r="BE176" s="13">
        <v>0</v>
      </c>
      <c r="BF176" s="13">
        <v>0</v>
      </c>
      <c r="BG176" s="13">
        <v>0</v>
      </c>
      <c r="BH176" s="13">
        <v>0</v>
      </c>
      <c r="BI176" s="13">
        <v>0</v>
      </c>
      <c r="BJ176" s="13">
        <v>0</v>
      </c>
      <c r="BK176" s="13">
        <v>0</v>
      </c>
      <c r="BL176" s="13">
        <v>0</v>
      </c>
      <c r="BM176" s="13">
        <v>0</v>
      </c>
      <c r="BN176" s="13">
        <v>0</v>
      </c>
      <c r="BO176" s="13">
        <v>0</v>
      </c>
      <c r="BP176" s="13">
        <v>1</v>
      </c>
      <c r="BR176" s="13">
        <v>16</v>
      </c>
    </row>
    <row r="177" spans="1:70" s="13" customFormat="1" ht="14.25" x14ac:dyDescent="0.15">
      <c r="A177" s="164"/>
      <c r="B177" s="13" t="s">
        <v>2586</v>
      </c>
      <c r="C177" s="13" t="s">
        <v>2245</v>
      </c>
      <c r="E177" s="13" t="s">
        <v>2246</v>
      </c>
      <c r="G177" s="13">
        <v>1</v>
      </c>
      <c r="H177" s="13">
        <v>14</v>
      </c>
      <c r="I177" s="13" t="s">
        <v>296</v>
      </c>
      <c r="K177" s="13">
        <v>3</v>
      </c>
      <c r="L177" s="13">
        <v>1</v>
      </c>
      <c r="M177" s="13" t="s">
        <v>254</v>
      </c>
      <c r="N177" s="13" t="s">
        <v>396</v>
      </c>
      <c r="O177" s="13">
        <v>0</v>
      </c>
      <c r="P177" s="13" t="s">
        <v>2587</v>
      </c>
      <c r="Q177" s="13" t="s">
        <v>2247</v>
      </c>
      <c r="S177" s="13" t="s">
        <v>2270</v>
      </c>
      <c r="U177" s="42" t="s">
        <v>2248</v>
      </c>
      <c r="Y177" s="13" t="s">
        <v>250</v>
      </c>
      <c r="Z177" s="162" t="s">
        <v>3183</v>
      </c>
      <c r="AA177" s="13" t="s">
        <v>251</v>
      </c>
      <c r="AB177" s="13">
        <v>0.15</v>
      </c>
      <c r="AC177" s="13">
        <v>0</v>
      </c>
      <c r="AD177" s="13">
        <v>20</v>
      </c>
      <c r="AE177" s="13">
        <v>1</v>
      </c>
      <c r="AF177" s="13" t="s">
        <v>2271</v>
      </c>
      <c r="AH177" s="13" t="s">
        <v>399</v>
      </c>
      <c r="AI177" s="13">
        <v>1000</v>
      </c>
      <c r="AK177" s="13">
        <v>38295.162491039999</v>
      </c>
      <c r="AN177" s="163" t="s">
        <v>235</v>
      </c>
      <c r="AO177" s="163">
        <v>0</v>
      </c>
      <c r="AP177" s="163" t="s">
        <v>252</v>
      </c>
      <c r="AR177" s="13">
        <v>38295.162491039999</v>
      </c>
      <c r="AS177" s="13">
        <v>8279.6846237279988</v>
      </c>
      <c r="AT177" s="13">
        <v>86948.731053071984</v>
      </c>
      <c r="AU177" s="13">
        <v>1</v>
      </c>
      <c r="AV177" s="13">
        <v>1</v>
      </c>
      <c r="AW177" s="13">
        <v>0</v>
      </c>
      <c r="AX177" s="13">
        <v>0</v>
      </c>
      <c r="AY177" s="13">
        <v>0</v>
      </c>
      <c r="AZ177" s="13">
        <v>0</v>
      </c>
      <c r="BA177" s="13">
        <v>0</v>
      </c>
      <c r="BB177" s="13">
        <v>0</v>
      </c>
      <c r="BC177" s="13">
        <v>0</v>
      </c>
      <c r="BD177" s="13">
        <v>0</v>
      </c>
      <c r="BE177" s="13">
        <v>0</v>
      </c>
      <c r="BF177" s="13">
        <v>0</v>
      </c>
      <c r="BG177" s="13">
        <v>0</v>
      </c>
      <c r="BH177" s="13">
        <v>0</v>
      </c>
      <c r="BI177" s="13">
        <v>0</v>
      </c>
      <c r="BJ177" s="13">
        <v>0</v>
      </c>
      <c r="BK177" s="13">
        <v>0</v>
      </c>
      <c r="BL177" s="13">
        <v>0</v>
      </c>
      <c r="BM177" s="13">
        <v>0</v>
      </c>
      <c r="BN177" s="13">
        <v>0</v>
      </c>
      <c r="BO177" s="13">
        <v>0</v>
      </c>
      <c r="BP177" s="13">
        <v>1</v>
      </c>
      <c r="BR177" s="13">
        <v>15</v>
      </c>
    </row>
    <row r="178" spans="1:70" s="13" customFormat="1" ht="14.25" x14ac:dyDescent="0.15">
      <c r="A178" s="164"/>
      <c r="B178" s="13" t="s">
        <v>2588</v>
      </c>
      <c r="C178" s="13" t="s">
        <v>962</v>
      </c>
      <c r="E178" s="13" t="s">
        <v>415</v>
      </c>
      <c r="G178" s="13">
        <v>0</v>
      </c>
      <c r="H178" s="13">
        <v>14</v>
      </c>
      <c r="I178" s="13" t="s">
        <v>296</v>
      </c>
      <c r="K178" s="13">
        <v>3</v>
      </c>
      <c r="L178" s="13">
        <v>1</v>
      </c>
      <c r="M178" s="13" t="s">
        <v>254</v>
      </c>
      <c r="N178" s="13" t="s">
        <v>396</v>
      </c>
      <c r="O178" s="13">
        <v>0</v>
      </c>
      <c r="P178" s="13" t="s">
        <v>2589</v>
      </c>
      <c r="Q178" s="13" t="s">
        <v>414</v>
      </c>
      <c r="S178" s="13" t="s">
        <v>413</v>
      </c>
      <c r="U178" s="42" t="s">
        <v>412</v>
      </c>
      <c r="Y178" s="13" t="s">
        <v>250</v>
      </c>
      <c r="Z178" s="13" t="s">
        <v>411</v>
      </c>
      <c r="AA178" s="13" t="s">
        <v>251</v>
      </c>
      <c r="AB178" s="13">
        <v>0.15</v>
      </c>
      <c r="AC178" s="13">
        <v>0</v>
      </c>
      <c r="AD178" s="13">
        <v>20</v>
      </c>
      <c r="AE178" s="13">
        <v>1</v>
      </c>
      <c r="AF178" s="13" t="s">
        <v>1026</v>
      </c>
      <c r="AH178" s="13" t="s">
        <v>399</v>
      </c>
      <c r="AI178" s="13">
        <v>800</v>
      </c>
      <c r="AK178" s="13">
        <v>32167.936492473596</v>
      </c>
      <c r="AN178" s="163" t="s">
        <v>235</v>
      </c>
      <c r="AO178" s="163">
        <v>0</v>
      </c>
      <c r="AP178" s="163" t="s">
        <v>252</v>
      </c>
      <c r="AR178" s="13">
        <v>32167.936492473596</v>
      </c>
      <c r="AS178" s="13">
        <v>8279.6846237279988</v>
      </c>
      <c r="AT178" s="13">
        <v>74993.280533274592</v>
      </c>
      <c r="AU178" s="13">
        <v>1</v>
      </c>
      <c r="AV178" s="13">
        <v>1</v>
      </c>
      <c r="AW178" s="13">
        <v>0</v>
      </c>
      <c r="AX178" s="13">
        <v>0</v>
      </c>
      <c r="AY178" s="13">
        <v>0</v>
      </c>
      <c r="AZ178" s="13">
        <v>0</v>
      </c>
      <c r="BA178" s="13">
        <v>0</v>
      </c>
      <c r="BB178" s="13">
        <v>0</v>
      </c>
      <c r="BC178" s="13">
        <v>0</v>
      </c>
      <c r="BD178" s="13">
        <v>0</v>
      </c>
      <c r="BE178" s="13">
        <v>0</v>
      </c>
      <c r="BF178" s="13">
        <v>0</v>
      </c>
      <c r="BG178" s="13">
        <v>0</v>
      </c>
      <c r="BH178" s="13">
        <v>0</v>
      </c>
      <c r="BI178" s="13">
        <v>0</v>
      </c>
      <c r="BJ178" s="13">
        <v>0</v>
      </c>
      <c r="BK178" s="13">
        <v>0</v>
      </c>
      <c r="BL178" s="13">
        <v>0</v>
      </c>
      <c r="BM178" s="13">
        <v>0</v>
      </c>
      <c r="BN178" s="13">
        <v>0</v>
      </c>
      <c r="BO178" s="13">
        <v>0</v>
      </c>
      <c r="BP178" s="13">
        <v>1</v>
      </c>
      <c r="BR178" s="13">
        <v>12</v>
      </c>
    </row>
    <row r="179" spans="1:70" s="13" customFormat="1" ht="14.25" x14ac:dyDescent="0.15">
      <c r="A179" s="164"/>
      <c r="B179" s="13" t="s">
        <v>2590</v>
      </c>
      <c r="C179" s="11" t="s">
        <v>2279</v>
      </c>
      <c r="E179" s="13" t="s">
        <v>2280</v>
      </c>
      <c r="G179" s="13">
        <v>2</v>
      </c>
      <c r="H179" s="13">
        <v>11</v>
      </c>
      <c r="I179" s="13" t="s">
        <v>400</v>
      </c>
      <c r="K179" s="13">
        <v>3</v>
      </c>
      <c r="L179" s="13">
        <v>1</v>
      </c>
      <c r="M179" s="13" t="s">
        <v>254</v>
      </c>
      <c r="N179" s="13" t="s">
        <v>396</v>
      </c>
      <c r="O179" s="13">
        <v>0</v>
      </c>
      <c r="P179" s="13" t="s">
        <v>2591</v>
      </c>
      <c r="Q179" s="13" t="s">
        <v>2282</v>
      </c>
      <c r="U179" s="42"/>
      <c r="Y179" s="13" t="s">
        <v>250</v>
      </c>
      <c r="Z179" s="13" t="s">
        <v>235</v>
      </c>
      <c r="AA179" s="13" t="s">
        <v>251</v>
      </c>
      <c r="AB179" s="13">
        <v>0.15</v>
      </c>
      <c r="AC179" s="13">
        <v>0</v>
      </c>
      <c r="AD179" s="13">
        <v>20</v>
      </c>
      <c r="AE179" s="13">
        <v>1</v>
      </c>
      <c r="AF179" s="13" t="s">
        <v>2908</v>
      </c>
      <c r="AH179" s="13" t="s">
        <v>399</v>
      </c>
      <c r="AI179" s="13">
        <v>0</v>
      </c>
      <c r="AK179" s="13">
        <v>22607.2647</v>
      </c>
      <c r="AN179" s="163" t="s">
        <v>235</v>
      </c>
      <c r="AO179" s="163">
        <v>0</v>
      </c>
      <c r="AP179" s="163" t="s">
        <v>252</v>
      </c>
      <c r="AR179" s="13">
        <v>22607.2647</v>
      </c>
      <c r="AS179" s="13">
        <v>6126.63</v>
      </c>
      <c r="AT179" s="13">
        <v>85604.337675000017</v>
      </c>
      <c r="AU179" s="13">
        <v>1</v>
      </c>
      <c r="AV179" s="13">
        <v>1</v>
      </c>
      <c r="AW179" s="13">
        <v>0</v>
      </c>
      <c r="AX179" s="13">
        <v>0</v>
      </c>
      <c r="AY179" s="13">
        <v>0</v>
      </c>
      <c r="AZ179" s="13">
        <v>0</v>
      </c>
      <c r="BA179" s="13">
        <v>0</v>
      </c>
      <c r="BB179" s="13">
        <v>0</v>
      </c>
      <c r="BC179" s="13">
        <v>0</v>
      </c>
      <c r="BD179" s="13">
        <v>0</v>
      </c>
      <c r="BE179" s="13">
        <v>0</v>
      </c>
      <c r="BF179" s="13">
        <v>0</v>
      </c>
      <c r="BG179" s="13">
        <v>0</v>
      </c>
      <c r="BH179" s="13">
        <v>0</v>
      </c>
      <c r="BI179" s="13">
        <v>0</v>
      </c>
      <c r="BJ179" s="13">
        <v>0</v>
      </c>
      <c r="BK179" s="13">
        <v>0</v>
      </c>
      <c r="BL179" s="13">
        <v>0</v>
      </c>
      <c r="BM179" s="13">
        <v>0</v>
      </c>
      <c r="BN179" s="13">
        <v>0</v>
      </c>
      <c r="BO179" s="13">
        <v>0</v>
      </c>
      <c r="BP179" s="13">
        <v>1</v>
      </c>
      <c r="BR179" s="13">
        <v>11</v>
      </c>
    </row>
    <row r="180" spans="1:70" s="13" customFormat="1" ht="14.25" x14ac:dyDescent="0.15">
      <c r="A180" s="164"/>
      <c r="B180" s="13" t="s">
        <v>2592</v>
      </c>
      <c r="C180" s="13" t="s">
        <v>2279</v>
      </c>
      <c r="E180" s="13" t="s">
        <v>2280</v>
      </c>
      <c r="G180" s="13">
        <v>2</v>
      </c>
      <c r="H180" s="13">
        <v>11</v>
      </c>
      <c r="I180" s="13" t="s">
        <v>400</v>
      </c>
      <c r="K180" s="13">
        <v>3</v>
      </c>
      <c r="L180" s="13">
        <v>1</v>
      </c>
      <c r="M180" s="13" t="s">
        <v>254</v>
      </c>
      <c r="N180" s="13" t="s">
        <v>396</v>
      </c>
      <c r="O180" s="13">
        <v>0</v>
      </c>
      <c r="P180" s="13" t="s">
        <v>2593</v>
      </c>
      <c r="Q180" s="13" t="s">
        <v>2282</v>
      </c>
      <c r="U180" s="42"/>
      <c r="Y180" s="13" t="s">
        <v>250</v>
      </c>
      <c r="Z180" s="13" t="s">
        <v>235</v>
      </c>
      <c r="AA180" s="13" t="s">
        <v>251</v>
      </c>
      <c r="AB180" s="13">
        <v>0.15</v>
      </c>
      <c r="AC180" s="13">
        <v>0</v>
      </c>
      <c r="AD180" s="13">
        <v>20</v>
      </c>
      <c r="AE180" s="13">
        <v>1</v>
      </c>
      <c r="AF180" s="13" t="s">
        <v>2909</v>
      </c>
      <c r="AH180" s="13" t="s">
        <v>399</v>
      </c>
      <c r="AI180" s="13">
        <v>0</v>
      </c>
      <c r="AK180" s="13">
        <v>22607.2647</v>
      </c>
      <c r="AN180" s="163" t="s">
        <v>235</v>
      </c>
      <c r="AO180" s="163">
        <v>0</v>
      </c>
      <c r="AP180" s="163" t="s">
        <v>252</v>
      </c>
      <c r="AR180" s="13">
        <v>22607.2647</v>
      </c>
      <c r="AS180" s="13">
        <v>6126.63</v>
      </c>
      <c r="AT180" s="13">
        <v>85604.337675000017</v>
      </c>
      <c r="AU180" s="13">
        <v>1</v>
      </c>
      <c r="AV180" s="13">
        <v>1</v>
      </c>
      <c r="AW180" s="13">
        <v>0</v>
      </c>
      <c r="AX180" s="13">
        <v>0</v>
      </c>
      <c r="AY180" s="13">
        <v>0</v>
      </c>
      <c r="AZ180" s="13">
        <v>0</v>
      </c>
      <c r="BA180" s="13">
        <v>0</v>
      </c>
      <c r="BB180" s="13">
        <v>0</v>
      </c>
      <c r="BC180" s="13">
        <v>0</v>
      </c>
      <c r="BD180" s="13">
        <v>0</v>
      </c>
      <c r="BE180" s="13">
        <v>0</v>
      </c>
      <c r="BF180" s="13">
        <v>0</v>
      </c>
      <c r="BG180" s="13">
        <v>0</v>
      </c>
      <c r="BH180" s="13">
        <v>0</v>
      </c>
      <c r="BI180" s="13">
        <v>0</v>
      </c>
      <c r="BJ180" s="13">
        <v>0</v>
      </c>
      <c r="BK180" s="13">
        <v>0</v>
      </c>
      <c r="BL180" s="13">
        <v>0</v>
      </c>
      <c r="BM180" s="13">
        <v>0</v>
      </c>
      <c r="BN180" s="13">
        <v>0</v>
      </c>
      <c r="BO180" s="13">
        <v>0</v>
      </c>
      <c r="BP180" s="13">
        <v>1</v>
      </c>
      <c r="BR180" s="13">
        <v>11</v>
      </c>
    </row>
    <row r="181" spans="1:70" s="42" customFormat="1" ht="14.25" x14ac:dyDescent="0.15">
      <c r="A181" s="164"/>
      <c r="B181" s="42" t="s">
        <v>2594</v>
      </c>
      <c r="C181" s="42" t="s">
        <v>882</v>
      </c>
      <c r="E181" s="42" t="s">
        <v>883</v>
      </c>
      <c r="G181" s="42">
        <v>1</v>
      </c>
      <c r="H181" s="42">
        <v>14</v>
      </c>
      <c r="I181" s="42" t="s">
        <v>400</v>
      </c>
      <c r="K181" s="42">
        <v>3</v>
      </c>
      <c r="L181" s="42">
        <v>1</v>
      </c>
      <c r="M181" s="42" t="s">
        <v>254</v>
      </c>
      <c r="N181" s="42" t="s">
        <v>396</v>
      </c>
      <c r="O181" s="42">
        <v>0</v>
      </c>
      <c r="P181" s="42" t="s">
        <v>2595</v>
      </c>
      <c r="Q181" s="42" t="s">
        <v>884</v>
      </c>
      <c r="S181" s="42" t="s">
        <v>885</v>
      </c>
      <c r="U181" s="42" t="s">
        <v>886</v>
      </c>
      <c r="Y181" s="42" t="s">
        <v>250</v>
      </c>
      <c r="Z181" s="42" t="s">
        <v>887</v>
      </c>
      <c r="AA181" s="13" t="s">
        <v>251</v>
      </c>
      <c r="AB181" s="13">
        <v>0.15</v>
      </c>
      <c r="AC181" s="13">
        <v>0</v>
      </c>
      <c r="AD181" s="42">
        <v>20</v>
      </c>
      <c r="AE181" s="42">
        <v>1</v>
      </c>
      <c r="AF181" s="13" t="s">
        <v>1010</v>
      </c>
      <c r="AH181" s="13" t="s">
        <v>399</v>
      </c>
      <c r="AI181" s="13">
        <v>0</v>
      </c>
      <c r="AJ181" s="13"/>
      <c r="AK181" s="42">
        <v>25370.545150313999</v>
      </c>
      <c r="AN181" s="42" t="s">
        <v>235</v>
      </c>
      <c r="AO181" s="42">
        <v>0</v>
      </c>
      <c r="AP181" s="42" t="s">
        <v>252</v>
      </c>
      <c r="AR181" s="42">
        <v>25370.545150313999</v>
      </c>
      <c r="AS181" s="42">
        <v>11914.668117071998</v>
      </c>
      <c r="AT181" s="42">
        <v>180443.10953542098</v>
      </c>
      <c r="AU181" s="13">
        <v>1</v>
      </c>
      <c r="AV181" s="13">
        <v>1</v>
      </c>
      <c r="AW181" s="13">
        <v>0</v>
      </c>
      <c r="AX181" s="13">
        <v>0</v>
      </c>
      <c r="AY181" s="13">
        <v>0</v>
      </c>
      <c r="AZ181" s="13">
        <v>0</v>
      </c>
      <c r="BA181" s="13">
        <v>0</v>
      </c>
      <c r="BB181" s="13">
        <v>0</v>
      </c>
      <c r="BC181" s="13">
        <v>0</v>
      </c>
      <c r="BD181" s="13">
        <v>0</v>
      </c>
      <c r="BE181" s="13">
        <v>0</v>
      </c>
      <c r="BF181" s="13">
        <v>0</v>
      </c>
      <c r="BG181" s="13">
        <v>0</v>
      </c>
      <c r="BH181" s="13">
        <v>0</v>
      </c>
      <c r="BI181" s="13">
        <v>0</v>
      </c>
      <c r="BJ181" s="13">
        <v>0</v>
      </c>
      <c r="BK181" s="13">
        <v>0</v>
      </c>
      <c r="BL181" s="13">
        <v>0</v>
      </c>
      <c r="BM181" s="13">
        <v>0</v>
      </c>
      <c r="BN181" s="13">
        <v>0</v>
      </c>
      <c r="BO181" s="13">
        <v>0</v>
      </c>
      <c r="BP181" s="13">
        <v>1</v>
      </c>
      <c r="BR181" s="42">
        <v>16</v>
      </c>
    </row>
    <row r="182" spans="1:70" s="42" customFormat="1" ht="14.25" x14ac:dyDescent="0.15">
      <c r="A182" s="164"/>
      <c r="B182" s="42" t="s">
        <v>2596</v>
      </c>
      <c r="C182" s="42" t="s">
        <v>981</v>
      </c>
      <c r="E182" s="42" t="s">
        <v>810</v>
      </c>
      <c r="G182" s="42">
        <v>0</v>
      </c>
      <c r="H182" s="42">
        <v>12</v>
      </c>
      <c r="I182" s="42" t="s">
        <v>400</v>
      </c>
      <c r="K182" s="42">
        <v>3</v>
      </c>
      <c r="L182" s="42">
        <v>1</v>
      </c>
      <c r="M182" s="42" t="s">
        <v>254</v>
      </c>
      <c r="N182" s="42" t="s">
        <v>396</v>
      </c>
      <c r="O182" s="42">
        <v>0</v>
      </c>
      <c r="P182" s="42" t="s">
        <v>2597</v>
      </c>
      <c r="Q182" s="42" t="s">
        <v>811</v>
      </c>
      <c r="S182" s="42" t="s">
        <v>812</v>
      </c>
      <c r="U182" s="42" t="s">
        <v>813</v>
      </c>
      <c r="Y182" s="42" t="s">
        <v>250</v>
      </c>
      <c r="Z182" s="42" t="s">
        <v>814</v>
      </c>
      <c r="AA182" s="13" t="s">
        <v>251</v>
      </c>
      <c r="AB182" s="13">
        <v>0.15</v>
      </c>
      <c r="AC182" s="13">
        <v>0</v>
      </c>
      <c r="AD182" s="42">
        <v>20</v>
      </c>
      <c r="AE182" s="42">
        <v>1</v>
      </c>
      <c r="AF182" s="13" t="s">
        <v>1030</v>
      </c>
      <c r="AH182" s="13" t="s">
        <v>399</v>
      </c>
      <c r="AI182" s="13">
        <v>680</v>
      </c>
      <c r="AJ182" s="13"/>
      <c r="AK182" s="42">
        <v>18668.891714382</v>
      </c>
      <c r="AN182" s="42" t="s">
        <v>235</v>
      </c>
      <c r="AO182" s="42">
        <v>0</v>
      </c>
      <c r="AP182" s="42" t="s">
        <v>252</v>
      </c>
      <c r="AR182" s="42">
        <v>18668.891714382</v>
      </c>
      <c r="AS182" s="42">
        <v>11914.668117071998</v>
      </c>
      <c r="AT182" s="42">
        <v>141160.04023464755</v>
      </c>
      <c r="AU182" s="13">
        <v>1</v>
      </c>
      <c r="AV182" s="13">
        <v>1</v>
      </c>
      <c r="AW182" s="13">
        <v>0</v>
      </c>
      <c r="AX182" s="13">
        <v>0</v>
      </c>
      <c r="AY182" s="13">
        <v>0</v>
      </c>
      <c r="AZ182" s="13">
        <v>0</v>
      </c>
      <c r="BA182" s="13">
        <v>0</v>
      </c>
      <c r="BB182" s="13">
        <v>0</v>
      </c>
      <c r="BC182" s="13">
        <v>0</v>
      </c>
      <c r="BD182" s="13">
        <v>0</v>
      </c>
      <c r="BE182" s="13">
        <v>0</v>
      </c>
      <c r="BF182" s="13">
        <v>0</v>
      </c>
      <c r="BG182" s="13">
        <v>0</v>
      </c>
      <c r="BH182" s="13">
        <v>0</v>
      </c>
      <c r="BI182" s="13">
        <v>0</v>
      </c>
      <c r="BJ182" s="13">
        <v>0</v>
      </c>
      <c r="BK182" s="13">
        <v>0</v>
      </c>
      <c r="BL182" s="13">
        <v>0</v>
      </c>
      <c r="BM182" s="13">
        <v>0</v>
      </c>
      <c r="BN182" s="13">
        <v>0</v>
      </c>
      <c r="BO182" s="13">
        <v>0</v>
      </c>
      <c r="BP182" s="13">
        <v>1</v>
      </c>
      <c r="BR182" s="42">
        <v>11</v>
      </c>
    </row>
    <row r="183" spans="1:70" s="42" customFormat="1" ht="14.25" x14ac:dyDescent="0.15">
      <c r="A183" s="164"/>
      <c r="B183" s="42" t="s">
        <v>2598</v>
      </c>
      <c r="C183" s="42" t="s">
        <v>982</v>
      </c>
      <c r="E183" s="42" t="s">
        <v>983</v>
      </c>
      <c r="G183" s="42">
        <v>1</v>
      </c>
      <c r="H183" s="42">
        <v>14</v>
      </c>
      <c r="I183" s="42" t="s">
        <v>296</v>
      </c>
      <c r="K183" s="42">
        <v>3</v>
      </c>
      <c r="L183" s="42">
        <v>1</v>
      </c>
      <c r="M183" s="42" t="s">
        <v>254</v>
      </c>
      <c r="N183" s="42" t="s">
        <v>396</v>
      </c>
      <c r="O183" s="42">
        <v>0</v>
      </c>
      <c r="P183" s="42" t="s">
        <v>2599</v>
      </c>
      <c r="Q183" s="42" t="s">
        <v>984</v>
      </c>
      <c r="S183" s="42" t="s">
        <v>985</v>
      </c>
      <c r="U183" s="42" t="s">
        <v>986</v>
      </c>
      <c r="Y183" s="42" t="s">
        <v>250</v>
      </c>
      <c r="Z183" s="42" t="s">
        <v>987</v>
      </c>
      <c r="AA183" s="13" t="s">
        <v>251</v>
      </c>
      <c r="AB183" s="13">
        <v>0.15</v>
      </c>
      <c r="AC183" s="13">
        <v>0</v>
      </c>
      <c r="AD183" s="42">
        <v>20</v>
      </c>
      <c r="AE183" s="42">
        <v>1</v>
      </c>
      <c r="AF183" s="13" t="s">
        <v>1031</v>
      </c>
      <c r="AH183" s="13" t="s">
        <v>399</v>
      </c>
      <c r="AI183" s="13">
        <v>300</v>
      </c>
      <c r="AJ183" s="13"/>
      <c r="AK183" s="42">
        <v>38295.162491039999</v>
      </c>
      <c r="AN183" s="42" t="s">
        <v>235</v>
      </c>
      <c r="AO183" s="42">
        <v>0</v>
      </c>
      <c r="AP183" s="42" t="s">
        <v>252</v>
      </c>
      <c r="AR183" s="42">
        <v>38295.162491039999</v>
      </c>
      <c r="AS183" s="42">
        <v>8279.6846237279988</v>
      </c>
      <c r="AT183" s="42">
        <v>86948.731053071984</v>
      </c>
      <c r="AU183" s="13">
        <v>1</v>
      </c>
      <c r="AV183" s="13">
        <v>1</v>
      </c>
      <c r="AW183" s="13">
        <v>0</v>
      </c>
      <c r="AX183" s="13">
        <v>0</v>
      </c>
      <c r="AY183" s="13">
        <v>0</v>
      </c>
      <c r="AZ183" s="13">
        <v>0</v>
      </c>
      <c r="BA183" s="13">
        <v>0</v>
      </c>
      <c r="BB183" s="13">
        <v>0</v>
      </c>
      <c r="BC183" s="13">
        <v>0</v>
      </c>
      <c r="BD183" s="13">
        <v>0</v>
      </c>
      <c r="BE183" s="13">
        <v>0</v>
      </c>
      <c r="BF183" s="13">
        <v>0</v>
      </c>
      <c r="BG183" s="13">
        <v>0</v>
      </c>
      <c r="BH183" s="13">
        <v>0</v>
      </c>
      <c r="BI183" s="13">
        <v>0</v>
      </c>
      <c r="BJ183" s="13">
        <v>0</v>
      </c>
      <c r="BK183" s="13">
        <v>0</v>
      </c>
      <c r="BL183" s="13">
        <v>0</v>
      </c>
      <c r="BM183" s="13">
        <v>0</v>
      </c>
      <c r="BN183" s="13">
        <v>0</v>
      </c>
      <c r="BO183" s="13">
        <v>0</v>
      </c>
      <c r="BP183" s="13">
        <v>1</v>
      </c>
      <c r="BQ183" s="13"/>
      <c r="BR183" s="42">
        <v>15</v>
      </c>
    </row>
    <row r="184" spans="1:70" s="42" customFormat="1" ht="14.25" x14ac:dyDescent="0.15">
      <c r="A184" s="164"/>
      <c r="B184" s="42" t="s">
        <v>2600</v>
      </c>
      <c r="C184" s="11" t="s">
        <v>862</v>
      </c>
      <c r="E184" s="42" t="s">
        <v>863</v>
      </c>
      <c r="G184" s="42">
        <v>0</v>
      </c>
      <c r="H184" s="42">
        <v>13</v>
      </c>
      <c r="I184" s="42" t="s">
        <v>296</v>
      </c>
      <c r="K184" s="42">
        <v>3</v>
      </c>
      <c r="L184" s="42">
        <v>1</v>
      </c>
      <c r="M184" s="42" t="s">
        <v>254</v>
      </c>
      <c r="N184" s="42" t="s">
        <v>396</v>
      </c>
      <c r="O184" s="42">
        <v>0</v>
      </c>
      <c r="P184" s="42" t="s">
        <v>2601</v>
      </c>
      <c r="Q184" s="42" t="s">
        <v>864</v>
      </c>
      <c r="S184" s="42" t="s">
        <v>865</v>
      </c>
      <c r="U184" s="42" t="s">
        <v>866</v>
      </c>
      <c r="Y184" s="42" t="s">
        <v>250</v>
      </c>
      <c r="Z184" s="42" t="s">
        <v>867</v>
      </c>
      <c r="AA184" s="13" t="s">
        <v>251</v>
      </c>
      <c r="AB184" s="13">
        <v>0.15</v>
      </c>
      <c r="AC184" s="13">
        <v>0</v>
      </c>
      <c r="AD184" s="42">
        <v>20</v>
      </c>
      <c r="AE184" s="42">
        <v>1</v>
      </c>
      <c r="AF184" s="13" t="s">
        <v>1005</v>
      </c>
      <c r="AH184" s="13" t="s">
        <v>399</v>
      </c>
      <c r="AI184" s="13">
        <v>0</v>
      </c>
      <c r="AJ184" s="13"/>
      <c r="AK184" s="42">
        <v>36380.404366487994</v>
      </c>
      <c r="AN184" s="42" t="s">
        <v>235</v>
      </c>
      <c r="AO184" s="42">
        <v>0</v>
      </c>
      <c r="AP184" s="42" t="s">
        <v>252</v>
      </c>
      <c r="AR184" s="42">
        <v>36380.404366487994</v>
      </c>
      <c r="AS184" s="42">
        <v>8279.6846237279988</v>
      </c>
      <c r="AT184" s="42">
        <v>83036.038155683738</v>
      </c>
      <c r="AU184" s="13">
        <v>1</v>
      </c>
      <c r="AV184" s="13">
        <v>1</v>
      </c>
      <c r="AW184" s="13">
        <v>0</v>
      </c>
      <c r="AX184" s="13">
        <v>0</v>
      </c>
      <c r="AY184" s="13">
        <v>0</v>
      </c>
      <c r="AZ184" s="13">
        <v>0</v>
      </c>
      <c r="BA184" s="13">
        <v>0</v>
      </c>
      <c r="BB184" s="13">
        <v>0</v>
      </c>
      <c r="BC184" s="13">
        <v>0</v>
      </c>
      <c r="BD184" s="13">
        <v>0</v>
      </c>
      <c r="BE184" s="13">
        <v>0</v>
      </c>
      <c r="BF184" s="13">
        <v>0</v>
      </c>
      <c r="BG184" s="13">
        <v>0</v>
      </c>
      <c r="BH184" s="13">
        <v>0</v>
      </c>
      <c r="BI184" s="13">
        <v>0</v>
      </c>
      <c r="BJ184" s="13">
        <v>0</v>
      </c>
      <c r="BK184" s="13">
        <v>0</v>
      </c>
      <c r="BL184" s="13">
        <v>0</v>
      </c>
      <c r="BM184" s="13">
        <v>0</v>
      </c>
      <c r="BN184" s="13">
        <v>0</v>
      </c>
      <c r="BO184" s="13">
        <v>0</v>
      </c>
      <c r="BP184" s="13">
        <v>1</v>
      </c>
      <c r="BR184" s="42">
        <v>14</v>
      </c>
    </row>
    <row r="185" spans="1:70" s="13" customFormat="1" ht="14.25" x14ac:dyDescent="0.15">
      <c r="A185" s="164"/>
      <c r="B185" s="13" t="s">
        <v>2602</v>
      </c>
      <c r="C185" s="13" t="s">
        <v>856</v>
      </c>
      <c r="E185" s="13" t="s">
        <v>857</v>
      </c>
      <c r="G185" s="13">
        <v>0</v>
      </c>
      <c r="H185" s="13">
        <v>12</v>
      </c>
      <c r="I185" s="13" t="s">
        <v>400</v>
      </c>
      <c r="K185" s="13">
        <v>3</v>
      </c>
      <c r="L185" s="13">
        <v>1</v>
      </c>
      <c r="M185" s="13" t="s">
        <v>254</v>
      </c>
      <c r="N185" s="13" t="s">
        <v>396</v>
      </c>
      <c r="O185" s="13">
        <v>0</v>
      </c>
      <c r="P185" s="13" t="s">
        <v>2603</v>
      </c>
      <c r="Q185" s="13" t="s">
        <v>858</v>
      </c>
      <c r="S185" s="13" t="s">
        <v>859</v>
      </c>
      <c r="U185" s="42" t="s">
        <v>860</v>
      </c>
      <c r="Y185" s="13" t="s">
        <v>250</v>
      </c>
      <c r="Z185" s="13" t="s">
        <v>861</v>
      </c>
      <c r="AA185" s="13" t="s">
        <v>251</v>
      </c>
      <c r="AB185" s="13">
        <v>0.15</v>
      </c>
      <c r="AC185" s="13">
        <v>30</v>
      </c>
      <c r="AD185" s="13">
        <v>20</v>
      </c>
      <c r="AE185" s="13">
        <v>1</v>
      </c>
      <c r="AF185" s="13" t="s">
        <v>1004</v>
      </c>
      <c r="AH185" s="13" t="s">
        <v>399</v>
      </c>
      <c r="AI185" s="13">
        <v>1000</v>
      </c>
      <c r="AK185" s="13">
        <v>22737.752729054999</v>
      </c>
      <c r="AN185" s="163" t="s">
        <v>235</v>
      </c>
      <c r="AO185" s="163">
        <v>0</v>
      </c>
      <c r="AP185" s="163" t="s">
        <v>252</v>
      </c>
      <c r="AR185" s="11">
        <v>22737.752729054999</v>
      </c>
      <c r="AS185" s="11">
        <v>11914.668117071998</v>
      </c>
      <c r="AT185" s="11">
        <v>164902.55464720289</v>
      </c>
      <c r="AU185" s="13">
        <v>1</v>
      </c>
      <c r="AV185" s="13">
        <v>1</v>
      </c>
      <c r="AW185" s="13">
        <v>0</v>
      </c>
      <c r="AX185" s="13">
        <v>0</v>
      </c>
      <c r="AY185" s="13">
        <v>0</v>
      </c>
      <c r="AZ185" s="13">
        <v>0</v>
      </c>
      <c r="BA185" s="13">
        <v>0</v>
      </c>
      <c r="BB185" s="13">
        <v>0</v>
      </c>
      <c r="BC185" s="13">
        <v>0</v>
      </c>
      <c r="BD185" s="13">
        <v>0</v>
      </c>
      <c r="BE185" s="13">
        <v>0</v>
      </c>
      <c r="BF185" s="13">
        <v>0</v>
      </c>
      <c r="BG185" s="13">
        <v>0</v>
      </c>
      <c r="BH185" s="13">
        <v>0</v>
      </c>
      <c r="BI185" s="13">
        <v>0</v>
      </c>
      <c r="BJ185" s="13">
        <v>0</v>
      </c>
      <c r="BK185" s="13">
        <v>0</v>
      </c>
      <c r="BL185" s="13">
        <v>0</v>
      </c>
      <c r="BM185" s="13">
        <v>0</v>
      </c>
      <c r="BN185" s="13">
        <v>0</v>
      </c>
      <c r="BO185" s="13">
        <v>0</v>
      </c>
      <c r="BP185" s="13">
        <v>1</v>
      </c>
      <c r="BR185" s="13">
        <v>14</v>
      </c>
    </row>
    <row r="186" spans="1:70" s="13" customFormat="1" ht="14.25" x14ac:dyDescent="0.15">
      <c r="A186" s="164"/>
      <c r="B186" s="13" t="s">
        <v>2604</v>
      </c>
      <c r="C186" s="13" t="s">
        <v>881</v>
      </c>
      <c r="E186" s="13" t="s">
        <v>726</v>
      </c>
      <c r="G186" s="13">
        <v>0</v>
      </c>
      <c r="H186" s="13">
        <v>12</v>
      </c>
      <c r="I186" s="13" t="s">
        <v>400</v>
      </c>
      <c r="K186" s="13">
        <v>3</v>
      </c>
      <c r="L186" s="13">
        <v>1</v>
      </c>
      <c r="M186" s="13" t="s">
        <v>254</v>
      </c>
      <c r="N186" s="13" t="s">
        <v>396</v>
      </c>
      <c r="O186" s="13">
        <v>0</v>
      </c>
      <c r="P186" s="13" t="s">
        <v>2605</v>
      </c>
      <c r="Q186" s="13" t="s">
        <v>727</v>
      </c>
      <c r="S186" s="13" t="s">
        <v>728</v>
      </c>
      <c r="U186" s="42" t="s">
        <v>729</v>
      </c>
      <c r="Y186" s="13" t="s">
        <v>250</v>
      </c>
      <c r="Z186" s="13" t="s">
        <v>730</v>
      </c>
      <c r="AA186" s="13" t="s">
        <v>251</v>
      </c>
      <c r="AB186" s="13">
        <v>0.15</v>
      </c>
      <c r="AC186" s="13">
        <v>30</v>
      </c>
      <c r="AD186" s="13">
        <v>20</v>
      </c>
      <c r="AE186" s="13">
        <v>1</v>
      </c>
      <c r="AF186" s="13" t="s">
        <v>1009</v>
      </c>
      <c r="AH186" s="13" t="s">
        <v>399</v>
      </c>
      <c r="AI186" s="13">
        <v>680</v>
      </c>
      <c r="AK186" s="13">
        <v>16036.099293122998</v>
      </c>
      <c r="AN186" s="163" t="s">
        <v>235</v>
      </c>
      <c r="AO186" s="163">
        <v>0</v>
      </c>
      <c r="AP186" s="163" t="s">
        <v>252</v>
      </c>
      <c r="AR186" s="11">
        <v>16036.099293122998</v>
      </c>
      <c r="AS186" s="11">
        <v>11914.668117071998</v>
      </c>
      <c r="AT186" s="11">
        <v>129072.94198825571</v>
      </c>
      <c r="AU186" s="13">
        <v>1</v>
      </c>
      <c r="AV186" s="13">
        <v>1</v>
      </c>
      <c r="AW186" s="13">
        <v>0</v>
      </c>
      <c r="AX186" s="13">
        <v>0</v>
      </c>
      <c r="AY186" s="13">
        <v>0</v>
      </c>
      <c r="AZ186" s="13">
        <v>0</v>
      </c>
      <c r="BA186" s="13">
        <v>0</v>
      </c>
      <c r="BB186" s="13">
        <v>0</v>
      </c>
      <c r="BC186" s="13">
        <v>0</v>
      </c>
      <c r="BD186" s="13">
        <v>0</v>
      </c>
      <c r="BE186" s="13">
        <v>0</v>
      </c>
      <c r="BF186" s="13">
        <v>0</v>
      </c>
      <c r="BG186" s="13">
        <v>0</v>
      </c>
      <c r="BH186" s="13">
        <v>0</v>
      </c>
      <c r="BI186" s="13">
        <v>0</v>
      </c>
      <c r="BJ186" s="13">
        <v>0</v>
      </c>
      <c r="BK186" s="13">
        <v>0</v>
      </c>
      <c r="BL186" s="13">
        <v>0</v>
      </c>
      <c r="BM186" s="13">
        <v>0</v>
      </c>
      <c r="BN186" s="13">
        <v>0</v>
      </c>
      <c r="BO186" s="13">
        <v>0</v>
      </c>
      <c r="BP186" s="13">
        <v>1</v>
      </c>
      <c r="BR186" s="13">
        <v>8</v>
      </c>
    </row>
    <row r="187" spans="1:70" s="13" customFormat="1" ht="14.25" x14ac:dyDescent="0.15">
      <c r="A187" s="164"/>
      <c r="B187" s="13" t="s">
        <v>2606</v>
      </c>
      <c r="C187" s="11" t="s">
        <v>975</v>
      </c>
      <c r="E187" s="13" t="s">
        <v>976</v>
      </c>
      <c r="G187" s="13">
        <v>0</v>
      </c>
      <c r="H187" s="13">
        <v>12</v>
      </c>
      <c r="I187" s="13" t="s">
        <v>296</v>
      </c>
      <c r="K187" s="13">
        <v>3</v>
      </c>
      <c r="L187" s="13">
        <v>1</v>
      </c>
      <c r="M187" s="13" t="s">
        <v>254</v>
      </c>
      <c r="N187" s="13" t="s">
        <v>396</v>
      </c>
      <c r="O187" s="13">
        <v>0</v>
      </c>
      <c r="P187" s="13" t="s">
        <v>2607</v>
      </c>
      <c r="Q187" s="13" t="s">
        <v>977</v>
      </c>
      <c r="S187" s="13" t="s">
        <v>978</v>
      </c>
      <c r="U187" s="42" t="s">
        <v>979</v>
      </c>
      <c r="Y187" s="13" t="s">
        <v>250</v>
      </c>
      <c r="Z187" s="13" t="s">
        <v>980</v>
      </c>
      <c r="AA187" s="13" t="s">
        <v>251</v>
      </c>
      <c r="AB187" s="13">
        <v>0.15</v>
      </c>
      <c r="AC187" s="13">
        <v>0</v>
      </c>
      <c r="AD187" s="13">
        <v>20</v>
      </c>
      <c r="AE187" s="13">
        <v>1</v>
      </c>
      <c r="AF187" s="13" t="s">
        <v>1029</v>
      </c>
      <c r="AH187" s="13" t="s">
        <v>399</v>
      </c>
      <c r="AI187" s="13">
        <v>300</v>
      </c>
      <c r="AK187" s="13">
        <v>28338.420243369597</v>
      </c>
      <c r="AN187" s="163" t="s">
        <v>235</v>
      </c>
      <c r="AO187" s="163">
        <v>0</v>
      </c>
      <c r="AP187" s="163" t="s">
        <v>252</v>
      </c>
      <c r="AR187" s="11">
        <v>28338.420243369597</v>
      </c>
      <c r="AS187" s="11">
        <v>8279.6846237279988</v>
      </c>
      <c r="AT187" s="11">
        <v>69124.241187192238</v>
      </c>
      <c r="AU187" s="13">
        <v>1</v>
      </c>
      <c r="AV187" s="13">
        <v>1</v>
      </c>
      <c r="AW187" s="13">
        <v>0</v>
      </c>
      <c r="AX187" s="13">
        <v>0</v>
      </c>
      <c r="AY187" s="13">
        <v>0</v>
      </c>
      <c r="AZ187" s="13">
        <v>0</v>
      </c>
      <c r="BA187" s="13">
        <v>0</v>
      </c>
      <c r="BB187" s="13">
        <v>0</v>
      </c>
      <c r="BC187" s="13">
        <v>0</v>
      </c>
      <c r="BD187" s="13">
        <v>0</v>
      </c>
      <c r="BE187" s="13">
        <v>0</v>
      </c>
      <c r="BF187" s="13">
        <v>0</v>
      </c>
      <c r="BG187" s="13">
        <v>0</v>
      </c>
      <c r="BH187" s="13">
        <v>0</v>
      </c>
      <c r="BI187" s="13">
        <v>0</v>
      </c>
      <c r="BJ187" s="13">
        <v>0</v>
      </c>
      <c r="BK187" s="13">
        <v>0</v>
      </c>
      <c r="BL187" s="13">
        <v>0</v>
      </c>
      <c r="BM187" s="13">
        <v>0</v>
      </c>
      <c r="BN187" s="13">
        <v>0</v>
      </c>
      <c r="BO187" s="13">
        <v>0</v>
      </c>
      <c r="BP187" s="13">
        <v>1</v>
      </c>
      <c r="BR187" s="13">
        <v>10</v>
      </c>
    </row>
    <row r="188" spans="1:70" s="42" customFormat="1" ht="14.25" x14ac:dyDescent="0.15">
      <c r="A188" s="164"/>
      <c r="B188" s="42" t="s">
        <v>1934</v>
      </c>
      <c r="C188" s="13" t="s">
        <v>924</v>
      </c>
      <c r="E188" s="42" t="s">
        <v>925</v>
      </c>
      <c r="G188" s="42">
        <v>0</v>
      </c>
      <c r="H188" s="42">
        <v>13</v>
      </c>
      <c r="I188" s="42" t="s">
        <v>296</v>
      </c>
      <c r="K188" s="42">
        <v>3</v>
      </c>
      <c r="L188" s="42">
        <v>1</v>
      </c>
      <c r="M188" s="42" t="s">
        <v>254</v>
      </c>
      <c r="N188" s="42" t="s">
        <v>396</v>
      </c>
      <c r="O188" s="42">
        <v>0</v>
      </c>
      <c r="P188" s="42" t="s">
        <v>1935</v>
      </c>
      <c r="Q188" s="42" t="s">
        <v>926</v>
      </c>
      <c r="S188" s="42" t="s">
        <v>927</v>
      </c>
      <c r="U188" s="42" t="s">
        <v>928</v>
      </c>
      <c r="Y188" s="42" t="s">
        <v>250</v>
      </c>
      <c r="Z188" s="42" t="s">
        <v>929</v>
      </c>
      <c r="AA188" s="13" t="s">
        <v>251</v>
      </c>
      <c r="AB188" s="13">
        <v>0.15</v>
      </c>
      <c r="AC188" s="13">
        <v>0</v>
      </c>
      <c r="AD188" s="42">
        <v>20</v>
      </c>
      <c r="AE188" s="42">
        <v>1</v>
      </c>
      <c r="AF188" s="13" t="s">
        <v>1018</v>
      </c>
      <c r="AH188" s="13" t="s">
        <v>399</v>
      </c>
      <c r="AI188" s="13">
        <v>1000</v>
      </c>
      <c r="AJ188" s="13"/>
      <c r="AK188" s="42">
        <v>40592.872240502402</v>
      </c>
      <c r="AN188" s="42" t="s">
        <v>235</v>
      </c>
      <c r="AO188" s="42">
        <v>0</v>
      </c>
      <c r="AP188" s="42" t="s">
        <v>252</v>
      </c>
      <c r="AR188" s="42">
        <v>40592.872240502402</v>
      </c>
      <c r="AS188" s="42">
        <v>8279.6846237279988</v>
      </c>
      <c r="AT188" s="42">
        <v>90861.42395046023</v>
      </c>
      <c r="AU188" s="13">
        <v>1</v>
      </c>
      <c r="AV188" s="13">
        <v>1</v>
      </c>
      <c r="AW188" s="13">
        <v>0</v>
      </c>
      <c r="AX188" s="13">
        <v>0</v>
      </c>
      <c r="AY188" s="13">
        <v>0</v>
      </c>
      <c r="AZ188" s="13">
        <v>0</v>
      </c>
      <c r="BA188" s="13">
        <v>0</v>
      </c>
      <c r="BB188" s="13">
        <v>0</v>
      </c>
      <c r="BC188" s="13">
        <v>0</v>
      </c>
      <c r="BD188" s="13">
        <v>0</v>
      </c>
      <c r="BE188" s="13">
        <v>0</v>
      </c>
      <c r="BF188" s="13">
        <v>0</v>
      </c>
      <c r="BG188" s="13">
        <v>0</v>
      </c>
      <c r="BH188" s="13">
        <v>0</v>
      </c>
      <c r="BI188" s="13">
        <v>0</v>
      </c>
      <c r="BJ188" s="13">
        <v>0</v>
      </c>
      <c r="BK188" s="13">
        <v>0</v>
      </c>
      <c r="BL188" s="13">
        <v>0</v>
      </c>
      <c r="BM188" s="13">
        <v>0</v>
      </c>
      <c r="BN188" s="13">
        <v>0</v>
      </c>
      <c r="BO188" s="13">
        <v>0</v>
      </c>
      <c r="BP188" s="13">
        <v>1</v>
      </c>
      <c r="BR188" s="42">
        <v>16</v>
      </c>
    </row>
    <row r="189" spans="1:70" s="42" customFormat="1" ht="14.25" x14ac:dyDescent="0.15">
      <c r="A189" s="164"/>
      <c r="B189" s="42" t="s">
        <v>1936</v>
      </c>
      <c r="C189" s="42" t="s">
        <v>975</v>
      </c>
      <c r="E189" s="42" t="s">
        <v>976</v>
      </c>
      <c r="G189" s="42">
        <v>0</v>
      </c>
      <c r="H189" s="42">
        <v>12</v>
      </c>
      <c r="I189" s="42" t="s">
        <v>296</v>
      </c>
      <c r="K189" s="42">
        <v>3</v>
      </c>
      <c r="L189" s="42">
        <v>1</v>
      </c>
      <c r="M189" s="42" t="s">
        <v>254</v>
      </c>
      <c r="N189" s="42" t="s">
        <v>396</v>
      </c>
      <c r="O189" s="42">
        <v>0</v>
      </c>
      <c r="P189" s="42" t="s">
        <v>1937</v>
      </c>
      <c r="Q189" s="42" t="s">
        <v>977</v>
      </c>
      <c r="S189" s="42" t="s">
        <v>978</v>
      </c>
      <c r="U189" s="42" t="s">
        <v>979</v>
      </c>
      <c r="Y189" s="42" t="s">
        <v>250</v>
      </c>
      <c r="Z189" s="42" t="s">
        <v>980</v>
      </c>
      <c r="AA189" s="13" t="s">
        <v>251</v>
      </c>
      <c r="AB189" s="13">
        <v>0.15</v>
      </c>
      <c r="AC189" s="13">
        <v>0</v>
      </c>
      <c r="AD189" s="42">
        <v>20</v>
      </c>
      <c r="AE189" s="42">
        <v>1</v>
      </c>
      <c r="AF189" s="13" t="s">
        <v>1029</v>
      </c>
      <c r="AH189" s="13" t="s">
        <v>399</v>
      </c>
      <c r="AI189" s="13">
        <v>0</v>
      </c>
      <c r="AJ189" s="13"/>
      <c r="AK189" s="42">
        <v>28338.420243369597</v>
      </c>
      <c r="AN189" s="42" t="s">
        <v>235</v>
      </c>
      <c r="AO189" s="42">
        <v>0</v>
      </c>
      <c r="AP189" s="42" t="s">
        <v>252</v>
      </c>
      <c r="AR189" s="42">
        <v>28338.420243369597</v>
      </c>
      <c r="AS189" s="42">
        <v>8279.6846237279988</v>
      </c>
      <c r="AT189" s="42">
        <v>69124.241187192238</v>
      </c>
      <c r="AU189" s="13">
        <v>1</v>
      </c>
      <c r="AV189" s="13">
        <v>1</v>
      </c>
      <c r="AW189" s="13">
        <v>0</v>
      </c>
      <c r="AX189" s="13">
        <v>0</v>
      </c>
      <c r="AY189" s="13">
        <v>0</v>
      </c>
      <c r="AZ189" s="13">
        <v>0</v>
      </c>
      <c r="BA189" s="13">
        <v>0</v>
      </c>
      <c r="BB189" s="13">
        <v>0</v>
      </c>
      <c r="BC189" s="13">
        <v>0</v>
      </c>
      <c r="BD189" s="13">
        <v>0</v>
      </c>
      <c r="BE189" s="13">
        <v>0</v>
      </c>
      <c r="BF189" s="13">
        <v>0</v>
      </c>
      <c r="BG189" s="13">
        <v>0</v>
      </c>
      <c r="BH189" s="13">
        <v>0</v>
      </c>
      <c r="BI189" s="13">
        <v>0</v>
      </c>
      <c r="BJ189" s="13">
        <v>0</v>
      </c>
      <c r="BK189" s="13">
        <v>0</v>
      </c>
      <c r="BL189" s="13">
        <v>0</v>
      </c>
      <c r="BM189" s="13">
        <v>0</v>
      </c>
      <c r="BN189" s="13">
        <v>0</v>
      </c>
      <c r="BO189" s="13">
        <v>0</v>
      </c>
      <c r="BP189" s="13">
        <v>1</v>
      </c>
      <c r="BR189" s="42">
        <v>10</v>
      </c>
    </row>
    <row r="190" spans="1:70" s="42" customFormat="1" ht="14.25" x14ac:dyDescent="0.15">
      <c r="A190" s="164"/>
      <c r="B190" s="42" t="s">
        <v>2608</v>
      </c>
      <c r="C190" s="42" t="s">
        <v>2250</v>
      </c>
      <c r="E190" s="42" t="s">
        <v>2251</v>
      </c>
      <c r="G190" s="42">
        <v>1</v>
      </c>
      <c r="H190" s="42">
        <v>13</v>
      </c>
      <c r="I190" s="42" t="s">
        <v>296</v>
      </c>
      <c r="K190" s="42">
        <v>3</v>
      </c>
      <c r="L190" s="42">
        <v>1</v>
      </c>
      <c r="M190" s="42" t="s">
        <v>254</v>
      </c>
      <c r="N190" s="42" t="s">
        <v>396</v>
      </c>
      <c r="O190" s="42">
        <v>0</v>
      </c>
      <c r="P190" s="42" t="s">
        <v>2609</v>
      </c>
      <c r="Q190" s="42" t="s">
        <v>2252</v>
      </c>
      <c r="S190" s="42" t="s">
        <v>2301</v>
      </c>
      <c r="U190" s="42" t="s">
        <v>2253</v>
      </c>
      <c r="Y190" s="42" t="s">
        <v>250</v>
      </c>
      <c r="Z190" s="42" t="s">
        <v>2254</v>
      </c>
      <c r="AA190" s="13" t="s">
        <v>251</v>
      </c>
      <c r="AB190" s="13">
        <v>0.15</v>
      </c>
      <c r="AC190" s="13">
        <v>0</v>
      </c>
      <c r="AD190" s="42">
        <v>20</v>
      </c>
      <c r="AE190" s="42">
        <v>1</v>
      </c>
      <c r="AF190" s="13" t="s">
        <v>2910</v>
      </c>
      <c r="AH190" s="13" t="s">
        <v>3171</v>
      </c>
      <c r="AI190" s="13">
        <v>680</v>
      </c>
      <c r="AJ190" s="13"/>
      <c r="AK190" s="42">
        <v>25657.7588689968</v>
      </c>
      <c r="AN190" s="42" t="s">
        <v>235</v>
      </c>
      <c r="AO190" s="42">
        <v>0</v>
      </c>
      <c r="AP190" s="42" t="s">
        <v>252</v>
      </c>
      <c r="AR190" s="42">
        <v>25657.7588689968</v>
      </c>
      <c r="AS190" s="42">
        <v>8279.6846237279988</v>
      </c>
      <c r="AT190" s="42">
        <v>64994.176462171323</v>
      </c>
      <c r="AU190" s="13">
        <v>1</v>
      </c>
      <c r="AV190" s="13">
        <v>1</v>
      </c>
      <c r="AW190" s="13">
        <v>0</v>
      </c>
      <c r="AX190" s="13">
        <v>0</v>
      </c>
      <c r="AY190" s="13">
        <v>0</v>
      </c>
      <c r="AZ190" s="13">
        <v>0</v>
      </c>
      <c r="BA190" s="13">
        <v>0</v>
      </c>
      <c r="BB190" s="13">
        <v>0</v>
      </c>
      <c r="BC190" s="13">
        <v>0</v>
      </c>
      <c r="BD190" s="13">
        <v>0</v>
      </c>
      <c r="BE190" s="13">
        <v>0.4</v>
      </c>
      <c r="BF190" s="13">
        <v>0</v>
      </c>
      <c r="BG190" s="13">
        <v>0</v>
      </c>
      <c r="BH190" s="13">
        <v>0</v>
      </c>
      <c r="BI190" s="13">
        <v>0</v>
      </c>
      <c r="BJ190" s="13">
        <v>0</v>
      </c>
      <c r="BK190" s="13">
        <v>0</v>
      </c>
      <c r="BL190" s="13">
        <v>0</v>
      </c>
      <c r="BM190" s="13">
        <v>0</v>
      </c>
      <c r="BN190" s="13">
        <v>0</v>
      </c>
      <c r="BO190" s="13">
        <v>0</v>
      </c>
      <c r="BP190" s="13">
        <v>1</v>
      </c>
      <c r="BR190" s="42">
        <v>8</v>
      </c>
    </row>
    <row r="191" spans="1:70" s="42" customFormat="1" ht="14.25" x14ac:dyDescent="0.15">
      <c r="A191" s="164"/>
      <c r="B191" s="42" t="s">
        <v>1938</v>
      </c>
      <c r="C191" s="42" t="s">
        <v>1043</v>
      </c>
      <c r="E191" s="42" t="s">
        <v>1044</v>
      </c>
      <c r="G191" s="42">
        <v>0</v>
      </c>
      <c r="H191" s="42">
        <v>13</v>
      </c>
      <c r="I191" s="42" t="s">
        <v>421</v>
      </c>
      <c r="K191" s="42">
        <v>3</v>
      </c>
      <c r="L191" s="42">
        <v>1</v>
      </c>
      <c r="M191" s="42" t="s">
        <v>254</v>
      </c>
      <c r="N191" s="42" t="s">
        <v>396</v>
      </c>
      <c r="O191" s="42">
        <v>0</v>
      </c>
      <c r="P191" s="42" t="s">
        <v>1939</v>
      </c>
      <c r="Q191" s="42" t="s">
        <v>1045</v>
      </c>
      <c r="S191" s="42" t="s">
        <v>1046</v>
      </c>
      <c r="U191" s="42" t="s">
        <v>1047</v>
      </c>
      <c r="Y191" s="42" t="s">
        <v>250</v>
      </c>
      <c r="Z191" s="42" t="s">
        <v>1048</v>
      </c>
      <c r="AA191" s="13" t="s">
        <v>251</v>
      </c>
      <c r="AB191" s="13">
        <v>0.15</v>
      </c>
      <c r="AC191" s="13">
        <v>0</v>
      </c>
      <c r="AD191" s="42">
        <v>20</v>
      </c>
      <c r="AE191" s="42">
        <v>1</v>
      </c>
      <c r="AF191" s="13" t="s">
        <v>1106</v>
      </c>
      <c r="AH191" s="13" t="s">
        <v>3171</v>
      </c>
      <c r="AI191" s="13">
        <v>0</v>
      </c>
      <c r="AJ191" s="13"/>
      <c r="AK191" s="42">
        <v>30106.380245039283</v>
      </c>
      <c r="AN191" s="42" t="s">
        <v>235</v>
      </c>
      <c r="AO191" s="42">
        <v>0</v>
      </c>
      <c r="AP191" s="42" t="s">
        <v>252</v>
      </c>
      <c r="AR191" s="42">
        <v>30106.380245039283</v>
      </c>
      <c r="AS191" s="42">
        <v>10097.1763704</v>
      </c>
      <c r="AT191" s="42">
        <v>131139.5051382847</v>
      </c>
      <c r="AU191" s="13">
        <v>1</v>
      </c>
      <c r="AV191" s="13">
        <v>1</v>
      </c>
      <c r="AW191" s="13">
        <v>0</v>
      </c>
      <c r="AX191" s="13">
        <v>0</v>
      </c>
      <c r="AY191" s="13">
        <v>0</v>
      </c>
      <c r="AZ191" s="13">
        <v>0</v>
      </c>
      <c r="BA191" s="13">
        <v>0</v>
      </c>
      <c r="BB191" s="13">
        <v>0</v>
      </c>
      <c r="BC191" s="13">
        <v>0</v>
      </c>
      <c r="BD191" s="13">
        <v>0</v>
      </c>
      <c r="BE191" s="13">
        <v>0</v>
      </c>
      <c r="BF191" s="13">
        <v>0</v>
      </c>
      <c r="BG191" s="13">
        <v>0</v>
      </c>
      <c r="BH191" s="13">
        <v>0</v>
      </c>
      <c r="BI191" s="13">
        <v>0</v>
      </c>
      <c r="BJ191" s="13">
        <v>0</v>
      </c>
      <c r="BK191" s="13">
        <v>0</v>
      </c>
      <c r="BL191" s="13">
        <v>0</v>
      </c>
      <c r="BM191" s="13">
        <v>0</v>
      </c>
      <c r="BN191" s="13">
        <v>0</v>
      </c>
      <c r="BO191" s="13">
        <v>0</v>
      </c>
      <c r="BP191" s="13">
        <v>1</v>
      </c>
      <c r="BR191" s="42">
        <v>13</v>
      </c>
    </row>
    <row r="192" spans="1:70" s="42" customFormat="1" ht="14.25" x14ac:dyDescent="0.15">
      <c r="A192" s="164"/>
      <c r="B192" s="42" t="s">
        <v>1940</v>
      </c>
      <c r="C192" s="11" t="s">
        <v>962</v>
      </c>
      <c r="E192" s="42" t="s">
        <v>415</v>
      </c>
      <c r="G192" s="42">
        <v>0</v>
      </c>
      <c r="H192" s="42">
        <v>14</v>
      </c>
      <c r="I192" s="42" t="s">
        <v>296</v>
      </c>
      <c r="K192" s="42">
        <v>3</v>
      </c>
      <c r="L192" s="42">
        <v>1</v>
      </c>
      <c r="M192" s="42" t="s">
        <v>254</v>
      </c>
      <c r="N192" s="42" t="s">
        <v>396</v>
      </c>
      <c r="O192" s="42">
        <v>0</v>
      </c>
      <c r="P192" s="42" t="s">
        <v>1941</v>
      </c>
      <c r="Q192" s="42" t="s">
        <v>414</v>
      </c>
      <c r="S192" s="42" t="s">
        <v>413</v>
      </c>
      <c r="U192" s="42" t="s">
        <v>412</v>
      </c>
      <c r="Y192" s="42" t="s">
        <v>250</v>
      </c>
      <c r="Z192" s="42" t="s">
        <v>411</v>
      </c>
      <c r="AA192" s="13" t="s">
        <v>251</v>
      </c>
      <c r="AB192" s="13">
        <v>0.15</v>
      </c>
      <c r="AC192" s="13">
        <v>0</v>
      </c>
      <c r="AD192" s="42">
        <v>20</v>
      </c>
      <c r="AE192" s="42">
        <v>1</v>
      </c>
      <c r="AF192" s="13" t="s">
        <v>1026</v>
      </c>
      <c r="AH192" s="13" t="s">
        <v>399</v>
      </c>
      <c r="AI192" s="13">
        <v>680</v>
      </c>
      <c r="AJ192" s="13"/>
      <c r="AK192" s="42">
        <v>32167.936492473596</v>
      </c>
      <c r="AN192" s="42" t="s">
        <v>235</v>
      </c>
      <c r="AO192" s="42">
        <v>0</v>
      </c>
      <c r="AP192" s="42" t="s">
        <v>252</v>
      </c>
      <c r="AR192" s="42">
        <v>32167.936492473596</v>
      </c>
      <c r="AS192" s="42">
        <v>8279.6846237279988</v>
      </c>
      <c r="AT192" s="42">
        <v>74993.280533274592</v>
      </c>
      <c r="AU192" s="13">
        <v>1</v>
      </c>
      <c r="AV192" s="13">
        <v>1</v>
      </c>
      <c r="AW192" s="13">
        <v>0</v>
      </c>
      <c r="AX192" s="13">
        <v>0</v>
      </c>
      <c r="AY192" s="13">
        <v>0</v>
      </c>
      <c r="AZ192" s="13">
        <v>0</v>
      </c>
      <c r="BA192" s="13">
        <v>0</v>
      </c>
      <c r="BB192" s="13">
        <v>0</v>
      </c>
      <c r="BC192" s="13">
        <v>0</v>
      </c>
      <c r="BD192" s="13">
        <v>0</v>
      </c>
      <c r="BE192" s="13">
        <v>0</v>
      </c>
      <c r="BF192" s="13">
        <v>0</v>
      </c>
      <c r="BG192" s="13">
        <v>0</v>
      </c>
      <c r="BH192" s="13">
        <v>0</v>
      </c>
      <c r="BI192" s="13">
        <v>0</v>
      </c>
      <c r="BJ192" s="13">
        <v>0</v>
      </c>
      <c r="BK192" s="13">
        <v>0</v>
      </c>
      <c r="BL192" s="13">
        <v>0</v>
      </c>
      <c r="BM192" s="13">
        <v>0</v>
      </c>
      <c r="BN192" s="13">
        <v>0</v>
      </c>
      <c r="BO192" s="13">
        <v>0</v>
      </c>
      <c r="BP192" s="13">
        <v>1</v>
      </c>
      <c r="BR192" s="42">
        <v>12</v>
      </c>
    </row>
    <row r="193" spans="1:70" s="42" customFormat="1" ht="14.25" x14ac:dyDescent="0.15">
      <c r="A193" s="164"/>
      <c r="B193" s="42" t="s">
        <v>1942</v>
      </c>
      <c r="C193" s="11" t="s">
        <v>2303</v>
      </c>
      <c r="E193" s="42" t="s">
        <v>2304</v>
      </c>
      <c r="G193" s="42">
        <v>0</v>
      </c>
      <c r="H193" s="42">
        <v>12</v>
      </c>
      <c r="I193" s="42" t="s">
        <v>421</v>
      </c>
      <c r="K193" s="42">
        <v>3</v>
      </c>
      <c r="L193" s="42">
        <v>1</v>
      </c>
      <c r="M193" s="42" t="s">
        <v>254</v>
      </c>
      <c r="N193" s="42" t="s">
        <v>396</v>
      </c>
      <c r="O193" s="42">
        <v>0</v>
      </c>
      <c r="P193" s="42" t="s">
        <v>1943</v>
      </c>
      <c r="Q193" s="42" t="s">
        <v>2305</v>
      </c>
      <c r="S193" s="42" t="s">
        <v>2306</v>
      </c>
      <c r="U193" s="42" t="s">
        <v>2307</v>
      </c>
      <c r="Y193" s="42" t="s">
        <v>250</v>
      </c>
      <c r="Z193" s="42" t="s">
        <v>2308</v>
      </c>
      <c r="AA193" s="13" t="s">
        <v>251</v>
      </c>
      <c r="AB193" s="13">
        <v>0.15</v>
      </c>
      <c r="AC193" s="13">
        <v>0</v>
      </c>
      <c r="AD193" s="42">
        <v>20</v>
      </c>
      <c r="AE193" s="42">
        <v>1</v>
      </c>
      <c r="AF193" s="13" t="s">
        <v>2309</v>
      </c>
      <c r="AH193" s="13" t="s">
        <v>3171</v>
      </c>
      <c r="AI193" s="13">
        <v>800</v>
      </c>
      <c r="AJ193" s="13"/>
      <c r="AK193" s="42">
        <v>32136.023857064403</v>
      </c>
      <c r="AN193" s="42" t="s">
        <v>235</v>
      </c>
      <c r="AO193" s="42">
        <v>0</v>
      </c>
      <c r="AP193" s="42" t="s">
        <v>252</v>
      </c>
      <c r="AR193" s="42">
        <v>32136.023857064403</v>
      </c>
      <c r="AS193" s="42">
        <v>10097.1763704</v>
      </c>
      <c r="AT193" s="42">
        <v>138003.55637141806</v>
      </c>
      <c r="AU193" s="13">
        <v>1</v>
      </c>
      <c r="AV193" s="13">
        <v>1</v>
      </c>
      <c r="AW193" s="13">
        <v>0</v>
      </c>
      <c r="AX193" s="13">
        <v>0</v>
      </c>
      <c r="AY193" s="13">
        <v>0</v>
      </c>
      <c r="AZ193" s="13">
        <v>0</v>
      </c>
      <c r="BA193" s="13">
        <v>0</v>
      </c>
      <c r="BB193" s="13">
        <v>0</v>
      </c>
      <c r="BC193" s="13">
        <v>0</v>
      </c>
      <c r="BD193" s="13">
        <v>0</v>
      </c>
      <c r="BE193" s="13">
        <v>0</v>
      </c>
      <c r="BF193" s="13">
        <v>0</v>
      </c>
      <c r="BG193" s="13">
        <v>0</v>
      </c>
      <c r="BH193" s="13">
        <v>0</v>
      </c>
      <c r="BI193" s="13">
        <v>0</v>
      </c>
      <c r="BJ193" s="13">
        <v>0</v>
      </c>
      <c r="BK193" s="13">
        <v>0</v>
      </c>
      <c r="BL193" s="13">
        <v>0</v>
      </c>
      <c r="BM193" s="13">
        <v>0</v>
      </c>
      <c r="BN193" s="13">
        <v>0</v>
      </c>
      <c r="BO193" s="13">
        <v>0</v>
      </c>
      <c r="BP193" s="13">
        <v>1</v>
      </c>
      <c r="BR193" s="42">
        <v>14</v>
      </c>
    </row>
    <row r="194" spans="1:70" s="42" customFormat="1" ht="14.25" x14ac:dyDescent="0.15">
      <c r="A194" s="164"/>
      <c r="B194" s="42" t="s">
        <v>2610</v>
      </c>
      <c r="C194" s="42" t="s">
        <v>2311</v>
      </c>
      <c r="E194" s="42" t="s">
        <v>2312</v>
      </c>
      <c r="G194" s="42">
        <v>0</v>
      </c>
      <c r="H194" s="42">
        <v>14</v>
      </c>
      <c r="I194" s="42" t="s">
        <v>421</v>
      </c>
      <c r="K194" s="42">
        <v>3</v>
      </c>
      <c r="L194" s="42">
        <v>1</v>
      </c>
      <c r="M194" s="42" t="s">
        <v>254</v>
      </c>
      <c r="N194" s="42" t="s">
        <v>396</v>
      </c>
      <c r="O194" s="42">
        <v>0</v>
      </c>
      <c r="P194" s="42" t="s">
        <v>2611</v>
      </c>
      <c r="Q194" s="42" t="s">
        <v>2314</v>
      </c>
      <c r="S194" s="42" t="s">
        <v>2315</v>
      </c>
      <c r="U194" s="42" t="s">
        <v>2316</v>
      </c>
      <c r="Y194" s="42" t="s">
        <v>250</v>
      </c>
      <c r="Z194" s="42" t="s">
        <v>2317</v>
      </c>
      <c r="AA194" s="13" t="s">
        <v>251</v>
      </c>
      <c r="AB194" s="13">
        <v>0.15</v>
      </c>
      <c r="AC194" s="13">
        <v>30</v>
      </c>
      <c r="AD194" s="42">
        <v>20</v>
      </c>
      <c r="AE194" s="42">
        <v>1</v>
      </c>
      <c r="AF194" s="13" t="s">
        <v>2318</v>
      </c>
      <c r="AH194" s="13" t="s">
        <v>3171</v>
      </c>
      <c r="AI194" s="13">
        <v>1000</v>
      </c>
      <c r="AJ194" s="13"/>
      <c r="AK194" s="42">
        <v>39578.050434489836</v>
      </c>
      <c r="AN194" s="42" t="s">
        <v>235</v>
      </c>
      <c r="AO194" s="42">
        <v>0</v>
      </c>
      <c r="AP194" s="42" t="s">
        <v>252</v>
      </c>
      <c r="AR194" s="42">
        <v>39578.050434489836</v>
      </c>
      <c r="AS194" s="42">
        <v>10097.1763704</v>
      </c>
      <c r="AT194" s="42">
        <v>164375.96374082516</v>
      </c>
      <c r="AU194" s="13">
        <v>1</v>
      </c>
      <c r="AV194" s="13">
        <v>1</v>
      </c>
      <c r="AW194" s="13">
        <v>0</v>
      </c>
      <c r="AX194" s="13">
        <v>0</v>
      </c>
      <c r="AY194" s="13">
        <v>0</v>
      </c>
      <c r="AZ194" s="13">
        <v>0</v>
      </c>
      <c r="BA194" s="13">
        <v>0</v>
      </c>
      <c r="BB194" s="13">
        <v>0</v>
      </c>
      <c r="BC194" s="13">
        <v>0</v>
      </c>
      <c r="BD194" s="13">
        <v>0</v>
      </c>
      <c r="BE194" s="13">
        <v>0</v>
      </c>
      <c r="BF194" s="13">
        <v>0</v>
      </c>
      <c r="BG194" s="13">
        <v>0</v>
      </c>
      <c r="BH194" s="13">
        <v>0</v>
      </c>
      <c r="BI194" s="13">
        <v>0</v>
      </c>
      <c r="BJ194" s="13">
        <v>0</v>
      </c>
      <c r="BK194" s="13">
        <v>0</v>
      </c>
      <c r="BL194" s="13">
        <v>0</v>
      </c>
      <c r="BM194" s="13">
        <v>0</v>
      </c>
      <c r="BN194" s="13">
        <v>0</v>
      </c>
      <c r="BO194" s="13">
        <v>0</v>
      </c>
      <c r="BP194" s="13">
        <v>1</v>
      </c>
      <c r="BR194" s="42">
        <v>18</v>
      </c>
    </row>
    <row r="195" spans="1:70" s="42" customFormat="1" ht="14.25" x14ac:dyDescent="0.15">
      <c r="A195" s="164"/>
      <c r="B195" s="42" t="s">
        <v>1944</v>
      </c>
      <c r="C195" s="42" t="s">
        <v>2319</v>
      </c>
      <c r="E195" s="42" t="s">
        <v>2320</v>
      </c>
      <c r="G195" s="42">
        <v>0</v>
      </c>
      <c r="H195" s="42">
        <v>15</v>
      </c>
      <c r="I195" s="42" t="s">
        <v>296</v>
      </c>
      <c r="K195" s="42">
        <v>3</v>
      </c>
      <c r="L195" s="42">
        <v>1</v>
      </c>
      <c r="M195" s="42" t="s">
        <v>254</v>
      </c>
      <c r="N195" s="42" t="s">
        <v>396</v>
      </c>
      <c r="O195" s="42">
        <v>0</v>
      </c>
      <c r="P195" s="42" t="s">
        <v>1945</v>
      </c>
      <c r="Q195" s="42" t="s">
        <v>2321</v>
      </c>
      <c r="S195" s="42" t="s">
        <v>2322</v>
      </c>
      <c r="U195" s="42" t="s">
        <v>2323</v>
      </c>
      <c r="Y195" s="42" t="s">
        <v>250</v>
      </c>
      <c r="Z195" s="42" t="s">
        <v>2324</v>
      </c>
      <c r="AA195" s="13" t="s">
        <v>251</v>
      </c>
      <c r="AB195" s="13">
        <v>0.15</v>
      </c>
      <c r="AC195" s="13">
        <v>0</v>
      </c>
      <c r="AD195" s="42">
        <v>20</v>
      </c>
      <c r="AE195" s="42">
        <v>1</v>
      </c>
      <c r="AF195" s="13" t="s">
        <v>2325</v>
      </c>
      <c r="AH195" s="13" t="s">
        <v>399</v>
      </c>
      <c r="AI195" s="13">
        <v>1000</v>
      </c>
      <c r="AJ195" s="13"/>
      <c r="AK195" s="42">
        <v>38295.162491039999</v>
      </c>
      <c r="AN195" s="42" t="s">
        <v>235</v>
      </c>
      <c r="AO195" s="42">
        <v>0</v>
      </c>
      <c r="AP195" s="42" t="s">
        <v>252</v>
      </c>
      <c r="AR195" s="42">
        <v>38295.162491039999</v>
      </c>
      <c r="AS195" s="42">
        <v>8279.6846237279988</v>
      </c>
      <c r="AT195" s="42">
        <v>86948.731053071984</v>
      </c>
      <c r="AU195" s="13">
        <v>1</v>
      </c>
      <c r="AV195" s="13">
        <v>1</v>
      </c>
      <c r="AW195" s="13">
        <v>0</v>
      </c>
      <c r="AX195" s="13">
        <v>0</v>
      </c>
      <c r="AY195" s="13">
        <v>0</v>
      </c>
      <c r="AZ195" s="13">
        <v>0</v>
      </c>
      <c r="BA195" s="13">
        <v>0</v>
      </c>
      <c r="BB195" s="13">
        <v>0</v>
      </c>
      <c r="BC195" s="13">
        <v>0</v>
      </c>
      <c r="BD195" s="13">
        <v>0</v>
      </c>
      <c r="BE195" s="13">
        <v>0</v>
      </c>
      <c r="BF195" s="13">
        <v>0</v>
      </c>
      <c r="BG195" s="13">
        <v>0</v>
      </c>
      <c r="BH195" s="13">
        <v>0</v>
      </c>
      <c r="BI195" s="13">
        <v>0</v>
      </c>
      <c r="BJ195" s="13">
        <v>0</v>
      </c>
      <c r="BK195" s="13">
        <v>0</v>
      </c>
      <c r="BL195" s="13">
        <v>0</v>
      </c>
      <c r="BM195" s="13">
        <v>0</v>
      </c>
      <c r="BN195" s="13">
        <v>0</v>
      </c>
      <c r="BO195" s="13">
        <v>0</v>
      </c>
      <c r="BP195" s="13">
        <v>1</v>
      </c>
      <c r="BR195" s="42">
        <v>17</v>
      </c>
    </row>
    <row r="196" spans="1:70" s="42" customFormat="1" ht="14.25" x14ac:dyDescent="0.15">
      <c r="A196" s="164"/>
      <c r="B196" s="42" t="s">
        <v>2612</v>
      </c>
      <c r="C196" s="11" t="s">
        <v>2327</v>
      </c>
      <c r="E196" s="42" t="s">
        <v>2328</v>
      </c>
      <c r="G196" s="42">
        <v>0</v>
      </c>
      <c r="H196" s="42">
        <v>14</v>
      </c>
      <c r="I196" s="42" t="s">
        <v>421</v>
      </c>
      <c r="K196" s="42">
        <v>3</v>
      </c>
      <c r="L196" s="42">
        <v>1</v>
      </c>
      <c r="M196" s="42" t="s">
        <v>254</v>
      </c>
      <c r="N196" s="42" t="s">
        <v>396</v>
      </c>
      <c r="O196" s="42">
        <v>0</v>
      </c>
      <c r="P196" s="42" t="s">
        <v>2613</v>
      </c>
      <c r="Q196" s="42" t="s">
        <v>2330</v>
      </c>
      <c r="S196" s="42" t="s">
        <v>2331</v>
      </c>
      <c r="U196" s="42" t="s">
        <v>2332</v>
      </c>
      <c r="Y196" s="42" t="s">
        <v>250</v>
      </c>
      <c r="Z196" s="42" t="s">
        <v>2333</v>
      </c>
      <c r="AA196" s="13" t="s">
        <v>251</v>
      </c>
      <c r="AB196" s="13">
        <v>0.15</v>
      </c>
      <c r="AC196" s="13">
        <v>0</v>
      </c>
      <c r="AD196" s="42">
        <v>20</v>
      </c>
      <c r="AE196" s="42">
        <v>1</v>
      </c>
      <c r="AF196" s="13" t="s">
        <v>2334</v>
      </c>
      <c r="AH196" s="13" t="s">
        <v>3184</v>
      </c>
      <c r="AI196" s="13">
        <v>680</v>
      </c>
      <c r="AJ196" s="13"/>
      <c r="AK196" s="42">
        <v>32136.023857064403</v>
      </c>
      <c r="AN196" s="42" t="s">
        <v>235</v>
      </c>
      <c r="AO196" s="42">
        <v>0</v>
      </c>
      <c r="AP196" s="42" t="s">
        <v>252</v>
      </c>
      <c r="AR196" s="42">
        <v>32136.023857064403</v>
      </c>
      <c r="AS196" s="42">
        <v>10097.1763704</v>
      </c>
      <c r="AT196" s="42">
        <v>138003.55637141806</v>
      </c>
      <c r="AU196" s="13">
        <v>1</v>
      </c>
      <c r="AV196" s="13">
        <v>1</v>
      </c>
      <c r="AW196" s="13">
        <v>0</v>
      </c>
      <c r="AX196" s="13">
        <v>0</v>
      </c>
      <c r="AY196" s="13">
        <v>0</v>
      </c>
      <c r="AZ196" s="13">
        <v>0</v>
      </c>
      <c r="BA196" s="13">
        <v>0</v>
      </c>
      <c r="BB196" s="13">
        <v>0</v>
      </c>
      <c r="BC196" s="13">
        <v>0</v>
      </c>
      <c r="BD196" s="13">
        <v>0</v>
      </c>
      <c r="BE196" s="13">
        <v>0</v>
      </c>
      <c r="BF196" s="13">
        <v>0</v>
      </c>
      <c r="BG196" s="13">
        <v>0</v>
      </c>
      <c r="BH196" s="13">
        <v>0</v>
      </c>
      <c r="BI196" s="13">
        <v>0</v>
      </c>
      <c r="BJ196" s="13">
        <v>0</v>
      </c>
      <c r="BK196" s="13">
        <v>0</v>
      </c>
      <c r="BL196" s="13">
        <v>0</v>
      </c>
      <c r="BM196" s="13">
        <v>0</v>
      </c>
      <c r="BN196" s="13">
        <v>0</v>
      </c>
      <c r="BO196" s="13">
        <v>0</v>
      </c>
      <c r="BP196" s="13">
        <v>1</v>
      </c>
      <c r="BR196" s="42">
        <v>14</v>
      </c>
    </row>
    <row r="197" spans="1:70" s="42" customFormat="1" ht="14.25" x14ac:dyDescent="0.15">
      <c r="A197" s="164"/>
      <c r="B197" s="42" t="s">
        <v>2614</v>
      </c>
      <c r="C197" s="42" t="s">
        <v>1163</v>
      </c>
      <c r="E197" s="42" t="s">
        <v>1164</v>
      </c>
      <c r="G197" s="42">
        <v>0</v>
      </c>
      <c r="H197" s="42">
        <v>13</v>
      </c>
      <c r="I197" s="42" t="s">
        <v>296</v>
      </c>
      <c r="K197" s="42">
        <v>3</v>
      </c>
      <c r="L197" s="42">
        <v>1</v>
      </c>
      <c r="M197" s="42" t="s">
        <v>254</v>
      </c>
      <c r="N197" s="42" t="s">
        <v>396</v>
      </c>
      <c r="O197" s="42">
        <v>0</v>
      </c>
      <c r="P197" s="42" t="s">
        <v>2615</v>
      </c>
      <c r="Q197" s="42" t="s">
        <v>1165</v>
      </c>
      <c r="S197" s="42" t="s">
        <v>1166</v>
      </c>
      <c r="U197" s="42" t="s">
        <v>1167</v>
      </c>
      <c r="Y197" s="13" t="s">
        <v>3303</v>
      </c>
      <c r="Z197" s="13" t="s">
        <v>444</v>
      </c>
      <c r="AA197" s="13" t="s">
        <v>251</v>
      </c>
      <c r="AB197" s="13">
        <v>0.15</v>
      </c>
      <c r="AC197" s="13">
        <v>30</v>
      </c>
      <c r="AD197" s="42">
        <v>20</v>
      </c>
      <c r="AE197" s="42">
        <v>1</v>
      </c>
      <c r="AF197" s="13" t="s">
        <v>1169</v>
      </c>
      <c r="AH197" s="13" t="s">
        <v>399</v>
      </c>
      <c r="AI197" s="13">
        <v>800</v>
      </c>
      <c r="AJ197" s="13"/>
      <c r="AK197" s="42">
        <v>42507.630365054392</v>
      </c>
      <c r="AN197" s="42" t="s">
        <v>235</v>
      </c>
      <c r="AO197" s="42">
        <v>0</v>
      </c>
      <c r="AP197" s="42" t="s">
        <v>252</v>
      </c>
      <c r="AR197" s="42">
        <v>42507.630365054392</v>
      </c>
      <c r="AS197" s="42">
        <v>8279.6846237279988</v>
      </c>
      <c r="AT197" s="42">
        <v>94991.488675481145</v>
      </c>
      <c r="AU197" s="13">
        <v>1</v>
      </c>
      <c r="AV197" s="13">
        <v>1</v>
      </c>
      <c r="AW197" s="13">
        <v>0</v>
      </c>
      <c r="AX197" s="13">
        <v>0</v>
      </c>
      <c r="AY197" s="13">
        <v>0</v>
      </c>
      <c r="AZ197" s="13">
        <v>0</v>
      </c>
      <c r="BA197" s="13">
        <v>0</v>
      </c>
      <c r="BB197" s="13">
        <v>0</v>
      </c>
      <c r="BC197" s="13">
        <v>0</v>
      </c>
      <c r="BD197" s="13">
        <v>0</v>
      </c>
      <c r="BE197" s="13">
        <v>0</v>
      </c>
      <c r="BF197" s="13">
        <v>0</v>
      </c>
      <c r="BG197" s="13">
        <v>0</v>
      </c>
      <c r="BH197" s="13">
        <v>0</v>
      </c>
      <c r="BI197" s="13">
        <v>0</v>
      </c>
      <c r="BJ197" s="13">
        <v>0</v>
      </c>
      <c r="BK197" s="13">
        <v>0</v>
      </c>
      <c r="BL197" s="13">
        <v>0</v>
      </c>
      <c r="BM197" s="13">
        <v>0</v>
      </c>
      <c r="BN197" s="13">
        <v>0</v>
      </c>
      <c r="BO197" s="13">
        <v>0</v>
      </c>
      <c r="BP197" s="13">
        <v>1</v>
      </c>
      <c r="BQ197" s="11" t="s">
        <v>2337</v>
      </c>
      <c r="BR197" s="42">
        <v>17</v>
      </c>
    </row>
    <row r="198" spans="1:70" s="42" customFormat="1" ht="14.25" x14ac:dyDescent="0.15">
      <c r="A198" s="164"/>
      <c r="B198" s="42" t="s">
        <v>1946</v>
      </c>
      <c r="C198" s="42" t="s">
        <v>1157</v>
      </c>
      <c r="E198" s="42" t="s">
        <v>1158</v>
      </c>
      <c r="G198" s="42">
        <v>0</v>
      </c>
      <c r="H198" s="42">
        <v>14</v>
      </c>
      <c r="I198" s="42" t="s">
        <v>421</v>
      </c>
      <c r="K198" s="42">
        <v>3</v>
      </c>
      <c r="L198" s="42">
        <v>1</v>
      </c>
      <c r="M198" s="42" t="s">
        <v>254</v>
      </c>
      <c r="N198" s="42" t="s">
        <v>396</v>
      </c>
      <c r="O198" s="42">
        <v>0</v>
      </c>
      <c r="P198" s="42" t="s">
        <v>1947</v>
      </c>
      <c r="Q198" s="42" t="s">
        <v>1159</v>
      </c>
      <c r="S198" s="42" t="s">
        <v>1160</v>
      </c>
      <c r="U198" s="42" t="s">
        <v>1161</v>
      </c>
      <c r="Y198" s="42" t="s">
        <v>250</v>
      </c>
      <c r="Z198" s="42" t="s">
        <v>1162</v>
      </c>
      <c r="AA198" s="13" t="s">
        <v>251</v>
      </c>
      <c r="AB198" s="13">
        <v>0.15</v>
      </c>
      <c r="AC198" s="13">
        <v>0</v>
      </c>
      <c r="AD198" s="42">
        <v>20</v>
      </c>
      <c r="AE198" s="42">
        <v>1</v>
      </c>
      <c r="AF198" s="13" t="s">
        <v>1168</v>
      </c>
      <c r="AH198" s="13" t="s">
        <v>3184</v>
      </c>
      <c r="AI198" s="13">
        <v>1000</v>
      </c>
      <c r="AJ198" s="13"/>
      <c r="AK198" s="42">
        <v>35857.037145777125</v>
      </c>
      <c r="AN198" s="42" t="s">
        <v>235</v>
      </c>
      <c r="AO198" s="42">
        <v>0</v>
      </c>
      <c r="AP198" s="42" t="s">
        <v>252</v>
      </c>
      <c r="AR198" s="42">
        <v>35857.037145777125</v>
      </c>
      <c r="AS198" s="42">
        <v>10097.1763704</v>
      </c>
      <c r="AT198" s="42">
        <v>151009.12712893391</v>
      </c>
      <c r="AU198" s="13">
        <v>1</v>
      </c>
      <c r="AV198" s="13">
        <v>1</v>
      </c>
      <c r="AW198" s="13">
        <v>0</v>
      </c>
      <c r="AX198" s="13">
        <v>0</v>
      </c>
      <c r="AY198" s="13">
        <v>0</v>
      </c>
      <c r="AZ198" s="13">
        <v>0</v>
      </c>
      <c r="BA198" s="13">
        <v>0</v>
      </c>
      <c r="BB198" s="13">
        <v>0</v>
      </c>
      <c r="BC198" s="13">
        <v>0</v>
      </c>
      <c r="BD198" s="13">
        <v>0</v>
      </c>
      <c r="BE198" s="13">
        <v>0</v>
      </c>
      <c r="BF198" s="13">
        <v>0</v>
      </c>
      <c r="BG198" s="13">
        <v>0</v>
      </c>
      <c r="BH198" s="13">
        <v>0</v>
      </c>
      <c r="BI198" s="13">
        <v>0</v>
      </c>
      <c r="BJ198" s="13">
        <v>0</v>
      </c>
      <c r="BK198" s="13">
        <v>0</v>
      </c>
      <c r="BL198" s="13">
        <v>0</v>
      </c>
      <c r="BM198" s="13">
        <v>0</v>
      </c>
      <c r="BN198" s="13">
        <v>0</v>
      </c>
      <c r="BO198" s="13">
        <v>0</v>
      </c>
      <c r="BP198" s="13">
        <v>1</v>
      </c>
      <c r="BR198" s="42">
        <v>16</v>
      </c>
    </row>
    <row r="199" spans="1:70" s="42" customFormat="1" ht="14.25" x14ac:dyDescent="0.15">
      <c r="A199" s="164"/>
      <c r="B199" s="42" t="s">
        <v>1948</v>
      </c>
      <c r="C199" s="11" t="s">
        <v>2256</v>
      </c>
      <c r="E199" s="42" t="s">
        <v>2257</v>
      </c>
      <c r="G199" s="42">
        <v>0</v>
      </c>
      <c r="H199" s="42">
        <v>14</v>
      </c>
      <c r="I199" s="42" t="s">
        <v>401</v>
      </c>
      <c r="K199" s="42">
        <v>3</v>
      </c>
      <c r="L199" s="42">
        <v>1</v>
      </c>
      <c r="M199" s="42" t="s">
        <v>254</v>
      </c>
      <c r="N199" s="42" t="s">
        <v>396</v>
      </c>
      <c r="O199" s="42">
        <v>0</v>
      </c>
      <c r="P199" s="42" t="s">
        <v>1949</v>
      </c>
      <c r="Q199" s="42" t="s">
        <v>2258</v>
      </c>
      <c r="S199" s="42" t="s">
        <v>2338</v>
      </c>
      <c r="U199" s="42" t="s">
        <v>2259</v>
      </c>
      <c r="Y199" s="42" t="s">
        <v>250</v>
      </c>
      <c r="Z199" s="42" t="s">
        <v>2260</v>
      </c>
      <c r="AA199" s="13" t="s">
        <v>251</v>
      </c>
      <c r="AB199" s="13">
        <v>0.15</v>
      </c>
      <c r="AC199" s="13">
        <v>0</v>
      </c>
      <c r="AD199" s="42">
        <v>20</v>
      </c>
      <c r="AE199" s="42">
        <v>1</v>
      </c>
      <c r="AF199" s="13" t="s">
        <v>1950</v>
      </c>
      <c r="AH199" s="13" t="s">
        <v>3171</v>
      </c>
      <c r="AI199" s="13">
        <v>800</v>
      </c>
      <c r="AJ199" s="13"/>
      <c r="AK199" s="42">
        <v>38965.327834633208</v>
      </c>
      <c r="AN199" s="42" t="s">
        <v>235</v>
      </c>
      <c r="AO199" s="42">
        <v>0</v>
      </c>
      <c r="AP199" s="42" t="s">
        <v>252</v>
      </c>
      <c r="AR199" s="42">
        <v>38965.327834633208</v>
      </c>
      <c r="AS199" s="42">
        <v>10097.1763704</v>
      </c>
      <c r="AT199" s="42">
        <v>108370.57158752075</v>
      </c>
      <c r="AU199" s="13">
        <v>1</v>
      </c>
      <c r="AV199" s="13">
        <v>1</v>
      </c>
      <c r="AW199" s="13">
        <v>0</v>
      </c>
      <c r="AX199" s="13">
        <v>0</v>
      </c>
      <c r="AY199" s="13">
        <v>0</v>
      </c>
      <c r="AZ199" s="13">
        <v>0</v>
      </c>
      <c r="BA199" s="13">
        <v>0</v>
      </c>
      <c r="BB199" s="13">
        <v>0</v>
      </c>
      <c r="BC199" s="13">
        <v>0</v>
      </c>
      <c r="BD199" s="13">
        <v>0</v>
      </c>
      <c r="BE199" s="13">
        <v>0.4</v>
      </c>
      <c r="BF199" s="13">
        <v>0</v>
      </c>
      <c r="BG199" s="13">
        <v>0</v>
      </c>
      <c r="BH199" s="13">
        <v>0</v>
      </c>
      <c r="BI199" s="13">
        <v>0</v>
      </c>
      <c r="BJ199" s="13">
        <v>0</v>
      </c>
      <c r="BK199" s="13">
        <v>0</v>
      </c>
      <c r="BL199" s="13">
        <v>0</v>
      </c>
      <c r="BM199" s="13">
        <v>0</v>
      </c>
      <c r="BN199" s="13">
        <v>0</v>
      </c>
      <c r="BO199" s="13">
        <v>0</v>
      </c>
      <c r="BP199" s="13">
        <v>1</v>
      </c>
      <c r="BR199" s="42">
        <v>17</v>
      </c>
    </row>
    <row r="200" spans="1:70" s="42" customFormat="1" ht="14.25" x14ac:dyDescent="0.15">
      <c r="A200" s="164"/>
      <c r="B200" s="42" t="s">
        <v>1951</v>
      </c>
      <c r="C200" s="13" t="s">
        <v>881</v>
      </c>
      <c r="E200" s="42" t="s">
        <v>726</v>
      </c>
      <c r="G200" s="42">
        <v>0</v>
      </c>
      <c r="H200" s="42">
        <v>12</v>
      </c>
      <c r="I200" s="42" t="s">
        <v>400</v>
      </c>
      <c r="K200" s="42">
        <v>3</v>
      </c>
      <c r="L200" s="42">
        <v>1</v>
      </c>
      <c r="M200" s="42" t="s">
        <v>254</v>
      </c>
      <c r="N200" s="42" t="s">
        <v>396</v>
      </c>
      <c r="O200" s="42">
        <v>0</v>
      </c>
      <c r="P200" s="42" t="s">
        <v>1952</v>
      </c>
      <c r="Q200" s="42" t="s">
        <v>727</v>
      </c>
      <c r="S200" s="42" t="s">
        <v>728</v>
      </c>
      <c r="U200" s="42" t="s">
        <v>729</v>
      </c>
      <c r="Y200" s="42" t="s">
        <v>250</v>
      </c>
      <c r="Z200" s="42" t="s">
        <v>730</v>
      </c>
      <c r="AA200" s="13" t="s">
        <v>251</v>
      </c>
      <c r="AB200" s="13">
        <v>0.15</v>
      </c>
      <c r="AC200" s="13">
        <v>0</v>
      </c>
      <c r="AD200" s="42">
        <v>20</v>
      </c>
      <c r="AE200" s="42">
        <v>1</v>
      </c>
      <c r="AF200" s="13" t="s">
        <v>1009</v>
      </c>
      <c r="AH200" s="13" t="s">
        <v>399</v>
      </c>
      <c r="AI200" s="13">
        <v>0</v>
      </c>
      <c r="AJ200" s="13"/>
      <c r="AK200" s="42">
        <v>17329.986571464004</v>
      </c>
      <c r="AN200" s="42" t="s">
        <v>235</v>
      </c>
      <c r="AO200" s="42">
        <v>0</v>
      </c>
      <c r="AP200" s="42" t="s">
        <v>252</v>
      </c>
      <c r="AR200" s="42">
        <v>17329.986571464004</v>
      </c>
      <c r="AS200" s="42">
        <v>12922.738915967997</v>
      </c>
      <c r="AT200" s="42">
        <v>138207.2012884836</v>
      </c>
      <c r="AU200" s="13">
        <v>1</v>
      </c>
      <c r="AV200" s="13">
        <v>1</v>
      </c>
      <c r="AW200" s="13">
        <v>0</v>
      </c>
      <c r="AX200" s="13">
        <v>0</v>
      </c>
      <c r="AY200" s="13">
        <v>0</v>
      </c>
      <c r="AZ200" s="13">
        <v>0</v>
      </c>
      <c r="BA200" s="13">
        <v>0</v>
      </c>
      <c r="BB200" s="13">
        <v>0</v>
      </c>
      <c r="BC200" s="13">
        <v>0</v>
      </c>
      <c r="BD200" s="13">
        <v>0</v>
      </c>
      <c r="BE200" s="13">
        <v>0</v>
      </c>
      <c r="BF200" s="13">
        <v>0</v>
      </c>
      <c r="BG200" s="13">
        <v>0</v>
      </c>
      <c r="BH200" s="13">
        <v>0</v>
      </c>
      <c r="BI200" s="13">
        <v>0</v>
      </c>
      <c r="BJ200" s="13">
        <v>0</v>
      </c>
      <c r="BK200" s="13">
        <v>0</v>
      </c>
      <c r="BL200" s="13">
        <v>0</v>
      </c>
      <c r="BM200" s="13">
        <v>0</v>
      </c>
      <c r="BN200" s="13">
        <v>0</v>
      </c>
      <c r="BO200" s="13">
        <v>0</v>
      </c>
      <c r="BP200" s="13">
        <v>1</v>
      </c>
      <c r="BR200" s="42">
        <v>8</v>
      </c>
    </row>
    <row r="201" spans="1:70" s="42" customFormat="1" ht="14.25" x14ac:dyDescent="0.15">
      <c r="A201" s="164"/>
      <c r="B201" s="42" t="s">
        <v>1953</v>
      </c>
      <c r="C201" s="42" t="s">
        <v>2340</v>
      </c>
      <c r="E201" s="42" t="s">
        <v>2341</v>
      </c>
      <c r="G201" s="42">
        <v>0</v>
      </c>
      <c r="H201" s="42">
        <v>14</v>
      </c>
      <c r="I201" s="42" t="s">
        <v>401</v>
      </c>
      <c r="K201" s="42">
        <v>3</v>
      </c>
      <c r="L201" s="42">
        <v>1</v>
      </c>
      <c r="M201" s="42" t="s">
        <v>254</v>
      </c>
      <c r="N201" s="42" t="s">
        <v>396</v>
      </c>
      <c r="O201" s="42">
        <v>0</v>
      </c>
      <c r="P201" s="42" t="s">
        <v>1954</v>
      </c>
      <c r="Q201" s="42" t="s">
        <v>2342</v>
      </c>
      <c r="S201" s="42" t="s">
        <v>2343</v>
      </c>
      <c r="U201" s="42" t="s">
        <v>2344</v>
      </c>
      <c r="Y201" s="42" t="s">
        <v>250</v>
      </c>
      <c r="Z201" s="42" t="s">
        <v>2345</v>
      </c>
      <c r="AA201" s="13" t="s">
        <v>251</v>
      </c>
      <c r="AB201" s="13">
        <v>0.15</v>
      </c>
      <c r="AC201" s="13">
        <v>30</v>
      </c>
      <c r="AD201" s="42">
        <v>20</v>
      </c>
      <c r="AE201" s="42">
        <v>1</v>
      </c>
      <c r="AF201" s="13" t="s">
        <v>2346</v>
      </c>
      <c r="AH201" s="13" t="s">
        <v>399</v>
      </c>
      <c r="AI201" s="13">
        <v>1000</v>
      </c>
      <c r="AJ201" s="13"/>
      <c r="AK201" s="42">
        <v>40212.466352889613</v>
      </c>
      <c r="AN201" s="42" t="s">
        <v>235</v>
      </c>
      <c r="AO201" s="42">
        <v>0</v>
      </c>
      <c r="AP201" s="42" t="s">
        <v>252</v>
      </c>
      <c r="AR201" s="42">
        <v>40212.466352889613</v>
      </c>
      <c r="AS201" s="42">
        <v>10951.473657599998</v>
      </c>
      <c r="AT201" s="42">
        <v>110994.55445398319</v>
      </c>
      <c r="AU201" s="13">
        <v>1</v>
      </c>
      <c r="AV201" s="13">
        <v>1</v>
      </c>
      <c r="AW201" s="13">
        <v>0</v>
      </c>
      <c r="AX201" s="13">
        <v>0</v>
      </c>
      <c r="AY201" s="13">
        <v>0</v>
      </c>
      <c r="AZ201" s="13">
        <v>0</v>
      </c>
      <c r="BA201" s="13">
        <v>0</v>
      </c>
      <c r="BB201" s="13">
        <v>0</v>
      </c>
      <c r="BC201" s="13">
        <v>0</v>
      </c>
      <c r="BD201" s="13">
        <v>0</v>
      </c>
      <c r="BE201" s="13">
        <v>0</v>
      </c>
      <c r="BF201" s="13">
        <v>0</v>
      </c>
      <c r="BG201" s="13">
        <v>0</v>
      </c>
      <c r="BH201" s="13">
        <v>0</v>
      </c>
      <c r="BI201" s="13">
        <v>0</v>
      </c>
      <c r="BJ201" s="13">
        <v>0</v>
      </c>
      <c r="BK201" s="13">
        <v>0</v>
      </c>
      <c r="BL201" s="13">
        <v>0</v>
      </c>
      <c r="BM201" s="13">
        <v>0</v>
      </c>
      <c r="BN201" s="13">
        <v>0</v>
      </c>
      <c r="BO201" s="13">
        <v>0</v>
      </c>
      <c r="BP201" s="13">
        <v>1</v>
      </c>
      <c r="BR201" s="42">
        <v>16</v>
      </c>
    </row>
    <row r="202" spans="1:70" s="42" customFormat="1" ht="14.25" x14ac:dyDescent="0.15">
      <c r="A202" s="164"/>
      <c r="B202" s="42" t="s">
        <v>1955</v>
      </c>
      <c r="C202" s="11" t="s">
        <v>2340</v>
      </c>
      <c r="E202" s="42" t="s">
        <v>2341</v>
      </c>
      <c r="G202" s="42">
        <v>0</v>
      </c>
      <c r="H202" s="42">
        <v>14</v>
      </c>
      <c r="I202" s="42" t="s">
        <v>401</v>
      </c>
      <c r="K202" s="42">
        <v>3</v>
      </c>
      <c r="L202" s="42">
        <v>1</v>
      </c>
      <c r="M202" s="42" t="s">
        <v>254</v>
      </c>
      <c r="N202" s="42" t="s">
        <v>396</v>
      </c>
      <c r="O202" s="42">
        <v>0</v>
      </c>
      <c r="P202" s="42" t="s">
        <v>1956</v>
      </c>
      <c r="Q202" s="42" t="s">
        <v>2342</v>
      </c>
      <c r="S202" s="42" t="s">
        <v>2343</v>
      </c>
      <c r="U202" s="42" t="s">
        <v>2344</v>
      </c>
      <c r="Y202" s="42" t="s">
        <v>250</v>
      </c>
      <c r="Z202" s="42" t="s">
        <v>2345</v>
      </c>
      <c r="AA202" s="13" t="s">
        <v>251</v>
      </c>
      <c r="AB202" s="13">
        <v>0.15</v>
      </c>
      <c r="AC202" s="13">
        <v>0</v>
      </c>
      <c r="AD202" s="42">
        <v>20</v>
      </c>
      <c r="AE202" s="42">
        <v>1</v>
      </c>
      <c r="AF202" s="13" t="s">
        <v>2346</v>
      </c>
      <c r="AH202" s="13" t="s">
        <v>399</v>
      </c>
      <c r="AI202" s="13">
        <v>0</v>
      </c>
      <c r="AJ202" s="13"/>
      <c r="AK202" s="42">
        <v>40212.466352889613</v>
      </c>
      <c r="AN202" s="42" t="s">
        <v>235</v>
      </c>
      <c r="AO202" s="42">
        <v>0</v>
      </c>
      <c r="AP202" s="42" t="s">
        <v>252</v>
      </c>
      <c r="AR202" s="42">
        <v>40212.466352889613</v>
      </c>
      <c r="AS202" s="42">
        <v>10951.473657599998</v>
      </c>
      <c r="AT202" s="42">
        <v>110994.55445398319</v>
      </c>
      <c r="AU202" s="13">
        <v>1</v>
      </c>
      <c r="AV202" s="13">
        <v>1</v>
      </c>
      <c r="AW202" s="13">
        <v>0</v>
      </c>
      <c r="AX202" s="13">
        <v>0</v>
      </c>
      <c r="AY202" s="13">
        <v>0</v>
      </c>
      <c r="AZ202" s="13">
        <v>0</v>
      </c>
      <c r="BA202" s="13">
        <v>0</v>
      </c>
      <c r="BB202" s="13">
        <v>0</v>
      </c>
      <c r="BC202" s="13">
        <v>0</v>
      </c>
      <c r="BD202" s="13">
        <v>0</v>
      </c>
      <c r="BE202" s="13">
        <v>0</v>
      </c>
      <c r="BF202" s="13">
        <v>0</v>
      </c>
      <c r="BG202" s="13">
        <v>0</v>
      </c>
      <c r="BH202" s="13">
        <v>0</v>
      </c>
      <c r="BI202" s="13">
        <v>0</v>
      </c>
      <c r="BJ202" s="13">
        <v>0</v>
      </c>
      <c r="BK202" s="13">
        <v>0</v>
      </c>
      <c r="BL202" s="13">
        <v>0</v>
      </c>
      <c r="BM202" s="13">
        <v>0</v>
      </c>
      <c r="BN202" s="13">
        <v>0</v>
      </c>
      <c r="BO202" s="13">
        <v>0</v>
      </c>
      <c r="BP202" s="13">
        <v>1</v>
      </c>
      <c r="BR202" s="42">
        <v>16</v>
      </c>
    </row>
    <row r="203" spans="1:70" s="42" customFormat="1" ht="14.25" x14ac:dyDescent="0.15">
      <c r="A203" s="164"/>
      <c r="B203" s="42" t="s">
        <v>1957</v>
      </c>
      <c r="C203" s="42" t="s">
        <v>888</v>
      </c>
      <c r="E203" s="42" t="s">
        <v>889</v>
      </c>
      <c r="G203" s="42">
        <v>0</v>
      </c>
      <c r="H203" s="42">
        <v>13</v>
      </c>
      <c r="I203" s="42" t="s">
        <v>890</v>
      </c>
      <c r="K203" s="42">
        <v>3</v>
      </c>
      <c r="L203" s="42">
        <v>1</v>
      </c>
      <c r="M203" s="42" t="s">
        <v>254</v>
      </c>
      <c r="N203" s="42" t="s">
        <v>396</v>
      </c>
      <c r="O203" s="42">
        <v>0</v>
      </c>
      <c r="P203" s="42" t="s">
        <v>1958</v>
      </c>
      <c r="Q203" s="42" t="s">
        <v>891</v>
      </c>
      <c r="S203" s="42" t="s">
        <v>892</v>
      </c>
      <c r="U203" s="42" t="s">
        <v>893</v>
      </c>
      <c r="Y203" s="42" t="s">
        <v>250</v>
      </c>
      <c r="Z203" s="42" t="s">
        <v>894</v>
      </c>
      <c r="AA203" s="13" t="s">
        <v>251</v>
      </c>
      <c r="AB203" s="13">
        <v>0.15</v>
      </c>
      <c r="AC203" s="13">
        <v>30</v>
      </c>
      <c r="AD203" s="42">
        <v>20</v>
      </c>
      <c r="AE203" s="42">
        <v>1</v>
      </c>
      <c r="AF203" s="13" t="s">
        <v>1011</v>
      </c>
      <c r="AH203" s="13" t="s">
        <v>399</v>
      </c>
      <c r="AI203" s="13">
        <v>0</v>
      </c>
      <c r="AJ203" s="13"/>
      <c r="AK203" s="42">
        <v>36211.912238880002</v>
      </c>
      <c r="AN203" s="42" t="s">
        <v>235</v>
      </c>
      <c r="AO203" s="42">
        <v>0</v>
      </c>
      <c r="AP203" s="42" t="s">
        <v>252</v>
      </c>
      <c r="AR203" s="42">
        <v>36211.912238880002</v>
      </c>
      <c r="AS203" s="42">
        <v>10951.473657599998</v>
      </c>
      <c r="AT203" s="42">
        <v>136374.66670464</v>
      </c>
      <c r="AU203" s="13">
        <v>1</v>
      </c>
      <c r="AV203" s="13">
        <v>1</v>
      </c>
      <c r="AW203" s="13">
        <v>0</v>
      </c>
      <c r="AX203" s="13">
        <v>0</v>
      </c>
      <c r="AY203" s="13">
        <v>0</v>
      </c>
      <c r="AZ203" s="13">
        <v>0</v>
      </c>
      <c r="BA203" s="13">
        <v>0</v>
      </c>
      <c r="BB203" s="13">
        <v>0</v>
      </c>
      <c r="BC203" s="13">
        <v>0</v>
      </c>
      <c r="BD203" s="13">
        <v>0</v>
      </c>
      <c r="BE203" s="13">
        <v>0</v>
      </c>
      <c r="BF203" s="13">
        <v>0</v>
      </c>
      <c r="BG203" s="13">
        <v>0</v>
      </c>
      <c r="BH203" s="13">
        <v>0</v>
      </c>
      <c r="BI203" s="13">
        <v>0</v>
      </c>
      <c r="BJ203" s="13">
        <v>0</v>
      </c>
      <c r="BK203" s="13">
        <v>0</v>
      </c>
      <c r="BL203" s="13">
        <v>0</v>
      </c>
      <c r="BM203" s="13">
        <v>0</v>
      </c>
      <c r="BN203" s="13">
        <v>0</v>
      </c>
      <c r="BO203" s="13">
        <v>0</v>
      </c>
      <c r="BP203" s="13">
        <v>1</v>
      </c>
      <c r="BR203" s="42">
        <v>15</v>
      </c>
    </row>
    <row r="204" spans="1:70" s="42" customFormat="1" ht="14.25" x14ac:dyDescent="0.15">
      <c r="A204" s="164"/>
      <c r="B204" s="42" t="s">
        <v>1959</v>
      </c>
      <c r="C204" s="11" t="s">
        <v>888</v>
      </c>
      <c r="E204" s="42" t="s">
        <v>889</v>
      </c>
      <c r="G204" s="42">
        <v>0</v>
      </c>
      <c r="H204" s="42">
        <v>13</v>
      </c>
      <c r="I204" s="42" t="s">
        <v>890</v>
      </c>
      <c r="K204" s="42">
        <v>3</v>
      </c>
      <c r="L204" s="42">
        <v>1</v>
      </c>
      <c r="M204" s="42" t="s">
        <v>254</v>
      </c>
      <c r="N204" s="42" t="s">
        <v>396</v>
      </c>
      <c r="O204" s="42">
        <v>0</v>
      </c>
      <c r="P204" s="42" t="s">
        <v>1960</v>
      </c>
      <c r="Q204" s="42" t="s">
        <v>891</v>
      </c>
      <c r="S204" s="42" t="s">
        <v>892</v>
      </c>
      <c r="U204" s="42" t="s">
        <v>893</v>
      </c>
      <c r="Y204" s="42" t="s">
        <v>250</v>
      </c>
      <c r="Z204" s="42" t="s">
        <v>894</v>
      </c>
      <c r="AA204" s="13" t="s">
        <v>251</v>
      </c>
      <c r="AB204" s="13">
        <v>0.15</v>
      </c>
      <c r="AC204" s="13">
        <v>0</v>
      </c>
      <c r="AD204" s="42">
        <v>20</v>
      </c>
      <c r="AE204" s="42">
        <v>1</v>
      </c>
      <c r="AF204" s="13" t="s">
        <v>1011</v>
      </c>
      <c r="AH204" s="13" t="s">
        <v>399</v>
      </c>
      <c r="AI204" s="13">
        <v>0</v>
      </c>
      <c r="AJ204" s="13"/>
      <c r="AK204" s="42">
        <v>36211.912238880002</v>
      </c>
      <c r="AN204" s="42" t="s">
        <v>235</v>
      </c>
      <c r="AO204" s="42">
        <v>0</v>
      </c>
      <c r="AP204" s="42" t="s">
        <v>252</v>
      </c>
      <c r="AR204" s="42">
        <v>36211.912238880002</v>
      </c>
      <c r="AS204" s="42">
        <v>10951.473657599998</v>
      </c>
      <c r="AT204" s="42">
        <v>136374.66670464</v>
      </c>
      <c r="AU204" s="13">
        <v>1</v>
      </c>
      <c r="AV204" s="13">
        <v>1</v>
      </c>
      <c r="AW204" s="13">
        <v>0</v>
      </c>
      <c r="AX204" s="13">
        <v>0</v>
      </c>
      <c r="AY204" s="13">
        <v>0</v>
      </c>
      <c r="AZ204" s="13">
        <v>0</v>
      </c>
      <c r="BA204" s="13">
        <v>0</v>
      </c>
      <c r="BB204" s="13">
        <v>0</v>
      </c>
      <c r="BC204" s="13">
        <v>0</v>
      </c>
      <c r="BD204" s="13">
        <v>0</v>
      </c>
      <c r="BE204" s="13">
        <v>0</v>
      </c>
      <c r="BF204" s="13">
        <v>0</v>
      </c>
      <c r="BG204" s="13">
        <v>0</v>
      </c>
      <c r="BH204" s="13">
        <v>0</v>
      </c>
      <c r="BI204" s="13">
        <v>0</v>
      </c>
      <c r="BJ204" s="13">
        <v>0</v>
      </c>
      <c r="BK204" s="13">
        <v>0</v>
      </c>
      <c r="BL204" s="13">
        <v>0</v>
      </c>
      <c r="BM204" s="13">
        <v>0</v>
      </c>
      <c r="BN204" s="13">
        <v>0</v>
      </c>
      <c r="BO204" s="13">
        <v>0</v>
      </c>
      <c r="BP204" s="13">
        <v>1</v>
      </c>
      <c r="BR204" s="42">
        <v>15</v>
      </c>
    </row>
    <row r="205" spans="1:70" s="42" customFormat="1" ht="14.25" x14ac:dyDescent="0.15">
      <c r="A205" s="164"/>
      <c r="B205" s="42" t="s">
        <v>2616</v>
      </c>
      <c r="C205" s="42" t="s">
        <v>888</v>
      </c>
      <c r="E205" s="42" t="s">
        <v>889</v>
      </c>
      <c r="G205" s="42">
        <v>0</v>
      </c>
      <c r="H205" s="42">
        <v>13</v>
      </c>
      <c r="I205" s="42" t="s">
        <v>890</v>
      </c>
      <c r="K205" s="42">
        <v>3</v>
      </c>
      <c r="L205" s="42">
        <v>1</v>
      </c>
      <c r="M205" s="42" t="s">
        <v>254</v>
      </c>
      <c r="N205" s="42" t="s">
        <v>396</v>
      </c>
      <c r="O205" s="42">
        <v>0</v>
      </c>
      <c r="P205" s="42" t="s">
        <v>2617</v>
      </c>
      <c r="Q205" s="42" t="s">
        <v>891</v>
      </c>
      <c r="S205" s="42" t="s">
        <v>892</v>
      </c>
      <c r="U205" s="42" t="s">
        <v>893</v>
      </c>
      <c r="Y205" s="42" t="s">
        <v>250</v>
      </c>
      <c r="Z205" s="42" t="s">
        <v>894</v>
      </c>
      <c r="AA205" s="13" t="s">
        <v>251</v>
      </c>
      <c r="AB205" s="13">
        <v>0.15</v>
      </c>
      <c r="AC205" s="13">
        <v>0</v>
      </c>
      <c r="AD205" s="42">
        <v>20</v>
      </c>
      <c r="AE205" s="42">
        <v>1</v>
      </c>
      <c r="AF205" s="13" t="s">
        <v>1011</v>
      </c>
      <c r="AH205" s="13" t="s">
        <v>399</v>
      </c>
      <c r="AI205" s="13">
        <v>0</v>
      </c>
      <c r="AJ205" s="13"/>
      <c r="AK205" s="42">
        <v>36211.912238880002</v>
      </c>
      <c r="AN205" s="42" t="s">
        <v>235</v>
      </c>
      <c r="AO205" s="42">
        <v>0</v>
      </c>
      <c r="AP205" s="42" t="s">
        <v>252</v>
      </c>
      <c r="AR205" s="42">
        <v>36211.912238880002</v>
      </c>
      <c r="AS205" s="42">
        <v>10951.473657599998</v>
      </c>
      <c r="AT205" s="42">
        <v>136374.66670464</v>
      </c>
      <c r="AU205" s="13">
        <v>1</v>
      </c>
      <c r="AV205" s="13">
        <v>1</v>
      </c>
      <c r="AW205" s="13">
        <v>0</v>
      </c>
      <c r="AX205" s="13">
        <v>0</v>
      </c>
      <c r="AY205" s="13">
        <v>0</v>
      </c>
      <c r="AZ205" s="13">
        <v>0</v>
      </c>
      <c r="BA205" s="13">
        <v>0</v>
      </c>
      <c r="BB205" s="13">
        <v>0</v>
      </c>
      <c r="BC205" s="13">
        <v>0</v>
      </c>
      <c r="BD205" s="13">
        <v>0</v>
      </c>
      <c r="BE205" s="13">
        <v>0</v>
      </c>
      <c r="BF205" s="13">
        <v>0</v>
      </c>
      <c r="BG205" s="13">
        <v>0</v>
      </c>
      <c r="BH205" s="13">
        <v>0</v>
      </c>
      <c r="BI205" s="13">
        <v>0</v>
      </c>
      <c r="BJ205" s="13">
        <v>0</v>
      </c>
      <c r="BK205" s="13">
        <v>0</v>
      </c>
      <c r="BL205" s="13">
        <v>0</v>
      </c>
      <c r="BM205" s="13">
        <v>0</v>
      </c>
      <c r="BN205" s="13">
        <v>0</v>
      </c>
      <c r="BO205" s="13">
        <v>0</v>
      </c>
      <c r="BP205" s="13">
        <v>1</v>
      </c>
      <c r="BR205" s="42">
        <v>15</v>
      </c>
    </row>
    <row r="206" spans="1:70" s="42" customFormat="1" ht="14.25" x14ac:dyDescent="0.15">
      <c r="A206" s="164"/>
      <c r="B206" s="42" t="s">
        <v>2618</v>
      </c>
      <c r="C206" s="11" t="s">
        <v>956</v>
      </c>
      <c r="E206" s="42" t="s">
        <v>957</v>
      </c>
      <c r="G206" s="42">
        <v>0</v>
      </c>
      <c r="H206" s="42">
        <v>13</v>
      </c>
      <c r="I206" s="42" t="s">
        <v>401</v>
      </c>
      <c r="K206" s="42">
        <v>3</v>
      </c>
      <c r="L206" s="42">
        <v>1</v>
      </c>
      <c r="M206" s="42" t="s">
        <v>254</v>
      </c>
      <c r="N206" s="42" t="s">
        <v>396</v>
      </c>
      <c r="O206" s="42">
        <v>0</v>
      </c>
      <c r="P206" s="42" t="s">
        <v>2619</v>
      </c>
      <c r="Q206" s="42" t="s">
        <v>958</v>
      </c>
      <c r="S206" s="42" t="s">
        <v>959</v>
      </c>
      <c r="U206" s="42" t="s">
        <v>960</v>
      </c>
      <c r="Y206" s="42" t="s">
        <v>250</v>
      </c>
      <c r="Z206" s="42" t="s">
        <v>961</v>
      </c>
      <c r="AA206" s="13" t="s">
        <v>251</v>
      </c>
      <c r="AB206" s="13">
        <v>0.15</v>
      </c>
      <c r="AC206" s="13">
        <v>0</v>
      </c>
      <c r="AD206" s="42">
        <v>20</v>
      </c>
      <c r="AE206" s="42">
        <v>1</v>
      </c>
      <c r="AF206" s="13" t="s">
        <v>1025</v>
      </c>
      <c r="AH206" s="13" t="s">
        <v>399</v>
      </c>
      <c r="AI206" s="13">
        <v>0</v>
      </c>
      <c r="AJ206" s="13"/>
      <c r="AK206" s="42">
        <v>40212.466352889613</v>
      </c>
      <c r="AN206" s="42" t="s">
        <v>235</v>
      </c>
      <c r="AO206" s="42">
        <v>0</v>
      </c>
      <c r="AP206" s="42" t="s">
        <v>252</v>
      </c>
      <c r="AR206" s="42">
        <v>40212.466352889613</v>
      </c>
      <c r="AS206" s="42">
        <v>10951.473657599998</v>
      </c>
      <c r="AT206" s="42">
        <v>110994.55445398319</v>
      </c>
      <c r="AU206" s="13">
        <v>1</v>
      </c>
      <c r="AV206" s="13">
        <v>1</v>
      </c>
      <c r="AW206" s="13">
        <v>0</v>
      </c>
      <c r="AX206" s="13">
        <v>0</v>
      </c>
      <c r="AY206" s="13">
        <v>0</v>
      </c>
      <c r="AZ206" s="13">
        <v>0</v>
      </c>
      <c r="BA206" s="13">
        <v>0</v>
      </c>
      <c r="BB206" s="13">
        <v>0</v>
      </c>
      <c r="BC206" s="13">
        <v>0</v>
      </c>
      <c r="BD206" s="13">
        <v>0</v>
      </c>
      <c r="BE206" s="13">
        <v>0</v>
      </c>
      <c r="BF206" s="13">
        <v>0</v>
      </c>
      <c r="BG206" s="13">
        <v>0</v>
      </c>
      <c r="BH206" s="13">
        <v>0</v>
      </c>
      <c r="BI206" s="13">
        <v>0</v>
      </c>
      <c r="BJ206" s="13">
        <v>0</v>
      </c>
      <c r="BK206" s="13">
        <v>0</v>
      </c>
      <c r="BL206" s="13">
        <v>0</v>
      </c>
      <c r="BM206" s="13">
        <v>0</v>
      </c>
      <c r="BN206" s="13">
        <v>0</v>
      </c>
      <c r="BO206" s="13">
        <v>0</v>
      </c>
      <c r="BP206" s="13">
        <v>1</v>
      </c>
      <c r="BR206" s="42">
        <v>16</v>
      </c>
    </row>
    <row r="207" spans="1:70" s="42" customFormat="1" ht="14.25" x14ac:dyDescent="0.15">
      <c r="A207" s="164"/>
      <c r="B207" s="42" t="s">
        <v>1961</v>
      </c>
      <c r="C207" s="42" t="s">
        <v>956</v>
      </c>
      <c r="E207" s="42" t="s">
        <v>957</v>
      </c>
      <c r="G207" s="42">
        <v>0</v>
      </c>
      <c r="H207" s="42">
        <v>13</v>
      </c>
      <c r="I207" s="42" t="s">
        <v>401</v>
      </c>
      <c r="K207" s="42">
        <v>3</v>
      </c>
      <c r="L207" s="42">
        <v>1</v>
      </c>
      <c r="M207" s="42" t="s">
        <v>254</v>
      </c>
      <c r="N207" s="42" t="s">
        <v>396</v>
      </c>
      <c r="O207" s="42">
        <v>0</v>
      </c>
      <c r="P207" s="42" t="s">
        <v>1962</v>
      </c>
      <c r="Q207" s="42" t="s">
        <v>958</v>
      </c>
      <c r="S207" s="42" t="s">
        <v>959</v>
      </c>
      <c r="U207" s="42" t="s">
        <v>960</v>
      </c>
      <c r="Y207" s="42" t="s">
        <v>250</v>
      </c>
      <c r="Z207" s="42" t="s">
        <v>961</v>
      </c>
      <c r="AA207" s="13" t="s">
        <v>251</v>
      </c>
      <c r="AB207" s="13">
        <v>0.15</v>
      </c>
      <c r="AC207" s="13">
        <v>0</v>
      </c>
      <c r="AD207" s="42">
        <v>20</v>
      </c>
      <c r="AE207" s="42">
        <v>1</v>
      </c>
      <c r="AF207" s="13" t="s">
        <v>1025</v>
      </c>
      <c r="AH207" s="13" t="s">
        <v>399</v>
      </c>
      <c r="AI207" s="13">
        <v>0</v>
      </c>
      <c r="AJ207" s="13"/>
      <c r="AK207" s="42">
        <v>40212.466352889613</v>
      </c>
      <c r="AN207" s="42" t="s">
        <v>235</v>
      </c>
      <c r="AO207" s="42">
        <v>0</v>
      </c>
      <c r="AP207" s="42" t="s">
        <v>252</v>
      </c>
      <c r="AR207" s="42">
        <v>40212.466352889613</v>
      </c>
      <c r="AS207" s="42">
        <v>10951.473657599998</v>
      </c>
      <c r="AT207" s="42">
        <v>110994.55445398319</v>
      </c>
      <c r="AU207" s="13">
        <v>1</v>
      </c>
      <c r="AV207" s="13">
        <v>1</v>
      </c>
      <c r="AW207" s="13">
        <v>0</v>
      </c>
      <c r="AX207" s="13">
        <v>0</v>
      </c>
      <c r="AY207" s="13">
        <v>0</v>
      </c>
      <c r="AZ207" s="13">
        <v>0</v>
      </c>
      <c r="BA207" s="13">
        <v>0</v>
      </c>
      <c r="BB207" s="13">
        <v>0</v>
      </c>
      <c r="BC207" s="13">
        <v>0</v>
      </c>
      <c r="BD207" s="13">
        <v>0</v>
      </c>
      <c r="BE207" s="13">
        <v>0</v>
      </c>
      <c r="BF207" s="13">
        <v>0</v>
      </c>
      <c r="BG207" s="13">
        <v>0</v>
      </c>
      <c r="BH207" s="13">
        <v>0</v>
      </c>
      <c r="BI207" s="13">
        <v>0</v>
      </c>
      <c r="BJ207" s="13">
        <v>0</v>
      </c>
      <c r="BK207" s="13">
        <v>0</v>
      </c>
      <c r="BL207" s="13">
        <v>0</v>
      </c>
      <c r="BM207" s="13">
        <v>0</v>
      </c>
      <c r="BN207" s="13">
        <v>0</v>
      </c>
      <c r="BO207" s="13">
        <v>0</v>
      </c>
      <c r="BP207" s="13">
        <v>1</v>
      </c>
      <c r="BR207" s="42">
        <v>16</v>
      </c>
    </row>
    <row r="208" spans="1:70" s="42" customFormat="1" ht="14.25" x14ac:dyDescent="0.15">
      <c r="A208" s="164"/>
      <c r="B208" s="42" t="s">
        <v>1963</v>
      </c>
      <c r="C208" s="11" t="s">
        <v>2250</v>
      </c>
      <c r="E208" s="42" t="s">
        <v>2251</v>
      </c>
      <c r="G208" s="42">
        <v>1</v>
      </c>
      <c r="H208" s="42">
        <v>13</v>
      </c>
      <c r="I208" s="42" t="s">
        <v>296</v>
      </c>
      <c r="K208" s="42">
        <v>3</v>
      </c>
      <c r="L208" s="42">
        <v>1</v>
      </c>
      <c r="M208" s="42" t="s">
        <v>254</v>
      </c>
      <c r="N208" s="42" t="s">
        <v>396</v>
      </c>
      <c r="O208" s="42">
        <v>0</v>
      </c>
      <c r="P208" s="42" t="s">
        <v>1964</v>
      </c>
      <c r="Q208" s="42" t="s">
        <v>2252</v>
      </c>
      <c r="S208" s="42" t="s">
        <v>2301</v>
      </c>
      <c r="U208" s="42" t="s">
        <v>2253</v>
      </c>
      <c r="Y208" s="42" t="s">
        <v>250</v>
      </c>
      <c r="Z208" s="42" t="s">
        <v>2254</v>
      </c>
      <c r="AA208" s="13" t="s">
        <v>251</v>
      </c>
      <c r="AB208" s="13">
        <v>0.15</v>
      </c>
      <c r="AC208" s="13">
        <v>0</v>
      </c>
      <c r="AD208" s="42">
        <v>20</v>
      </c>
      <c r="AE208" s="42">
        <v>1</v>
      </c>
      <c r="AF208" s="13" t="s">
        <v>1965</v>
      </c>
      <c r="AH208" s="13" t="s">
        <v>3171</v>
      </c>
      <c r="AI208" s="13">
        <v>0</v>
      </c>
      <c r="AJ208" s="13"/>
      <c r="AK208" s="42">
        <v>27727.978514342401</v>
      </c>
      <c r="AN208" s="42" t="s">
        <v>235</v>
      </c>
      <c r="AO208" s="42">
        <v>0</v>
      </c>
      <c r="AP208" s="42" t="s">
        <v>252</v>
      </c>
      <c r="AR208" s="42">
        <v>27727.978514342401</v>
      </c>
      <c r="AS208" s="42">
        <v>8980.2083992319967</v>
      </c>
      <c r="AT208" s="42">
        <v>69593.697102711609</v>
      </c>
      <c r="AU208" s="13">
        <v>1</v>
      </c>
      <c r="AV208" s="13">
        <v>1</v>
      </c>
      <c r="AW208" s="13">
        <v>0</v>
      </c>
      <c r="AX208" s="13">
        <v>0</v>
      </c>
      <c r="AY208" s="13">
        <v>0</v>
      </c>
      <c r="AZ208" s="13">
        <v>0</v>
      </c>
      <c r="BA208" s="13">
        <v>0</v>
      </c>
      <c r="BB208" s="13">
        <v>0</v>
      </c>
      <c r="BC208" s="13">
        <v>0</v>
      </c>
      <c r="BD208" s="13">
        <v>0</v>
      </c>
      <c r="BE208" s="13">
        <v>0.2</v>
      </c>
      <c r="BF208" s="13">
        <v>0</v>
      </c>
      <c r="BG208" s="13">
        <v>0</v>
      </c>
      <c r="BH208" s="13">
        <v>0</v>
      </c>
      <c r="BI208" s="13">
        <v>0</v>
      </c>
      <c r="BJ208" s="13">
        <v>0</v>
      </c>
      <c r="BK208" s="13">
        <v>0</v>
      </c>
      <c r="BL208" s="13">
        <v>0</v>
      </c>
      <c r="BM208" s="13">
        <v>0</v>
      </c>
      <c r="BN208" s="13">
        <v>0</v>
      </c>
      <c r="BO208" s="13">
        <v>0</v>
      </c>
      <c r="BP208" s="13">
        <v>1</v>
      </c>
      <c r="BR208" s="42">
        <v>8</v>
      </c>
    </row>
    <row r="209" spans="1:70" s="42" customFormat="1" ht="14.25" x14ac:dyDescent="0.15">
      <c r="A209" s="164"/>
      <c r="B209" s="42" t="s">
        <v>2620</v>
      </c>
      <c r="C209" s="42" t="s">
        <v>975</v>
      </c>
      <c r="E209" s="42" t="s">
        <v>976</v>
      </c>
      <c r="G209" s="42">
        <v>0</v>
      </c>
      <c r="H209" s="42">
        <v>12</v>
      </c>
      <c r="I209" s="42" t="s">
        <v>296</v>
      </c>
      <c r="K209" s="42">
        <v>3</v>
      </c>
      <c r="L209" s="42">
        <v>1</v>
      </c>
      <c r="M209" s="42" t="s">
        <v>254</v>
      </c>
      <c r="N209" s="42" t="s">
        <v>396</v>
      </c>
      <c r="O209" s="42">
        <v>0</v>
      </c>
      <c r="P209" s="42" t="s">
        <v>2621</v>
      </c>
      <c r="Q209" s="42" t="s">
        <v>977</v>
      </c>
      <c r="S209" s="42" t="s">
        <v>978</v>
      </c>
      <c r="U209" s="42" t="s">
        <v>979</v>
      </c>
      <c r="Y209" s="42" t="s">
        <v>250</v>
      </c>
      <c r="Z209" s="42" t="s">
        <v>980</v>
      </c>
      <c r="AA209" s="13" t="s">
        <v>251</v>
      </c>
      <c r="AB209" s="13">
        <v>0.15</v>
      </c>
      <c r="AC209" s="13">
        <v>0</v>
      </c>
      <c r="AD209" s="42">
        <v>20</v>
      </c>
      <c r="AE209" s="42">
        <v>1</v>
      </c>
      <c r="AF209" s="13" t="s">
        <v>1029</v>
      </c>
      <c r="AH209" s="13" t="s">
        <v>399</v>
      </c>
      <c r="AI209" s="11">
        <v>680</v>
      </c>
      <c r="AJ209" s="13"/>
      <c r="AK209" s="42">
        <v>38389.320461923184</v>
      </c>
      <c r="AN209" s="42" t="s">
        <v>235</v>
      </c>
      <c r="AO209" s="42">
        <v>0</v>
      </c>
      <c r="AP209" s="42" t="s">
        <v>252</v>
      </c>
      <c r="AR209" s="42">
        <v>38389.320461923184</v>
      </c>
      <c r="AS209" s="42">
        <v>10443.149617151999</v>
      </c>
      <c r="AT209" s="42">
        <v>92777.613794923658</v>
      </c>
      <c r="AU209" s="13">
        <v>1</v>
      </c>
      <c r="AV209" s="13">
        <v>1</v>
      </c>
      <c r="AW209" s="13">
        <v>0</v>
      </c>
      <c r="AX209" s="13">
        <v>0</v>
      </c>
      <c r="AY209" s="13">
        <v>0</v>
      </c>
      <c r="AZ209" s="13">
        <v>0</v>
      </c>
      <c r="BA209" s="13">
        <v>0</v>
      </c>
      <c r="BB209" s="13">
        <v>0</v>
      </c>
      <c r="BC209" s="13">
        <v>0</v>
      </c>
      <c r="BD209" s="13">
        <v>0</v>
      </c>
      <c r="BE209" s="13">
        <v>0.2</v>
      </c>
      <c r="BF209" s="13">
        <v>0</v>
      </c>
      <c r="BG209" s="13">
        <v>0</v>
      </c>
      <c r="BH209" s="13">
        <v>0</v>
      </c>
      <c r="BI209" s="13">
        <v>0</v>
      </c>
      <c r="BJ209" s="13">
        <v>0</v>
      </c>
      <c r="BK209" s="13">
        <v>0</v>
      </c>
      <c r="BL209" s="13">
        <v>0</v>
      </c>
      <c r="BM209" s="13">
        <v>0</v>
      </c>
      <c r="BN209" s="13">
        <v>0</v>
      </c>
      <c r="BO209" s="13">
        <v>0</v>
      </c>
      <c r="BP209" s="13">
        <v>1</v>
      </c>
      <c r="BR209" s="42">
        <v>10</v>
      </c>
    </row>
    <row r="210" spans="1:70" s="42" customFormat="1" ht="14.25" x14ac:dyDescent="0.15">
      <c r="A210" s="164"/>
      <c r="B210" s="42" t="s">
        <v>1966</v>
      </c>
      <c r="C210" s="42" t="s">
        <v>981</v>
      </c>
      <c r="E210" s="42" t="s">
        <v>810</v>
      </c>
      <c r="G210" s="42">
        <v>0</v>
      </c>
      <c r="H210" s="42">
        <v>12</v>
      </c>
      <c r="I210" s="42" t="s">
        <v>400</v>
      </c>
      <c r="K210" s="42">
        <v>3</v>
      </c>
      <c r="L210" s="42">
        <v>1</v>
      </c>
      <c r="M210" s="42" t="s">
        <v>254</v>
      </c>
      <c r="N210" s="42" t="s">
        <v>396</v>
      </c>
      <c r="O210" s="42">
        <v>0</v>
      </c>
      <c r="P210" s="42" t="s">
        <v>1967</v>
      </c>
      <c r="Q210" s="42" t="s">
        <v>811</v>
      </c>
      <c r="S210" s="42" t="s">
        <v>812</v>
      </c>
      <c r="U210" s="42" t="s">
        <v>813</v>
      </c>
      <c r="Y210" s="42" t="s">
        <v>250</v>
      </c>
      <c r="Z210" s="42" t="s">
        <v>814</v>
      </c>
      <c r="AA210" s="13" t="s">
        <v>251</v>
      </c>
      <c r="AB210" s="13">
        <v>0.15</v>
      </c>
      <c r="AC210" s="13">
        <v>0</v>
      </c>
      <c r="AD210" s="42">
        <v>20</v>
      </c>
      <c r="AE210" s="42">
        <v>1</v>
      </c>
      <c r="AF210" s="13" t="s">
        <v>1030</v>
      </c>
      <c r="AH210" s="13" t="s">
        <v>399</v>
      </c>
      <c r="AI210" s="11">
        <v>0</v>
      </c>
      <c r="AJ210" s="13"/>
      <c r="AK210" s="42">
        <v>25290.261790793993</v>
      </c>
      <c r="AN210" s="42" t="s">
        <v>235</v>
      </c>
      <c r="AO210" s="42">
        <v>0</v>
      </c>
      <c r="AP210" s="42" t="s">
        <v>252</v>
      </c>
      <c r="AR210" s="42">
        <v>25290.261790793993</v>
      </c>
      <c r="AS210" s="42">
        <v>15027.947010047999</v>
      </c>
      <c r="AT210" s="42">
        <v>189463.08084163989</v>
      </c>
      <c r="AU210" s="13">
        <v>1</v>
      </c>
      <c r="AV210" s="13">
        <v>1</v>
      </c>
      <c r="AW210" s="13">
        <v>0</v>
      </c>
      <c r="AX210" s="13">
        <v>0</v>
      </c>
      <c r="AY210" s="13">
        <v>0</v>
      </c>
      <c r="AZ210" s="13">
        <v>0</v>
      </c>
      <c r="BA210" s="13">
        <v>0</v>
      </c>
      <c r="BB210" s="13">
        <v>0</v>
      </c>
      <c r="BC210" s="13">
        <v>0</v>
      </c>
      <c r="BD210" s="13">
        <v>0</v>
      </c>
      <c r="BE210" s="13">
        <v>0.2</v>
      </c>
      <c r="BF210" s="13">
        <v>0</v>
      </c>
      <c r="BG210" s="13">
        <v>0</v>
      </c>
      <c r="BH210" s="13">
        <v>0</v>
      </c>
      <c r="BI210" s="13">
        <v>0</v>
      </c>
      <c r="BJ210" s="13">
        <v>0</v>
      </c>
      <c r="BK210" s="13">
        <v>0</v>
      </c>
      <c r="BL210" s="13">
        <v>0</v>
      </c>
      <c r="BM210" s="13">
        <v>0</v>
      </c>
      <c r="BN210" s="13">
        <v>0</v>
      </c>
      <c r="BO210" s="13">
        <v>0</v>
      </c>
      <c r="BP210" s="13">
        <v>1</v>
      </c>
      <c r="BR210" s="42">
        <v>11</v>
      </c>
    </row>
    <row r="211" spans="1:70" s="42" customFormat="1" ht="14.25" x14ac:dyDescent="0.15">
      <c r="A211" s="164"/>
      <c r="B211" s="42" t="s">
        <v>2622</v>
      </c>
      <c r="C211" s="42" t="s">
        <v>975</v>
      </c>
      <c r="E211" s="42" t="s">
        <v>976</v>
      </c>
      <c r="G211" s="42">
        <v>0</v>
      </c>
      <c r="H211" s="42">
        <v>12</v>
      </c>
      <c r="I211" s="42" t="s">
        <v>296</v>
      </c>
      <c r="K211" s="42">
        <v>3</v>
      </c>
      <c r="L211" s="42">
        <v>1</v>
      </c>
      <c r="M211" s="42" t="s">
        <v>254</v>
      </c>
      <c r="N211" s="42" t="s">
        <v>396</v>
      </c>
      <c r="O211" s="42">
        <v>0</v>
      </c>
      <c r="P211" s="42" t="s">
        <v>2623</v>
      </c>
      <c r="Q211" s="42" t="s">
        <v>977</v>
      </c>
      <c r="S211" s="42" t="s">
        <v>978</v>
      </c>
      <c r="U211" s="42" t="s">
        <v>979</v>
      </c>
      <c r="Y211" s="11" t="s">
        <v>250</v>
      </c>
      <c r="Z211" s="11" t="s">
        <v>980</v>
      </c>
      <c r="AA211" s="13" t="s">
        <v>251</v>
      </c>
      <c r="AB211" s="13">
        <v>0.15</v>
      </c>
      <c r="AC211" s="13">
        <v>0</v>
      </c>
      <c r="AD211" s="42">
        <v>20</v>
      </c>
      <c r="AE211" s="42">
        <v>1</v>
      </c>
      <c r="AF211" s="13" t="s">
        <v>1029</v>
      </c>
      <c r="AH211" s="13" t="s">
        <v>399</v>
      </c>
      <c r="AI211" s="11">
        <v>800</v>
      </c>
      <c r="AJ211" s="13"/>
      <c r="AK211" s="42">
        <v>38389.320461923184</v>
      </c>
      <c r="AN211" s="42" t="s">
        <v>235</v>
      </c>
      <c r="AO211" s="42">
        <v>0</v>
      </c>
      <c r="AP211" s="42" t="s">
        <v>252</v>
      </c>
      <c r="AR211" s="42">
        <v>38389.320461923184</v>
      </c>
      <c r="AS211" s="42">
        <v>10443.149617151999</v>
      </c>
      <c r="AT211" s="42">
        <v>92777.613794923658</v>
      </c>
      <c r="AU211" s="13">
        <v>1</v>
      </c>
      <c r="AV211" s="13">
        <v>1</v>
      </c>
      <c r="AW211" s="13">
        <v>0</v>
      </c>
      <c r="AX211" s="13">
        <v>0</v>
      </c>
      <c r="AY211" s="13">
        <v>0</v>
      </c>
      <c r="AZ211" s="13">
        <v>0</v>
      </c>
      <c r="BA211" s="13">
        <v>0</v>
      </c>
      <c r="BB211" s="13">
        <v>0</v>
      </c>
      <c r="BC211" s="13">
        <v>0</v>
      </c>
      <c r="BD211" s="13">
        <v>0</v>
      </c>
      <c r="BE211" s="13">
        <v>0.2</v>
      </c>
      <c r="BF211" s="13">
        <v>0</v>
      </c>
      <c r="BG211" s="13">
        <v>0</v>
      </c>
      <c r="BH211" s="13">
        <v>0</v>
      </c>
      <c r="BI211" s="13">
        <v>0</v>
      </c>
      <c r="BJ211" s="13">
        <v>0</v>
      </c>
      <c r="BK211" s="13">
        <v>0</v>
      </c>
      <c r="BL211" s="13">
        <v>0</v>
      </c>
      <c r="BM211" s="13">
        <v>0</v>
      </c>
      <c r="BN211" s="13">
        <v>0</v>
      </c>
      <c r="BO211" s="13">
        <v>0</v>
      </c>
      <c r="BP211" s="13">
        <v>1</v>
      </c>
      <c r="BR211" s="42">
        <v>10</v>
      </c>
    </row>
    <row r="212" spans="1:70" s="42" customFormat="1" ht="14.25" x14ac:dyDescent="0.15">
      <c r="A212" s="164"/>
      <c r="B212" s="42" t="s">
        <v>1968</v>
      </c>
      <c r="C212" s="42" t="s">
        <v>969</v>
      </c>
      <c r="E212" s="42" t="s">
        <v>970</v>
      </c>
      <c r="G212" s="42">
        <v>0</v>
      </c>
      <c r="H212" s="42">
        <v>13</v>
      </c>
      <c r="I212" s="42" t="s">
        <v>296</v>
      </c>
      <c r="K212" s="42">
        <v>3</v>
      </c>
      <c r="L212" s="42">
        <v>1</v>
      </c>
      <c r="M212" s="42" t="s">
        <v>254</v>
      </c>
      <c r="N212" s="42" t="s">
        <v>396</v>
      </c>
      <c r="O212" s="42">
        <v>0</v>
      </c>
      <c r="P212" s="42" t="s">
        <v>1969</v>
      </c>
      <c r="Q212" s="42" t="s">
        <v>971</v>
      </c>
      <c r="S212" s="42" t="s">
        <v>972</v>
      </c>
      <c r="U212" s="42" t="s">
        <v>973</v>
      </c>
      <c r="Y212" s="11" t="s">
        <v>974</v>
      </c>
      <c r="Z212" s="11" t="s">
        <v>235</v>
      </c>
      <c r="AA212" s="13" t="s">
        <v>251</v>
      </c>
      <c r="AB212" s="13">
        <v>0.15</v>
      </c>
      <c r="AC212" s="13">
        <v>0</v>
      </c>
      <c r="AD212" s="42">
        <v>20</v>
      </c>
      <c r="AE212" s="42">
        <v>1</v>
      </c>
      <c r="AF212" s="13" t="s">
        <v>1028</v>
      </c>
      <c r="AH212" s="13" t="s">
        <v>399</v>
      </c>
      <c r="AI212" s="11">
        <v>680</v>
      </c>
      <c r="AJ212" s="13"/>
      <c r="AK212" s="42">
        <v>34763.435749324803</v>
      </c>
      <c r="AN212" s="42" t="s">
        <v>235</v>
      </c>
      <c r="AO212" s="42">
        <v>0</v>
      </c>
      <c r="AP212" s="42" t="s">
        <v>252</v>
      </c>
      <c r="AR212" s="42">
        <v>34763.435749324803</v>
      </c>
      <c r="AS212" s="42">
        <v>8980.2083992319967</v>
      </c>
      <c r="AT212" s="42">
        <v>80300.419733898001</v>
      </c>
      <c r="AU212" s="13">
        <v>1</v>
      </c>
      <c r="AV212" s="13">
        <v>1</v>
      </c>
      <c r="AW212" s="13">
        <v>0</v>
      </c>
      <c r="AX212" s="13">
        <v>0</v>
      </c>
      <c r="AY212" s="13">
        <v>0</v>
      </c>
      <c r="AZ212" s="13">
        <v>0</v>
      </c>
      <c r="BA212" s="13">
        <v>0</v>
      </c>
      <c r="BB212" s="13">
        <v>0</v>
      </c>
      <c r="BC212" s="13">
        <v>0</v>
      </c>
      <c r="BD212" s="13">
        <v>0</v>
      </c>
      <c r="BE212" s="13">
        <v>0.2</v>
      </c>
      <c r="BF212" s="13">
        <v>0</v>
      </c>
      <c r="BG212" s="13">
        <v>0</v>
      </c>
      <c r="BH212" s="13">
        <v>0</v>
      </c>
      <c r="BI212" s="13">
        <v>0</v>
      </c>
      <c r="BJ212" s="13">
        <v>0</v>
      </c>
      <c r="BK212" s="13">
        <v>0</v>
      </c>
      <c r="BL212" s="13">
        <v>0</v>
      </c>
      <c r="BM212" s="13">
        <v>0</v>
      </c>
      <c r="BN212" s="13">
        <v>0</v>
      </c>
      <c r="BO212" s="13">
        <v>0</v>
      </c>
      <c r="BP212" s="13">
        <v>1</v>
      </c>
      <c r="BR212" s="42">
        <v>12</v>
      </c>
    </row>
    <row r="213" spans="1:70" s="42" customFormat="1" ht="14.25" x14ac:dyDescent="0.15">
      <c r="A213" s="164"/>
      <c r="B213" s="42" t="s">
        <v>2624</v>
      </c>
      <c r="C213" s="42" t="s">
        <v>2370</v>
      </c>
      <c r="E213" s="42" t="s">
        <v>2371</v>
      </c>
      <c r="G213" s="42">
        <v>0</v>
      </c>
      <c r="H213" s="42">
        <v>14</v>
      </c>
      <c r="I213" s="42" t="s">
        <v>296</v>
      </c>
      <c r="K213" s="42">
        <v>3</v>
      </c>
      <c r="L213" s="42">
        <v>1</v>
      </c>
      <c r="M213" s="42" t="s">
        <v>254</v>
      </c>
      <c r="N213" s="42" t="s">
        <v>396</v>
      </c>
      <c r="O213" s="42">
        <v>0</v>
      </c>
      <c r="P213" s="42" t="s">
        <v>2625</v>
      </c>
      <c r="Q213" s="42" t="s">
        <v>2373</v>
      </c>
      <c r="S213" s="42" t="s">
        <v>2374</v>
      </c>
      <c r="U213" s="42" t="s">
        <v>2375</v>
      </c>
      <c r="Y213" s="42" t="s">
        <v>250</v>
      </c>
      <c r="Z213" s="42" t="s">
        <v>2376</v>
      </c>
      <c r="AA213" s="13" t="s">
        <v>251</v>
      </c>
      <c r="AB213" s="13">
        <v>0.15</v>
      </c>
      <c r="AC213" s="13">
        <v>0</v>
      </c>
      <c r="AD213" s="42">
        <v>20</v>
      </c>
      <c r="AE213" s="42">
        <v>1</v>
      </c>
      <c r="AF213" s="13" t="s">
        <v>2377</v>
      </c>
      <c r="AH213" s="13" t="s">
        <v>399</v>
      </c>
      <c r="AI213" s="11">
        <v>800</v>
      </c>
      <c r="AJ213" s="13"/>
      <c r="AK213" s="42">
        <v>43577.066470291182</v>
      </c>
      <c r="AN213" s="42" t="s">
        <v>235</v>
      </c>
      <c r="AO213" s="42">
        <v>0</v>
      </c>
      <c r="AP213" s="42" t="s">
        <v>252</v>
      </c>
      <c r="AR213" s="42">
        <v>43577.066470291182</v>
      </c>
      <c r="AS213" s="42">
        <v>10443.149617151999</v>
      </c>
      <c r="AT213" s="42">
        <v>100654.95836241718</v>
      </c>
      <c r="AU213" s="13">
        <v>1</v>
      </c>
      <c r="AV213" s="13">
        <v>1</v>
      </c>
      <c r="AW213" s="13">
        <v>0</v>
      </c>
      <c r="AX213" s="13">
        <v>0</v>
      </c>
      <c r="AY213" s="13">
        <v>0</v>
      </c>
      <c r="AZ213" s="13">
        <v>0</v>
      </c>
      <c r="BA213" s="13">
        <v>0</v>
      </c>
      <c r="BB213" s="13">
        <v>0</v>
      </c>
      <c r="BC213" s="13">
        <v>0</v>
      </c>
      <c r="BD213" s="13">
        <v>0</v>
      </c>
      <c r="BE213" s="13">
        <v>0.2</v>
      </c>
      <c r="BF213" s="13">
        <v>0</v>
      </c>
      <c r="BG213" s="13">
        <v>0</v>
      </c>
      <c r="BH213" s="13">
        <v>0</v>
      </c>
      <c r="BI213" s="13">
        <v>0</v>
      </c>
      <c r="BJ213" s="13">
        <v>0</v>
      </c>
      <c r="BK213" s="13">
        <v>0</v>
      </c>
      <c r="BL213" s="13">
        <v>0</v>
      </c>
      <c r="BM213" s="13">
        <v>0</v>
      </c>
      <c r="BN213" s="13">
        <v>0</v>
      </c>
      <c r="BO213" s="13">
        <v>0</v>
      </c>
      <c r="BP213" s="13">
        <v>1</v>
      </c>
      <c r="BR213" s="42">
        <v>10</v>
      </c>
    </row>
    <row r="214" spans="1:70" s="42" customFormat="1" ht="14.25" x14ac:dyDescent="0.15">
      <c r="A214" s="164"/>
      <c r="B214" s="42" t="s">
        <v>1970</v>
      </c>
      <c r="C214" s="42" t="s">
        <v>2370</v>
      </c>
      <c r="E214" s="42" t="s">
        <v>2371</v>
      </c>
      <c r="G214" s="42">
        <v>0</v>
      </c>
      <c r="H214" s="42">
        <v>14</v>
      </c>
      <c r="I214" s="42" t="s">
        <v>296</v>
      </c>
      <c r="K214" s="42">
        <v>3</v>
      </c>
      <c r="L214" s="42">
        <v>1</v>
      </c>
      <c r="M214" s="42" t="s">
        <v>254</v>
      </c>
      <c r="N214" s="42" t="s">
        <v>396</v>
      </c>
      <c r="O214" s="42">
        <v>0</v>
      </c>
      <c r="P214" s="42" t="s">
        <v>1971</v>
      </c>
      <c r="Q214" s="42" t="s">
        <v>2373</v>
      </c>
      <c r="S214" s="42" t="s">
        <v>2374</v>
      </c>
      <c r="U214" s="42" t="s">
        <v>2375</v>
      </c>
      <c r="Y214" s="42" t="s">
        <v>250</v>
      </c>
      <c r="Z214" s="42" t="s">
        <v>2376</v>
      </c>
      <c r="AA214" s="13" t="s">
        <v>251</v>
      </c>
      <c r="AB214" s="13">
        <v>0.15</v>
      </c>
      <c r="AC214" s="13">
        <v>30</v>
      </c>
      <c r="AD214" s="42">
        <v>20</v>
      </c>
      <c r="AE214" s="42">
        <v>1</v>
      </c>
      <c r="AF214" s="13" t="s">
        <v>2377</v>
      </c>
      <c r="AH214" s="13" t="s">
        <v>399</v>
      </c>
      <c r="AI214" s="11">
        <v>800</v>
      </c>
      <c r="AJ214" s="13"/>
      <c r="AK214" s="42">
        <v>34763.435749324803</v>
      </c>
      <c r="AN214" s="42" t="s">
        <v>235</v>
      </c>
      <c r="AO214" s="42">
        <v>0</v>
      </c>
      <c r="AP214" s="42" t="s">
        <v>252</v>
      </c>
      <c r="AR214" s="42">
        <v>34763.435749324803</v>
      </c>
      <c r="AS214" s="42">
        <v>8980.2083992319967</v>
      </c>
      <c r="AT214" s="42">
        <v>80300.419733898001</v>
      </c>
      <c r="AU214" s="13">
        <v>1</v>
      </c>
      <c r="AV214" s="13">
        <v>1</v>
      </c>
      <c r="AW214" s="13">
        <v>0</v>
      </c>
      <c r="AX214" s="13">
        <v>0</v>
      </c>
      <c r="AY214" s="13">
        <v>0</v>
      </c>
      <c r="AZ214" s="13">
        <v>0</v>
      </c>
      <c r="BA214" s="13">
        <v>0</v>
      </c>
      <c r="BB214" s="13">
        <v>0</v>
      </c>
      <c r="BC214" s="13">
        <v>0</v>
      </c>
      <c r="BD214" s="13">
        <v>0</v>
      </c>
      <c r="BE214" s="13">
        <v>0.2</v>
      </c>
      <c r="BF214" s="13">
        <v>0</v>
      </c>
      <c r="BG214" s="13">
        <v>0</v>
      </c>
      <c r="BH214" s="13">
        <v>0</v>
      </c>
      <c r="BI214" s="13">
        <v>0</v>
      </c>
      <c r="BJ214" s="13">
        <v>0</v>
      </c>
      <c r="BK214" s="13">
        <v>0</v>
      </c>
      <c r="BL214" s="13">
        <v>0</v>
      </c>
      <c r="BM214" s="13">
        <v>0</v>
      </c>
      <c r="BN214" s="13">
        <v>0</v>
      </c>
      <c r="BO214" s="13">
        <v>0</v>
      </c>
      <c r="BP214" s="13">
        <v>1</v>
      </c>
      <c r="BR214" s="42">
        <v>10</v>
      </c>
    </row>
    <row r="215" spans="1:70" s="42" customFormat="1" ht="14.25" x14ac:dyDescent="0.15">
      <c r="A215" s="164"/>
      <c r="B215" s="42" t="s">
        <v>2626</v>
      </c>
      <c r="C215" s="13" t="s">
        <v>924</v>
      </c>
      <c r="E215" s="42" t="s">
        <v>925</v>
      </c>
      <c r="G215" s="42">
        <v>0</v>
      </c>
      <c r="H215" s="42">
        <v>13</v>
      </c>
      <c r="I215" s="42" t="s">
        <v>296</v>
      </c>
      <c r="K215" s="42">
        <v>3</v>
      </c>
      <c r="L215" s="42">
        <v>1</v>
      </c>
      <c r="M215" s="42" t="s">
        <v>254</v>
      </c>
      <c r="N215" s="42" t="s">
        <v>396</v>
      </c>
      <c r="O215" s="42">
        <v>0</v>
      </c>
      <c r="P215" s="42" t="s">
        <v>2627</v>
      </c>
      <c r="Q215" s="42" t="s">
        <v>926</v>
      </c>
      <c r="S215" s="42" t="s">
        <v>927</v>
      </c>
      <c r="U215" s="42" t="s">
        <v>928</v>
      </c>
      <c r="Y215" s="42" t="s">
        <v>250</v>
      </c>
      <c r="Z215" s="42" t="s">
        <v>929</v>
      </c>
      <c r="AA215" s="13" t="s">
        <v>251</v>
      </c>
      <c r="AB215" s="13">
        <v>0.15</v>
      </c>
      <c r="AC215" s="13">
        <v>0</v>
      </c>
      <c r="AD215" s="42">
        <v>20</v>
      </c>
      <c r="AE215" s="42">
        <v>1</v>
      </c>
      <c r="AF215" s="13" t="s">
        <v>1018</v>
      </c>
      <c r="AH215" s="13" t="s">
        <v>399</v>
      </c>
      <c r="AI215" s="11">
        <v>0</v>
      </c>
      <c r="AJ215" s="13"/>
      <c r="AK215" s="42">
        <v>43868.145112243204</v>
      </c>
      <c r="AN215" s="42" t="s">
        <v>235</v>
      </c>
      <c r="AO215" s="42">
        <v>0</v>
      </c>
      <c r="AP215" s="42" t="s">
        <v>252</v>
      </c>
      <c r="AR215" s="42">
        <v>43868.145112243204</v>
      </c>
      <c r="AS215" s="42">
        <v>8980.2083992319967</v>
      </c>
      <c r="AT215" s="42">
        <v>97291.52303991119</v>
      </c>
      <c r="AU215" s="13">
        <v>1</v>
      </c>
      <c r="AV215" s="13">
        <v>1</v>
      </c>
      <c r="AW215" s="13">
        <v>0</v>
      </c>
      <c r="AX215" s="13">
        <v>0</v>
      </c>
      <c r="AY215" s="13">
        <v>0</v>
      </c>
      <c r="AZ215" s="13">
        <v>0</v>
      </c>
      <c r="BA215" s="13">
        <v>0</v>
      </c>
      <c r="BB215" s="13">
        <v>0</v>
      </c>
      <c r="BC215" s="13">
        <v>0</v>
      </c>
      <c r="BD215" s="13">
        <v>0</v>
      </c>
      <c r="BE215" s="13">
        <v>0.2</v>
      </c>
      <c r="BF215" s="13">
        <v>0</v>
      </c>
      <c r="BG215" s="13">
        <v>0</v>
      </c>
      <c r="BH215" s="13">
        <v>0</v>
      </c>
      <c r="BI215" s="13">
        <v>0</v>
      </c>
      <c r="BJ215" s="13">
        <v>0</v>
      </c>
      <c r="BK215" s="13">
        <v>0</v>
      </c>
      <c r="BL215" s="13">
        <v>0</v>
      </c>
      <c r="BM215" s="13">
        <v>0</v>
      </c>
      <c r="BN215" s="13">
        <v>0</v>
      </c>
      <c r="BO215" s="13">
        <v>0</v>
      </c>
      <c r="BP215" s="13">
        <v>1</v>
      </c>
      <c r="BR215" s="42">
        <v>16</v>
      </c>
    </row>
    <row r="216" spans="1:70" s="42" customFormat="1" ht="14.25" x14ac:dyDescent="0.15">
      <c r="A216" s="164"/>
      <c r="B216" s="42" t="s">
        <v>2628</v>
      </c>
      <c r="C216" s="42" t="s">
        <v>924</v>
      </c>
      <c r="E216" s="42" t="s">
        <v>925</v>
      </c>
      <c r="G216" s="42">
        <v>0</v>
      </c>
      <c r="H216" s="42">
        <v>13</v>
      </c>
      <c r="I216" s="42" t="s">
        <v>296</v>
      </c>
      <c r="K216" s="42">
        <v>3</v>
      </c>
      <c r="L216" s="42">
        <v>1</v>
      </c>
      <c r="M216" s="42" t="s">
        <v>254</v>
      </c>
      <c r="N216" s="42" t="s">
        <v>396</v>
      </c>
      <c r="O216" s="42">
        <v>0</v>
      </c>
      <c r="P216" s="42" t="s">
        <v>2629</v>
      </c>
      <c r="Q216" s="42" t="s">
        <v>926</v>
      </c>
      <c r="S216" s="42" t="s">
        <v>927</v>
      </c>
      <c r="U216" s="42" t="s">
        <v>928</v>
      </c>
      <c r="Y216" s="42" t="s">
        <v>250</v>
      </c>
      <c r="Z216" s="42" t="s">
        <v>929</v>
      </c>
      <c r="AA216" s="13" t="s">
        <v>251</v>
      </c>
      <c r="AB216" s="13">
        <v>0.15</v>
      </c>
      <c r="AC216" s="13">
        <v>0</v>
      </c>
      <c r="AD216" s="42">
        <v>20</v>
      </c>
      <c r="AE216" s="42">
        <v>1</v>
      </c>
      <c r="AF216" s="13" t="s">
        <v>1018</v>
      </c>
      <c r="AH216" s="13" t="s">
        <v>399</v>
      </c>
      <c r="AI216" s="11">
        <v>1000</v>
      </c>
      <c r="AJ216" s="13"/>
      <c r="AK216" s="42">
        <v>43868.145112243204</v>
      </c>
      <c r="AN216" s="42" t="s">
        <v>235</v>
      </c>
      <c r="AO216" s="42">
        <v>0</v>
      </c>
      <c r="AP216" s="42" t="s">
        <v>252</v>
      </c>
      <c r="AR216" s="42">
        <v>43868.145112243204</v>
      </c>
      <c r="AS216" s="42">
        <v>8980.2083992319967</v>
      </c>
      <c r="AT216" s="42">
        <v>97291.52303991119</v>
      </c>
      <c r="AU216" s="13">
        <v>1</v>
      </c>
      <c r="AV216" s="13">
        <v>1</v>
      </c>
      <c r="AW216" s="13">
        <v>0</v>
      </c>
      <c r="AX216" s="13">
        <v>0</v>
      </c>
      <c r="AY216" s="13">
        <v>0</v>
      </c>
      <c r="AZ216" s="13">
        <v>0</v>
      </c>
      <c r="BA216" s="13">
        <v>0</v>
      </c>
      <c r="BB216" s="13">
        <v>0</v>
      </c>
      <c r="BC216" s="13">
        <v>0</v>
      </c>
      <c r="BD216" s="13">
        <v>0</v>
      </c>
      <c r="BE216" s="13">
        <v>0.2</v>
      </c>
      <c r="BF216" s="13">
        <v>0</v>
      </c>
      <c r="BG216" s="13">
        <v>0</v>
      </c>
      <c r="BH216" s="13">
        <v>0</v>
      </c>
      <c r="BI216" s="13">
        <v>0</v>
      </c>
      <c r="BJ216" s="13">
        <v>0</v>
      </c>
      <c r="BK216" s="13">
        <v>0</v>
      </c>
      <c r="BL216" s="13">
        <v>0</v>
      </c>
      <c r="BM216" s="13">
        <v>0</v>
      </c>
      <c r="BN216" s="13">
        <v>0</v>
      </c>
      <c r="BO216" s="13">
        <v>0</v>
      </c>
      <c r="BP216" s="13">
        <v>1</v>
      </c>
      <c r="BR216" s="42">
        <v>16</v>
      </c>
    </row>
    <row r="217" spans="1:70" s="42" customFormat="1" ht="14.25" x14ac:dyDescent="0.15">
      <c r="A217" s="164"/>
      <c r="B217" s="42" t="s">
        <v>2630</v>
      </c>
      <c r="C217" s="42" t="s">
        <v>924</v>
      </c>
      <c r="E217" s="42" t="s">
        <v>925</v>
      </c>
      <c r="G217" s="42">
        <v>0</v>
      </c>
      <c r="H217" s="42">
        <v>13</v>
      </c>
      <c r="I217" s="42" t="s">
        <v>296</v>
      </c>
      <c r="K217" s="42">
        <v>3</v>
      </c>
      <c r="L217" s="42">
        <v>1</v>
      </c>
      <c r="M217" s="42" t="s">
        <v>254</v>
      </c>
      <c r="N217" s="42" t="s">
        <v>396</v>
      </c>
      <c r="O217" s="42">
        <v>0</v>
      </c>
      <c r="P217" s="42" t="s">
        <v>2631</v>
      </c>
      <c r="Q217" s="42" t="s">
        <v>926</v>
      </c>
      <c r="S217" s="42" t="s">
        <v>927</v>
      </c>
      <c r="U217" s="42" t="s">
        <v>928</v>
      </c>
      <c r="Y217" s="42" t="s">
        <v>250</v>
      </c>
      <c r="Z217" s="42" t="s">
        <v>929</v>
      </c>
      <c r="AA217" s="13" t="s">
        <v>251</v>
      </c>
      <c r="AB217" s="13">
        <v>0.15</v>
      </c>
      <c r="AC217" s="13">
        <v>0</v>
      </c>
      <c r="AD217" s="42">
        <v>20</v>
      </c>
      <c r="AE217" s="42">
        <v>1</v>
      </c>
      <c r="AF217" s="13" t="s">
        <v>1018</v>
      </c>
      <c r="AH217" s="13" t="s">
        <v>399</v>
      </c>
      <c r="AI217" s="11">
        <v>300</v>
      </c>
      <c r="AJ217" s="13"/>
      <c r="AK217" s="42">
        <v>43868.145112243204</v>
      </c>
      <c r="AN217" s="42" t="s">
        <v>235</v>
      </c>
      <c r="AO217" s="42">
        <v>0</v>
      </c>
      <c r="AP217" s="42" t="s">
        <v>252</v>
      </c>
      <c r="AR217" s="42">
        <v>43868.145112243204</v>
      </c>
      <c r="AS217" s="42">
        <v>8980.2083992319967</v>
      </c>
      <c r="AT217" s="42">
        <v>97291.52303991119</v>
      </c>
      <c r="AU217" s="13">
        <v>1</v>
      </c>
      <c r="AV217" s="13">
        <v>1</v>
      </c>
      <c r="AW217" s="13">
        <v>0</v>
      </c>
      <c r="AX217" s="13">
        <v>0</v>
      </c>
      <c r="AY217" s="13">
        <v>0</v>
      </c>
      <c r="AZ217" s="13">
        <v>0</v>
      </c>
      <c r="BA217" s="13">
        <v>0</v>
      </c>
      <c r="BB217" s="13">
        <v>0</v>
      </c>
      <c r="BC217" s="13">
        <v>0</v>
      </c>
      <c r="BD217" s="13">
        <v>0</v>
      </c>
      <c r="BE217" s="13">
        <v>0.2</v>
      </c>
      <c r="BF217" s="13">
        <v>0</v>
      </c>
      <c r="BG217" s="13">
        <v>0</v>
      </c>
      <c r="BH217" s="13">
        <v>0</v>
      </c>
      <c r="BI217" s="13">
        <v>0</v>
      </c>
      <c r="BJ217" s="13">
        <v>0</v>
      </c>
      <c r="BK217" s="13">
        <v>0</v>
      </c>
      <c r="BL217" s="13">
        <v>0</v>
      </c>
      <c r="BM217" s="13">
        <v>0</v>
      </c>
      <c r="BN217" s="13">
        <v>0</v>
      </c>
      <c r="BO217" s="13">
        <v>0</v>
      </c>
      <c r="BP217" s="13">
        <v>1</v>
      </c>
      <c r="BR217" s="42">
        <v>16</v>
      </c>
    </row>
    <row r="218" spans="1:70" s="42" customFormat="1" ht="14.25" x14ac:dyDescent="0.15">
      <c r="A218" s="164"/>
      <c r="B218" s="42" t="s">
        <v>2632</v>
      </c>
      <c r="C218" s="42" t="s">
        <v>969</v>
      </c>
      <c r="E218" s="42" t="s">
        <v>970</v>
      </c>
      <c r="G218" s="42">
        <v>0</v>
      </c>
      <c r="H218" s="42">
        <v>13</v>
      </c>
      <c r="I218" s="42" t="s">
        <v>296</v>
      </c>
      <c r="K218" s="42">
        <v>3</v>
      </c>
      <c r="L218" s="42">
        <v>1</v>
      </c>
      <c r="M218" s="42" t="s">
        <v>254</v>
      </c>
      <c r="N218" s="42" t="s">
        <v>396</v>
      </c>
      <c r="O218" s="42">
        <v>0</v>
      </c>
      <c r="P218" s="42" t="s">
        <v>2633</v>
      </c>
      <c r="Q218" s="42" t="s">
        <v>971</v>
      </c>
      <c r="S218" s="42" t="s">
        <v>972</v>
      </c>
      <c r="U218" s="42" t="s">
        <v>973</v>
      </c>
      <c r="Y218" s="42" t="s">
        <v>974</v>
      </c>
      <c r="Z218" s="42" t="s">
        <v>235</v>
      </c>
      <c r="AA218" s="13" t="s">
        <v>251</v>
      </c>
      <c r="AB218" s="13">
        <v>0.15</v>
      </c>
      <c r="AC218" s="13">
        <v>0</v>
      </c>
      <c r="AD218" s="42">
        <v>20</v>
      </c>
      <c r="AE218" s="42">
        <v>1</v>
      </c>
      <c r="AF218" s="13" t="s">
        <v>1028</v>
      </c>
      <c r="AH218" s="13" t="s">
        <v>399</v>
      </c>
      <c r="AI218" s="13">
        <v>680</v>
      </c>
      <c r="AJ218" s="13"/>
      <c r="AK218" s="42">
        <v>34763.435749324803</v>
      </c>
      <c r="AN218" s="42" t="s">
        <v>235</v>
      </c>
      <c r="AO218" s="42">
        <v>0</v>
      </c>
      <c r="AP218" s="42" t="s">
        <v>252</v>
      </c>
      <c r="AR218" s="42">
        <v>34763.435749324803</v>
      </c>
      <c r="AS218" s="42">
        <v>8980.2083992319967</v>
      </c>
      <c r="AT218" s="42">
        <v>80300.419733898001</v>
      </c>
      <c r="AU218" s="13">
        <v>1</v>
      </c>
      <c r="AV218" s="13">
        <v>1</v>
      </c>
      <c r="AW218" s="13">
        <v>0</v>
      </c>
      <c r="AX218" s="13">
        <v>0</v>
      </c>
      <c r="AY218" s="13">
        <v>0</v>
      </c>
      <c r="AZ218" s="13">
        <v>0</v>
      </c>
      <c r="BA218" s="13">
        <v>0</v>
      </c>
      <c r="BB218" s="13">
        <v>0</v>
      </c>
      <c r="BC218" s="13">
        <v>0</v>
      </c>
      <c r="BD218" s="13">
        <v>0</v>
      </c>
      <c r="BE218" s="13">
        <v>0.2</v>
      </c>
      <c r="BF218" s="13">
        <v>0</v>
      </c>
      <c r="BG218" s="13">
        <v>0</v>
      </c>
      <c r="BH218" s="13">
        <v>0</v>
      </c>
      <c r="BI218" s="13">
        <v>0</v>
      </c>
      <c r="BJ218" s="13">
        <v>0</v>
      </c>
      <c r="BK218" s="13">
        <v>0</v>
      </c>
      <c r="BL218" s="13">
        <v>0</v>
      </c>
      <c r="BM218" s="13">
        <v>0</v>
      </c>
      <c r="BN218" s="13">
        <v>0</v>
      </c>
      <c r="BO218" s="13">
        <v>0</v>
      </c>
      <c r="BP218" s="13">
        <v>1</v>
      </c>
      <c r="BR218" s="42">
        <v>12</v>
      </c>
    </row>
    <row r="219" spans="1:70" s="42" customFormat="1" ht="14.25" x14ac:dyDescent="0.15">
      <c r="A219" s="164"/>
      <c r="B219" s="42" t="s">
        <v>2634</v>
      </c>
      <c r="C219" s="42" t="s">
        <v>2319</v>
      </c>
      <c r="E219" s="42" t="s">
        <v>2320</v>
      </c>
      <c r="G219" s="42">
        <v>0</v>
      </c>
      <c r="H219" s="42">
        <v>15</v>
      </c>
      <c r="I219" s="42" t="s">
        <v>296</v>
      </c>
      <c r="K219" s="42">
        <v>3</v>
      </c>
      <c r="L219" s="42">
        <v>1</v>
      </c>
      <c r="M219" s="42" t="s">
        <v>254</v>
      </c>
      <c r="N219" s="42" t="s">
        <v>396</v>
      </c>
      <c r="O219" s="42">
        <v>0</v>
      </c>
      <c r="P219" s="42" t="s">
        <v>2635</v>
      </c>
      <c r="Q219" s="42" t="s">
        <v>2321</v>
      </c>
      <c r="S219" s="42" t="s">
        <v>2322</v>
      </c>
      <c r="U219" s="42" t="s">
        <v>2323</v>
      </c>
      <c r="Y219" s="42" t="s">
        <v>250</v>
      </c>
      <c r="Z219" s="42" t="s">
        <v>2324</v>
      </c>
      <c r="AA219" s="13" t="s">
        <v>251</v>
      </c>
      <c r="AB219" s="13">
        <v>0.15</v>
      </c>
      <c r="AC219" s="13">
        <v>30</v>
      </c>
      <c r="AD219" s="42">
        <v>20</v>
      </c>
      <c r="AE219" s="42">
        <v>1</v>
      </c>
      <c r="AF219" s="13" t="s">
        <v>2325</v>
      </c>
      <c r="AH219" s="13" t="s">
        <v>399</v>
      </c>
      <c r="AI219" s="13">
        <v>800</v>
      </c>
      <c r="AJ219" s="13"/>
      <c r="AK219" s="42">
        <v>41385.042558720001</v>
      </c>
      <c r="AN219" s="42" t="s">
        <v>235</v>
      </c>
      <c r="AO219" s="42">
        <v>0</v>
      </c>
      <c r="AP219" s="42" t="s">
        <v>252</v>
      </c>
      <c r="AR219" s="42">
        <v>41385.042558720001</v>
      </c>
      <c r="AS219" s="42">
        <v>8980.2083992319967</v>
      </c>
      <c r="AT219" s="42">
        <v>93101.935923359997</v>
      </c>
      <c r="AU219" s="13">
        <v>1</v>
      </c>
      <c r="AV219" s="13">
        <v>1</v>
      </c>
      <c r="AW219" s="13">
        <v>0</v>
      </c>
      <c r="AX219" s="13">
        <v>0</v>
      </c>
      <c r="AY219" s="13">
        <v>0</v>
      </c>
      <c r="AZ219" s="13">
        <v>0</v>
      </c>
      <c r="BA219" s="13">
        <v>0</v>
      </c>
      <c r="BB219" s="13">
        <v>0</v>
      </c>
      <c r="BC219" s="13">
        <v>0</v>
      </c>
      <c r="BD219" s="13">
        <v>0</v>
      </c>
      <c r="BE219" s="13">
        <v>0.2</v>
      </c>
      <c r="BF219" s="13">
        <v>0</v>
      </c>
      <c r="BG219" s="13">
        <v>0</v>
      </c>
      <c r="BH219" s="13">
        <v>0</v>
      </c>
      <c r="BI219" s="13">
        <v>0</v>
      </c>
      <c r="BJ219" s="13">
        <v>0</v>
      </c>
      <c r="BK219" s="13">
        <v>0</v>
      </c>
      <c r="BL219" s="13">
        <v>0</v>
      </c>
      <c r="BM219" s="13">
        <v>0</v>
      </c>
      <c r="BN219" s="13">
        <v>0</v>
      </c>
      <c r="BO219" s="13">
        <v>0</v>
      </c>
      <c r="BP219" s="13">
        <v>1</v>
      </c>
      <c r="BQ219" s="13"/>
      <c r="BR219" s="42">
        <v>17</v>
      </c>
    </row>
    <row r="220" spans="1:70" s="42" customFormat="1" ht="14.25" x14ac:dyDescent="0.15">
      <c r="A220" s="164"/>
      <c r="B220" s="42" t="s">
        <v>1972</v>
      </c>
      <c r="C220" s="42" t="s">
        <v>906</v>
      </c>
      <c r="E220" s="42" t="s">
        <v>907</v>
      </c>
      <c r="G220" s="42">
        <v>0</v>
      </c>
      <c r="H220" s="42">
        <v>13</v>
      </c>
      <c r="I220" s="42" t="s">
        <v>296</v>
      </c>
      <c r="K220" s="42">
        <v>3</v>
      </c>
      <c r="L220" s="42">
        <v>1</v>
      </c>
      <c r="M220" s="42" t="s">
        <v>254</v>
      </c>
      <c r="N220" s="42" t="s">
        <v>396</v>
      </c>
      <c r="O220" s="42">
        <v>0</v>
      </c>
      <c r="P220" s="42" t="s">
        <v>1973</v>
      </c>
      <c r="Q220" s="42" t="s">
        <v>908</v>
      </c>
      <c r="S220" s="42" t="s">
        <v>909</v>
      </c>
      <c r="U220" s="42" t="s">
        <v>910</v>
      </c>
      <c r="Y220" s="42" t="s">
        <v>250</v>
      </c>
      <c r="Z220" s="42" t="s">
        <v>911</v>
      </c>
      <c r="AA220" s="13" t="s">
        <v>251</v>
      </c>
      <c r="AB220" s="13">
        <v>0.15</v>
      </c>
      <c r="AC220" s="13">
        <v>0</v>
      </c>
      <c r="AD220" s="42">
        <v>20</v>
      </c>
      <c r="AE220" s="42">
        <v>1</v>
      </c>
      <c r="AF220" s="13" t="s">
        <v>1014</v>
      </c>
      <c r="AH220" s="13" t="s">
        <v>399</v>
      </c>
      <c r="AI220" s="13">
        <v>0</v>
      </c>
      <c r="AJ220" s="13"/>
      <c r="AK220" s="42">
        <v>32280.333195801602</v>
      </c>
      <c r="AN220" s="42" t="s">
        <v>235</v>
      </c>
      <c r="AO220" s="42">
        <v>0</v>
      </c>
      <c r="AP220" s="42" t="s">
        <v>252</v>
      </c>
      <c r="AR220" s="42">
        <v>32280.333195801602</v>
      </c>
      <c r="AS220" s="42">
        <v>8980.2083992319967</v>
      </c>
      <c r="AT220" s="42">
        <v>76110.832617346794</v>
      </c>
      <c r="AU220" s="13">
        <v>1</v>
      </c>
      <c r="AV220" s="13">
        <v>1</v>
      </c>
      <c r="AW220" s="13">
        <v>0</v>
      </c>
      <c r="AX220" s="13">
        <v>0</v>
      </c>
      <c r="AY220" s="13">
        <v>0</v>
      </c>
      <c r="AZ220" s="13">
        <v>0</v>
      </c>
      <c r="BA220" s="13">
        <v>0</v>
      </c>
      <c r="BB220" s="13">
        <v>0</v>
      </c>
      <c r="BC220" s="13">
        <v>0</v>
      </c>
      <c r="BD220" s="13">
        <v>0</v>
      </c>
      <c r="BE220" s="13">
        <v>0.2</v>
      </c>
      <c r="BF220" s="13">
        <v>0</v>
      </c>
      <c r="BG220" s="13">
        <v>0</v>
      </c>
      <c r="BH220" s="13">
        <v>0</v>
      </c>
      <c r="BI220" s="13">
        <v>0</v>
      </c>
      <c r="BJ220" s="13">
        <v>0</v>
      </c>
      <c r="BK220" s="13">
        <v>0</v>
      </c>
      <c r="BL220" s="13">
        <v>0</v>
      </c>
      <c r="BM220" s="13">
        <v>0</v>
      </c>
      <c r="BN220" s="13">
        <v>0</v>
      </c>
      <c r="BO220" s="13">
        <v>0</v>
      </c>
      <c r="BP220" s="13">
        <v>1</v>
      </c>
      <c r="BR220" s="42">
        <v>11</v>
      </c>
    </row>
    <row r="221" spans="1:70" s="42" customFormat="1" ht="14.25" x14ac:dyDescent="0.15">
      <c r="A221" s="164"/>
      <c r="B221" s="42" t="s">
        <v>1974</v>
      </c>
      <c r="C221" s="13" t="s">
        <v>930</v>
      </c>
      <c r="E221" s="42" t="s">
        <v>404</v>
      </c>
      <c r="G221" s="42">
        <v>0</v>
      </c>
      <c r="H221" s="42">
        <v>14</v>
      </c>
      <c r="I221" s="42" t="s">
        <v>296</v>
      </c>
      <c r="K221" s="42">
        <v>3</v>
      </c>
      <c r="L221" s="42">
        <v>1</v>
      </c>
      <c r="M221" s="42" t="s">
        <v>254</v>
      </c>
      <c r="N221" s="42" t="s">
        <v>396</v>
      </c>
      <c r="O221" s="42">
        <v>0</v>
      </c>
      <c r="P221" s="42" t="s">
        <v>1975</v>
      </c>
      <c r="Q221" s="42" t="s">
        <v>257</v>
      </c>
      <c r="S221" s="42" t="s">
        <v>403</v>
      </c>
      <c r="U221" s="42" t="s">
        <v>402</v>
      </c>
      <c r="Y221" s="42" t="s">
        <v>250</v>
      </c>
      <c r="Z221" s="42" t="s">
        <v>256</v>
      </c>
      <c r="AA221" s="13" t="s">
        <v>251</v>
      </c>
      <c r="AB221" s="13">
        <v>0.15</v>
      </c>
      <c r="AC221" s="11">
        <v>0</v>
      </c>
      <c r="AD221" s="42">
        <v>20</v>
      </c>
      <c r="AE221" s="42">
        <v>1</v>
      </c>
      <c r="AF221" s="13" t="s">
        <v>1019</v>
      </c>
      <c r="AH221" s="13" t="s">
        <v>399</v>
      </c>
      <c r="AI221" s="13">
        <v>1000</v>
      </c>
      <c r="AJ221" s="13"/>
      <c r="AK221" s="42">
        <v>45937.397240179205</v>
      </c>
      <c r="AN221" s="42" t="s">
        <v>235</v>
      </c>
      <c r="AO221" s="42">
        <v>0</v>
      </c>
      <c r="AP221" s="42" t="s">
        <v>252</v>
      </c>
      <c r="AR221" s="42">
        <v>45937.397240179205</v>
      </c>
      <c r="AS221" s="42">
        <v>8980.2083992319967</v>
      </c>
      <c r="AT221" s="42">
        <v>101713.8649962708</v>
      </c>
      <c r="AU221" s="13">
        <v>1</v>
      </c>
      <c r="AV221" s="13">
        <v>1</v>
      </c>
      <c r="AW221" s="13">
        <v>0</v>
      </c>
      <c r="AX221" s="13">
        <v>0</v>
      </c>
      <c r="AY221" s="13">
        <v>0</v>
      </c>
      <c r="AZ221" s="13">
        <v>0</v>
      </c>
      <c r="BA221" s="13">
        <v>0</v>
      </c>
      <c r="BB221" s="13">
        <v>0</v>
      </c>
      <c r="BC221" s="13">
        <v>0</v>
      </c>
      <c r="BD221" s="13">
        <v>0</v>
      </c>
      <c r="BE221" s="13">
        <v>0.2</v>
      </c>
      <c r="BF221" s="13">
        <v>0</v>
      </c>
      <c r="BG221" s="13">
        <v>0</v>
      </c>
      <c r="BH221" s="13">
        <v>0</v>
      </c>
      <c r="BI221" s="13">
        <v>0</v>
      </c>
      <c r="BJ221" s="13">
        <v>0</v>
      </c>
      <c r="BK221" s="13">
        <v>0</v>
      </c>
      <c r="BL221" s="13">
        <v>0</v>
      </c>
      <c r="BM221" s="13">
        <v>0</v>
      </c>
      <c r="BN221" s="13">
        <v>0</v>
      </c>
      <c r="BO221" s="13">
        <v>0</v>
      </c>
      <c r="BP221" s="13">
        <v>1</v>
      </c>
      <c r="BR221" s="42">
        <v>17</v>
      </c>
    </row>
    <row r="222" spans="1:70" s="42" customFormat="1" ht="14.25" x14ac:dyDescent="0.15">
      <c r="A222" s="164"/>
      <c r="B222" s="42" t="s">
        <v>1976</v>
      </c>
      <c r="C222" s="42" t="s">
        <v>906</v>
      </c>
      <c r="E222" s="42" t="s">
        <v>907</v>
      </c>
      <c r="G222" s="42">
        <v>0</v>
      </c>
      <c r="H222" s="42">
        <v>13</v>
      </c>
      <c r="I222" s="42" t="s">
        <v>296</v>
      </c>
      <c r="K222" s="42">
        <v>3</v>
      </c>
      <c r="L222" s="42">
        <v>1</v>
      </c>
      <c r="M222" s="42" t="s">
        <v>254</v>
      </c>
      <c r="N222" s="42" t="s">
        <v>396</v>
      </c>
      <c r="O222" s="42">
        <v>0</v>
      </c>
      <c r="P222" s="42" t="s">
        <v>1977</v>
      </c>
      <c r="Q222" s="42" t="s">
        <v>908</v>
      </c>
      <c r="S222" s="42" t="s">
        <v>909</v>
      </c>
      <c r="U222" s="42" t="s">
        <v>910</v>
      </c>
      <c r="Y222" s="42" t="s">
        <v>250</v>
      </c>
      <c r="Z222" s="42" t="s">
        <v>911</v>
      </c>
      <c r="AA222" s="13" t="s">
        <v>251</v>
      </c>
      <c r="AB222" s="13">
        <v>0.15</v>
      </c>
      <c r="AC222" s="11">
        <v>0</v>
      </c>
      <c r="AD222" s="42">
        <v>20</v>
      </c>
      <c r="AE222" s="42">
        <v>1</v>
      </c>
      <c r="AF222" s="13" t="s">
        <v>1014</v>
      </c>
      <c r="AH222" s="13" t="s">
        <v>399</v>
      </c>
      <c r="AI222" s="13">
        <v>0</v>
      </c>
      <c r="AJ222" s="13"/>
      <c r="AK222" s="42">
        <v>32280.333195801602</v>
      </c>
      <c r="AN222" s="42" t="s">
        <v>235</v>
      </c>
      <c r="AO222" s="42">
        <v>0</v>
      </c>
      <c r="AP222" s="42" t="s">
        <v>252</v>
      </c>
      <c r="AR222" s="42">
        <v>32280.333195801602</v>
      </c>
      <c r="AS222" s="42">
        <v>8980.2083992319967</v>
      </c>
      <c r="AT222" s="42">
        <v>76110.832617346794</v>
      </c>
      <c r="AU222" s="13">
        <v>1</v>
      </c>
      <c r="AV222" s="13">
        <v>1</v>
      </c>
      <c r="AW222" s="13">
        <v>0</v>
      </c>
      <c r="AX222" s="13">
        <v>0</v>
      </c>
      <c r="AY222" s="13">
        <v>0</v>
      </c>
      <c r="AZ222" s="13">
        <v>0</v>
      </c>
      <c r="BA222" s="13">
        <v>0</v>
      </c>
      <c r="BB222" s="13">
        <v>0</v>
      </c>
      <c r="BC222" s="13">
        <v>0</v>
      </c>
      <c r="BD222" s="13">
        <v>0</v>
      </c>
      <c r="BE222" s="13">
        <v>0.2</v>
      </c>
      <c r="BF222" s="13">
        <v>0</v>
      </c>
      <c r="BG222" s="13">
        <v>0</v>
      </c>
      <c r="BH222" s="13">
        <v>0</v>
      </c>
      <c r="BI222" s="13">
        <v>0</v>
      </c>
      <c r="BJ222" s="13">
        <v>0</v>
      </c>
      <c r="BK222" s="13">
        <v>0</v>
      </c>
      <c r="BL222" s="13">
        <v>0</v>
      </c>
      <c r="BM222" s="13">
        <v>0</v>
      </c>
      <c r="BN222" s="13">
        <v>0</v>
      </c>
      <c r="BO222" s="13">
        <v>0</v>
      </c>
      <c r="BP222" s="13">
        <v>1</v>
      </c>
      <c r="BR222" s="42">
        <v>11</v>
      </c>
    </row>
    <row r="223" spans="1:70" s="42" customFormat="1" ht="14.25" x14ac:dyDescent="0.15">
      <c r="A223" s="164"/>
      <c r="B223" s="42" t="s">
        <v>2636</v>
      </c>
      <c r="C223" s="42" t="s">
        <v>2370</v>
      </c>
      <c r="E223" s="42" t="s">
        <v>2371</v>
      </c>
      <c r="G223" s="42">
        <v>0</v>
      </c>
      <c r="H223" s="42">
        <v>14</v>
      </c>
      <c r="I223" s="42" t="s">
        <v>296</v>
      </c>
      <c r="K223" s="42">
        <v>3</v>
      </c>
      <c r="L223" s="42">
        <v>1</v>
      </c>
      <c r="M223" s="42" t="s">
        <v>254</v>
      </c>
      <c r="N223" s="42" t="s">
        <v>396</v>
      </c>
      <c r="O223" s="42">
        <v>0</v>
      </c>
      <c r="P223" s="42" t="s">
        <v>2637</v>
      </c>
      <c r="Q223" s="42" t="s">
        <v>2373</v>
      </c>
      <c r="S223" s="42" t="s">
        <v>2374</v>
      </c>
      <c r="U223" s="42" t="s">
        <v>2375</v>
      </c>
      <c r="Y223" s="42" t="s">
        <v>250</v>
      </c>
      <c r="Z223" s="42" t="s">
        <v>2376</v>
      </c>
      <c r="AA223" s="13" t="s">
        <v>251</v>
      </c>
      <c r="AB223" s="13">
        <v>0.15</v>
      </c>
      <c r="AC223" s="11">
        <v>0</v>
      </c>
      <c r="AD223" s="42">
        <v>20</v>
      </c>
      <c r="AE223" s="42">
        <v>1</v>
      </c>
      <c r="AF223" s="13" t="s">
        <v>2377</v>
      </c>
      <c r="AH223" s="13" t="s">
        <v>399</v>
      </c>
      <c r="AI223" s="13">
        <v>800</v>
      </c>
      <c r="AJ223" s="13"/>
      <c r="AK223" s="42">
        <v>34763.435749324803</v>
      </c>
      <c r="AN223" s="42" t="s">
        <v>235</v>
      </c>
      <c r="AO223" s="42">
        <v>0</v>
      </c>
      <c r="AP223" s="42" t="s">
        <v>252</v>
      </c>
      <c r="AR223" s="42">
        <v>34763.435749324803</v>
      </c>
      <c r="AS223" s="42">
        <v>8980.2083992319967</v>
      </c>
      <c r="AT223" s="42">
        <v>80300.419733898001</v>
      </c>
      <c r="AU223" s="13">
        <v>1</v>
      </c>
      <c r="AV223" s="13">
        <v>1</v>
      </c>
      <c r="AW223" s="13">
        <v>0</v>
      </c>
      <c r="AX223" s="13">
        <v>0</v>
      </c>
      <c r="AY223" s="13">
        <v>0</v>
      </c>
      <c r="AZ223" s="13">
        <v>0</v>
      </c>
      <c r="BA223" s="13">
        <v>0</v>
      </c>
      <c r="BB223" s="13">
        <v>0</v>
      </c>
      <c r="BC223" s="13">
        <v>0</v>
      </c>
      <c r="BD223" s="13">
        <v>0</v>
      </c>
      <c r="BE223" s="13">
        <v>0.2</v>
      </c>
      <c r="BF223" s="13">
        <v>0</v>
      </c>
      <c r="BG223" s="13">
        <v>0</v>
      </c>
      <c r="BH223" s="13">
        <v>0</v>
      </c>
      <c r="BI223" s="13">
        <v>0</v>
      </c>
      <c r="BJ223" s="13">
        <v>0</v>
      </c>
      <c r="BK223" s="13">
        <v>0</v>
      </c>
      <c r="BL223" s="13">
        <v>0</v>
      </c>
      <c r="BM223" s="13">
        <v>0</v>
      </c>
      <c r="BN223" s="13">
        <v>0</v>
      </c>
      <c r="BO223" s="13">
        <v>0</v>
      </c>
      <c r="BP223" s="13">
        <v>1</v>
      </c>
      <c r="BR223" s="42">
        <v>10</v>
      </c>
    </row>
    <row r="224" spans="1:70" s="13" customFormat="1" x14ac:dyDescent="0.15">
      <c r="B224" s="13" t="s">
        <v>2638</v>
      </c>
      <c r="C224" s="13" t="s">
        <v>856</v>
      </c>
      <c r="E224" s="13" t="s">
        <v>857</v>
      </c>
      <c r="G224" s="13">
        <v>0</v>
      </c>
      <c r="H224" s="13">
        <v>12</v>
      </c>
      <c r="I224" s="13" t="s">
        <v>400</v>
      </c>
      <c r="K224" s="13">
        <v>3</v>
      </c>
      <c r="L224" s="13">
        <v>1</v>
      </c>
      <c r="M224" s="13" t="s">
        <v>254</v>
      </c>
      <c r="N224" s="13" t="s">
        <v>396</v>
      </c>
      <c r="O224" s="13">
        <v>0</v>
      </c>
      <c r="P224" s="13" t="s">
        <v>2639</v>
      </c>
      <c r="Q224" s="13" t="s">
        <v>858</v>
      </c>
      <c r="S224" s="13" t="s">
        <v>859</v>
      </c>
      <c r="U224" s="13" t="s">
        <v>860</v>
      </c>
      <c r="Y224" s="13" t="s">
        <v>250</v>
      </c>
      <c r="Z224" s="13" t="s">
        <v>861</v>
      </c>
      <c r="AA224" s="13" t="s">
        <v>251</v>
      </c>
      <c r="AB224" s="13">
        <v>0.15</v>
      </c>
      <c r="AC224" s="11">
        <v>0</v>
      </c>
      <c r="AD224" s="13">
        <v>20</v>
      </c>
      <c r="AE224" s="13">
        <v>1</v>
      </c>
      <c r="AF224" s="13" t="s">
        <v>1004</v>
      </c>
      <c r="AH224" s="13" t="s">
        <v>399</v>
      </c>
      <c r="AI224" s="13">
        <v>800</v>
      </c>
      <c r="AK224" s="13">
        <v>24572.369019240003</v>
      </c>
      <c r="AN224" s="163" t="s">
        <v>235</v>
      </c>
      <c r="AO224" s="163">
        <v>0</v>
      </c>
      <c r="AP224" s="163" t="s">
        <v>252</v>
      </c>
      <c r="AR224" s="13">
        <v>24572.369019240003</v>
      </c>
      <c r="AS224" s="13">
        <v>12922.738915967997</v>
      </c>
      <c r="AT224" s="13">
        <v>176572.41101070479</v>
      </c>
      <c r="AU224" s="13">
        <v>1</v>
      </c>
      <c r="AV224" s="13">
        <v>1</v>
      </c>
      <c r="AW224" s="13">
        <v>0</v>
      </c>
      <c r="AX224" s="13">
        <v>0</v>
      </c>
      <c r="AY224" s="13">
        <v>0</v>
      </c>
      <c r="AZ224" s="13">
        <v>0</v>
      </c>
      <c r="BA224" s="13">
        <v>0</v>
      </c>
      <c r="BB224" s="13">
        <v>0</v>
      </c>
      <c r="BC224" s="13">
        <v>0</v>
      </c>
      <c r="BD224" s="13">
        <v>0</v>
      </c>
      <c r="BE224" s="13">
        <v>0</v>
      </c>
      <c r="BF224" s="13">
        <v>0</v>
      </c>
      <c r="BG224" s="13">
        <v>0</v>
      </c>
      <c r="BH224" s="13">
        <v>0</v>
      </c>
      <c r="BI224" s="13">
        <v>0</v>
      </c>
      <c r="BJ224" s="13">
        <v>0</v>
      </c>
      <c r="BK224" s="13">
        <v>0</v>
      </c>
      <c r="BL224" s="13">
        <v>0</v>
      </c>
      <c r="BM224" s="13">
        <v>0</v>
      </c>
      <c r="BN224" s="13">
        <v>0</v>
      </c>
      <c r="BO224" s="13">
        <v>0</v>
      </c>
      <c r="BP224" s="13">
        <v>1</v>
      </c>
      <c r="BR224" s="13">
        <v>14</v>
      </c>
    </row>
    <row r="225" spans="1:70" s="13" customFormat="1" x14ac:dyDescent="0.15">
      <c r="B225" s="13" t="s">
        <v>1978</v>
      </c>
      <c r="C225" s="13" t="s">
        <v>2250</v>
      </c>
      <c r="E225" s="13" t="s">
        <v>2251</v>
      </c>
      <c r="G225" s="13">
        <v>1</v>
      </c>
      <c r="H225" s="13">
        <v>13</v>
      </c>
      <c r="I225" s="13" t="s">
        <v>296</v>
      </c>
      <c r="K225" s="13">
        <v>3</v>
      </c>
      <c r="L225" s="13">
        <v>1</v>
      </c>
      <c r="M225" s="13" t="s">
        <v>254</v>
      </c>
      <c r="N225" s="13" t="s">
        <v>396</v>
      </c>
      <c r="O225" s="13">
        <v>0</v>
      </c>
      <c r="P225" s="13" t="s">
        <v>1979</v>
      </c>
      <c r="Q225" s="13" t="s">
        <v>2252</v>
      </c>
      <c r="S225" s="13" t="s">
        <v>2301</v>
      </c>
      <c r="U225" s="13" t="s">
        <v>2253</v>
      </c>
      <c r="Y225" s="13" t="s">
        <v>250</v>
      </c>
      <c r="Z225" s="13" t="s">
        <v>2254</v>
      </c>
      <c r="AA225" s="13" t="s">
        <v>251</v>
      </c>
      <c r="AB225" s="13">
        <v>0.15</v>
      </c>
      <c r="AC225" s="11">
        <v>0</v>
      </c>
      <c r="AD225" s="13">
        <v>20</v>
      </c>
      <c r="AE225" s="13">
        <v>1</v>
      </c>
      <c r="AF225" s="13" t="s">
        <v>2302</v>
      </c>
      <c r="AH225" s="13" t="s">
        <v>399</v>
      </c>
      <c r="AI225" s="13">
        <v>680</v>
      </c>
      <c r="AK225" s="13">
        <v>27727.978514342401</v>
      </c>
      <c r="AN225" s="163" t="s">
        <v>235</v>
      </c>
      <c r="AO225" s="163">
        <v>0</v>
      </c>
      <c r="AP225" s="163" t="s">
        <v>252</v>
      </c>
      <c r="AR225" s="13">
        <v>27727.978514342401</v>
      </c>
      <c r="AS225" s="13">
        <v>8980.2083992319967</v>
      </c>
      <c r="AT225" s="13">
        <v>69593.697102711609</v>
      </c>
      <c r="AU225" s="13">
        <v>1</v>
      </c>
      <c r="AV225" s="13">
        <v>1</v>
      </c>
      <c r="AW225" s="13">
        <v>0</v>
      </c>
      <c r="AX225" s="13">
        <v>0</v>
      </c>
      <c r="AY225" s="13">
        <v>0</v>
      </c>
      <c r="AZ225" s="13">
        <v>0</v>
      </c>
      <c r="BA225" s="13">
        <v>0</v>
      </c>
      <c r="BB225" s="13">
        <v>0</v>
      </c>
      <c r="BC225" s="13">
        <v>0</v>
      </c>
      <c r="BD225" s="13">
        <v>0</v>
      </c>
      <c r="BE225" s="13">
        <v>0</v>
      </c>
      <c r="BF225" s="13">
        <v>0</v>
      </c>
      <c r="BG225" s="13">
        <v>0</v>
      </c>
      <c r="BH225" s="13">
        <v>0</v>
      </c>
      <c r="BI225" s="13">
        <v>0</v>
      </c>
      <c r="BJ225" s="13">
        <v>0</v>
      </c>
      <c r="BK225" s="13">
        <v>0</v>
      </c>
      <c r="BL225" s="13">
        <v>0</v>
      </c>
      <c r="BM225" s="13">
        <v>0</v>
      </c>
      <c r="BN225" s="13">
        <v>0</v>
      </c>
      <c r="BO225" s="13">
        <v>0</v>
      </c>
      <c r="BP225" s="13">
        <v>1</v>
      </c>
      <c r="BR225" s="13">
        <v>8</v>
      </c>
    </row>
    <row r="226" spans="1:70" s="13" customFormat="1" x14ac:dyDescent="0.15">
      <c r="B226" s="13" t="s">
        <v>2640</v>
      </c>
      <c r="C226" s="13" t="s">
        <v>2250</v>
      </c>
      <c r="E226" s="13" t="s">
        <v>2251</v>
      </c>
      <c r="G226" s="13">
        <v>1</v>
      </c>
      <c r="H226" s="13">
        <v>13</v>
      </c>
      <c r="I226" s="13" t="s">
        <v>296</v>
      </c>
      <c r="K226" s="13">
        <v>3</v>
      </c>
      <c r="L226" s="13">
        <v>1</v>
      </c>
      <c r="M226" s="13" t="s">
        <v>254</v>
      </c>
      <c r="N226" s="13" t="s">
        <v>396</v>
      </c>
      <c r="O226" s="13">
        <v>0</v>
      </c>
      <c r="P226" s="13" t="s">
        <v>2641</v>
      </c>
      <c r="Q226" s="13" t="s">
        <v>2252</v>
      </c>
      <c r="S226" s="13" t="s">
        <v>2301</v>
      </c>
      <c r="U226" s="13" t="s">
        <v>2253</v>
      </c>
      <c r="Y226" s="13" t="s">
        <v>250</v>
      </c>
      <c r="Z226" s="13" t="s">
        <v>2254</v>
      </c>
      <c r="AA226" s="13" t="s">
        <v>251</v>
      </c>
      <c r="AB226" s="13">
        <v>0.15</v>
      </c>
      <c r="AC226" s="11">
        <v>0</v>
      </c>
      <c r="AD226" s="13">
        <v>20</v>
      </c>
      <c r="AE226" s="13">
        <v>1</v>
      </c>
      <c r="AF226" s="13" t="s">
        <v>2302</v>
      </c>
      <c r="AH226" s="13" t="s">
        <v>399</v>
      </c>
      <c r="AI226" s="13">
        <v>800</v>
      </c>
      <c r="AK226" s="13">
        <v>27727.978514342401</v>
      </c>
      <c r="AN226" s="163" t="s">
        <v>235</v>
      </c>
      <c r="AO226" s="163">
        <v>0</v>
      </c>
      <c r="AP226" s="163" t="s">
        <v>252</v>
      </c>
      <c r="AR226" s="13">
        <v>27727.978514342401</v>
      </c>
      <c r="AS226" s="13">
        <v>8980.2083992319967</v>
      </c>
      <c r="AT226" s="13">
        <v>69593.697102711609</v>
      </c>
      <c r="AU226" s="13">
        <v>1</v>
      </c>
      <c r="AV226" s="13">
        <v>1</v>
      </c>
      <c r="AW226" s="13">
        <v>0</v>
      </c>
      <c r="AX226" s="13">
        <v>0</v>
      </c>
      <c r="AY226" s="13">
        <v>0</v>
      </c>
      <c r="AZ226" s="13">
        <v>0</v>
      </c>
      <c r="BA226" s="13">
        <v>0</v>
      </c>
      <c r="BB226" s="13">
        <v>0</v>
      </c>
      <c r="BC226" s="13">
        <v>0</v>
      </c>
      <c r="BD226" s="13">
        <v>0</v>
      </c>
      <c r="BE226" s="13">
        <v>0</v>
      </c>
      <c r="BF226" s="13">
        <v>0</v>
      </c>
      <c r="BG226" s="13">
        <v>0</v>
      </c>
      <c r="BH226" s="13">
        <v>0</v>
      </c>
      <c r="BI226" s="13">
        <v>0</v>
      </c>
      <c r="BJ226" s="13">
        <v>0</v>
      </c>
      <c r="BK226" s="13">
        <v>0</v>
      </c>
      <c r="BL226" s="13">
        <v>0</v>
      </c>
      <c r="BM226" s="13">
        <v>0</v>
      </c>
      <c r="BN226" s="13">
        <v>0</v>
      </c>
      <c r="BO226" s="13">
        <v>0</v>
      </c>
      <c r="BP226" s="13">
        <v>1</v>
      </c>
      <c r="BR226" s="13">
        <v>8</v>
      </c>
    </row>
    <row r="227" spans="1:70" s="13" customFormat="1" x14ac:dyDescent="0.15">
      <c r="B227" s="13" t="s">
        <v>2642</v>
      </c>
      <c r="C227" s="13" t="s">
        <v>2250</v>
      </c>
      <c r="E227" s="13" t="s">
        <v>2251</v>
      </c>
      <c r="G227" s="13">
        <v>1</v>
      </c>
      <c r="H227" s="13">
        <v>13</v>
      </c>
      <c r="I227" s="13" t="s">
        <v>296</v>
      </c>
      <c r="K227" s="13">
        <v>3</v>
      </c>
      <c r="L227" s="13">
        <v>1</v>
      </c>
      <c r="M227" s="13" t="s">
        <v>254</v>
      </c>
      <c r="N227" s="13" t="s">
        <v>396</v>
      </c>
      <c r="O227" s="13">
        <v>0</v>
      </c>
      <c r="P227" s="13" t="s">
        <v>2643</v>
      </c>
      <c r="Q227" s="13" t="s">
        <v>2252</v>
      </c>
      <c r="S227" s="13" t="s">
        <v>2301</v>
      </c>
      <c r="U227" s="13" t="s">
        <v>2253</v>
      </c>
      <c r="Y227" s="13" t="s">
        <v>250</v>
      </c>
      <c r="Z227" s="13" t="s">
        <v>2254</v>
      </c>
      <c r="AA227" s="13" t="s">
        <v>251</v>
      </c>
      <c r="AB227" s="13">
        <v>0.15</v>
      </c>
      <c r="AC227" s="11">
        <v>0</v>
      </c>
      <c r="AD227" s="13">
        <v>20</v>
      </c>
      <c r="AE227" s="13">
        <v>1</v>
      </c>
      <c r="AF227" s="13" t="s">
        <v>2302</v>
      </c>
      <c r="AH227" s="13" t="s">
        <v>399</v>
      </c>
      <c r="AI227" s="13">
        <v>0</v>
      </c>
      <c r="AK227" s="13">
        <v>27727.978514342401</v>
      </c>
      <c r="AN227" s="163" t="s">
        <v>235</v>
      </c>
      <c r="AO227" s="163">
        <v>0</v>
      </c>
      <c r="AP227" s="163" t="s">
        <v>252</v>
      </c>
      <c r="AR227" s="13">
        <v>27727.978514342401</v>
      </c>
      <c r="AS227" s="13">
        <v>8980.2083992319967</v>
      </c>
      <c r="AT227" s="13">
        <v>69593.697102711609</v>
      </c>
      <c r="AU227" s="13">
        <v>1</v>
      </c>
      <c r="AV227" s="13">
        <v>1</v>
      </c>
      <c r="AW227" s="13">
        <v>0</v>
      </c>
      <c r="AX227" s="13">
        <v>0</v>
      </c>
      <c r="AY227" s="13">
        <v>0</v>
      </c>
      <c r="AZ227" s="13">
        <v>0</v>
      </c>
      <c r="BA227" s="13">
        <v>0</v>
      </c>
      <c r="BB227" s="13">
        <v>0</v>
      </c>
      <c r="BC227" s="13">
        <v>0</v>
      </c>
      <c r="BD227" s="13">
        <v>0</v>
      </c>
      <c r="BE227" s="13">
        <v>0</v>
      </c>
      <c r="BF227" s="13">
        <v>0</v>
      </c>
      <c r="BG227" s="13">
        <v>0</v>
      </c>
      <c r="BH227" s="13">
        <v>0</v>
      </c>
      <c r="BI227" s="13">
        <v>0</v>
      </c>
      <c r="BJ227" s="13">
        <v>0</v>
      </c>
      <c r="BK227" s="13">
        <v>0</v>
      </c>
      <c r="BL227" s="13">
        <v>0</v>
      </c>
      <c r="BM227" s="13">
        <v>0</v>
      </c>
      <c r="BN227" s="13">
        <v>0</v>
      </c>
      <c r="BO227" s="13">
        <v>0</v>
      </c>
      <c r="BP227" s="13">
        <v>1</v>
      </c>
      <c r="BR227" s="13">
        <v>8</v>
      </c>
    </row>
    <row r="228" spans="1:70" s="13" customFormat="1" x14ac:dyDescent="0.15">
      <c r="B228" s="13" t="s">
        <v>1980</v>
      </c>
      <c r="C228" s="13" t="s">
        <v>938</v>
      </c>
      <c r="E228" s="13" t="s">
        <v>939</v>
      </c>
      <c r="G228" s="13">
        <v>0</v>
      </c>
      <c r="H228" s="13">
        <v>14</v>
      </c>
      <c r="I228" s="13" t="s">
        <v>400</v>
      </c>
      <c r="K228" s="13">
        <v>3</v>
      </c>
      <c r="L228" s="13">
        <v>1</v>
      </c>
      <c r="M228" s="13" t="s">
        <v>254</v>
      </c>
      <c r="N228" s="13" t="s">
        <v>396</v>
      </c>
      <c r="O228" s="13">
        <v>0</v>
      </c>
      <c r="P228" s="13" t="s">
        <v>1981</v>
      </c>
      <c r="Q228" s="13" t="s">
        <v>940</v>
      </c>
      <c r="S228" s="13" t="s">
        <v>941</v>
      </c>
      <c r="U228" s="13" t="s">
        <v>942</v>
      </c>
      <c r="Y228" s="13" t="s">
        <v>250</v>
      </c>
      <c r="Z228" s="13" t="s">
        <v>943</v>
      </c>
      <c r="AA228" s="13" t="s">
        <v>251</v>
      </c>
      <c r="AB228" s="13">
        <v>0.15</v>
      </c>
      <c r="AC228" s="11">
        <v>30</v>
      </c>
      <c r="AD228" s="13">
        <v>20</v>
      </c>
      <c r="AE228" s="13">
        <v>1</v>
      </c>
      <c r="AF228" s="13" t="s">
        <v>1022</v>
      </c>
      <c r="AH228" s="13" t="s">
        <v>399</v>
      </c>
      <c r="AI228" s="13">
        <v>0</v>
      </c>
      <c r="AK228" s="13">
        <v>25865.651599200002</v>
      </c>
      <c r="AN228" s="163" t="s">
        <v>235</v>
      </c>
      <c r="AO228" s="163">
        <v>0</v>
      </c>
      <c r="AP228" s="163" t="s">
        <v>252</v>
      </c>
      <c r="AR228" s="13">
        <v>25865.651599200002</v>
      </c>
      <c r="AS228" s="13">
        <v>12922.738915967997</v>
      </c>
      <c r="AT228" s="13">
        <v>184892.57697455998</v>
      </c>
      <c r="AU228" s="13">
        <v>1</v>
      </c>
      <c r="AV228" s="13">
        <v>1</v>
      </c>
      <c r="AW228" s="13">
        <v>0</v>
      </c>
      <c r="AX228" s="13">
        <v>0</v>
      </c>
      <c r="AY228" s="13">
        <v>0</v>
      </c>
      <c r="AZ228" s="13">
        <v>0</v>
      </c>
      <c r="BA228" s="13">
        <v>0</v>
      </c>
      <c r="BB228" s="13">
        <v>0</v>
      </c>
      <c r="BC228" s="13">
        <v>0</v>
      </c>
      <c r="BD228" s="13">
        <v>0</v>
      </c>
      <c r="BE228" s="13">
        <v>0</v>
      </c>
      <c r="BF228" s="13">
        <v>0</v>
      </c>
      <c r="BG228" s="13">
        <v>0</v>
      </c>
      <c r="BH228" s="13">
        <v>0</v>
      </c>
      <c r="BI228" s="13">
        <v>0</v>
      </c>
      <c r="BJ228" s="13">
        <v>0</v>
      </c>
      <c r="BK228" s="13">
        <v>0</v>
      </c>
      <c r="BL228" s="13">
        <v>0</v>
      </c>
      <c r="BM228" s="13">
        <v>0</v>
      </c>
      <c r="BN228" s="13">
        <v>0</v>
      </c>
      <c r="BO228" s="13">
        <v>0</v>
      </c>
      <c r="BP228" s="13">
        <v>1</v>
      </c>
      <c r="BR228" s="13">
        <v>15</v>
      </c>
    </row>
    <row r="229" spans="1:70" s="13" customFormat="1" x14ac:dyDescent="0.15">
      <c r="B229" s="13" t="s">
        <v>2644</v>
      </c>
      <c r="C229" s="13" t="s">
        <v>409</v>
      </c>
      <c r="E229" s="13" t="s">
        <v>408</v>
      </c>
      <c r="G229" s="13">
        <v>0</v>
      </c>
      <c r="H229" s="13">
        <v>13</v>
      </c>
      <c r="I229" s="13" t="s">
        <v>401</v>
      </c>
      <c r="K229" s="13">
        <v>3</v>
      </c>
      <c r="L229" s="13">
        <v>1</v>
      </c>
      <c r="M229" s="13" t="s">
        <v>254</v>
      </c>
      <c r="N229" s="13" t="s">
        <v>396</v>
      </c>
      <c r="O229" s="13">
        <v>0</v>
      </c>
      <c r="P229" s="13" t="s">
        <v>2645</v>
      </c>
      <c r="Q229" s="13" t="s">
        <v>407</v>
      </c>
      <c r="S229" s="13" t="s">
        <v>406</v>
      </c>
      <c r="U229" s="13" t="s">
        <v>405</v>
      </c>
      <c r="Y229" s="13" t="s">
        <v>250</v>
      </c>
      <c r="Z229" s="13" t="s">
        <v>422</v>
      </c>
      <c r="AA229" s="13" t="s">
        <v>251</v>
      </c>
      <c r="AB229" s="13">
        <v>0.15</v>
      </c>
      <c r="AC229" s="11">
        <v>0</v>
      </c>
      <c r="AD229" s="13">
        <v>20</v>
      </c>
      <c r="AE229" s="13">
        <v>1</v>
      </c>
      <c r="AF229" s="13" t="s">
        <v>1013</v>
      </c>
      <c r="AH229" s="13" t="s">
        <v>2646</v>
      </c>
      <c r="AI229" s="13">
        <v>0</v>
      </c>
      <c r="AK229" s="13">
        <v>35190.210423429591</v>
      </c>
      <c r="AN229" s="163" t="s">
        <v>235</v>
      </c>
      <c r="AO229" s="163">
        <v>0</v>
      </c>
      <c r="AP229" s="163" t="s">
        <v>252</v>
      </c>
      <c r="AR229" s="13">
        <v>35190.210423429591</v>
      </c>
      <c r="AS229" s="13">
        <v>12735.548313599998</v>
      </c>
      <c r="AT229" s="13">
        <v>105844.88334350449</v>
      </c>
      <c r="AU229" s="13">
        <v>1</v>
      </c>
      <c r="AV229" s="13">
        <v>1</v>
      </c>
      <c r="AW229" s="13">
        <v>0</v>
      </c>
      <c r="AX229" s="13">
        <v>0</v>
      </c>
      <c r="AY229" s="13">
        <v>0</v>
      </c>
      <c r="AZ229" s="13">
        <v>0</v>
      </c>
      <c r="BA229" s="13">
        <v>0</v>
      </c>
      <c r="BB229" s="13">
        <v>0</v>
      </c>
      <c r="BC229" s="13">
        <v>0</v>
      </c>
      <c r="BD229" s="13">
        <v>0</v>
      </c>
      <c r="BE229" s="13">
        <v>0</v>
      </c>
      <c r="BF229" s="13">
        <v>0</v>
      </c>
      <c r="BG229" s="13">
        <v>0</v>
      </c>
      <c r="BH229" s="13">
        <v>0</v>
      </c>
      <c r="BI229" s="13">
        <v>0</v>
      </c>
      <c r="BJ229" s="13">
        <v>0</v>
      </c>
      <c r="BK229" s="13">
        <v>0</v>
      </c>
      <c r="BL229" s="13">
        <v>0</v>
      </c>
      <c r="BM229" s="13">
        <v>0</v>
      </c>
      <c r="BN229" s="13">
        <v>0</v>
      </c>
      <c r="BO229" s="13">
        <v>0</v>
      </c>
      <c r="BP229" s="13">
        <v>1</v>
      </c>
      <c r="BR229" s="13">
        <v>10</v>
      </c>
    </row>
    <row r="230" spans="1:70" s="13" customFormat="1" x14ac:dyDescent="0.15">
      <c r="B230" s="13" t="s">
        <v>2647</v>
      </c>
      <c r="C230" s="13" t="s">
        <v>409</v>
      </c>
      <c r="E230" s="13" t="s">
        <v>408</v>
      </c>
      <c r="G230" s="13">
        <v>0</v>
      </c>
      <c r="H230" s="13">
        <v>13</v>
      </c>
      <c r="I230" s="13" t="s">
        <v>401</v>
      </c>
      <c r="K230" s="13">
        <v>3</v>
      </c>
      <c r="L230" s="13">
        <v>1</v>
      </c>
      <c r="M230" s="13" t="s">
        <v>254</v>
      </c>
      <c r="N230" s="13" t="s">
        <v>396</v>
      </c>
      <c r="O230" s="13">
        <v>0</v>
      </c>
      <c r="P230" s="13" t="s">
        <v>2648</v>
      </c>
      <c r="Q230" s="13" t="s">
        <v>407</v>
      </c>
      <c r="S230" s="13" t="s">
        <v>406</v>
      </c>
      <c r="U230" s="13" t="s">
        <v>405</v>
      </c>
      <c r="Y230" s="13" t="s">
        <v>250</v>
      </c>
      <c r="Z230" s="13" t="s">
        <v>422</v>
      </c>
      <c r="AA230" s="13" t="s">
        <v>251</v>
      </c>
      <c r="AB230" s="13">
        <v>0.15</v>
      </c>
      <c r="AC230" s="13">
        <v>0</v>
      </c>
      <c r="AD230" s="13">
        <v>20</v>
      </c>
      <c r="AE230" s="13">
        <v>1</v>
      </c>
      <c r="AF230" s="13" t="s">
        <v>1013</v>
      </c>
      <c r="AH230" s="13" t="s">
        <v>2646</v>
      </c>
      <c r="AI230" s="13">
        <v>0</v>
      </c>
      <c r="AK230" s="13">
        <v>35190.210423429591</v>
      </c>
      <c r="AN230" s="163" t="s">
        <v>235</v>
      </c>
      <c r="AO230" s="163">
        <v>0</v>
      </c>
      <c r="AP230" s="163" t="s">
        <v>252</v>
      </c>
      <c r="AR230" s="13">
        <v>35190.210423429591</v>
      </c>
      <c r="AS230" s="13">
        <v>12735.548313599998</v>
      </c>
      <c r="AT230" s="13">
        <v>105844.88334350449</v>
      </c>
      <c r="AU230" s="13">
        <v>1</v>
      </c>
      <c r="AV230" s="13">
        <v>1</v>
      </c>
      <c r="AW230" s="13">
        <v>0</v>
      </c>
      <c r="AX230" s="13">
        <v>0</v>
      </c>
      <c r="AY230" s="13">
        <v>0</v>
      </c>
      <c r="AZ230" s="13">
        <v>0</v>
      </c>
      <c r="BA230" s="13">
        <v>0</v>
      </c>
      <c r="BB230" s="13">
        <v>0</v>
      </c>
      <c r="BC230" s="13">
        <v>0</v>
      </c>
      <c r="BD230" s="13">
        <v>0</v>
      </c>
      <c r="BE230" s="13">
        <v>0</v>
      </c>
      <c r="BF230" s="13">
        <v>0</v>
      </c>
      <c r="BG230" s="13">
        <v>0</v>
      </c>
      <c r="BH230" s="13">
        <v>0</v>
      </c>
      <c r="BI230" s="13">
        <v>0</v>
      </c>
      <c r="BJ230" s="13">
        <v>0</v>
      </c>
      <c r="BK230" s="13">
        <v>0</v>
      </c>
      <c r="BL230" s="13">
        <v>0</v>
      </c>
      <c r="BM230" s="13">
        <v>0</v>
      </c>
      <c r="BN230" s="13">
        <v>0</v>
      </c>
      <c r="BO230" s="13">
        <v>0</v>
      </c>
      <c r="BP230" s="13">
        <v>1</v>
      </c>
      <c r="BR230" s="13">
        <v>10</v>
      </c>
    </row>
    <row r="231" spans="1:70" s="13" customFormat="1" x14ac:dyDescent="0.15">
      <c r="B231" s="13" t="s">
        <v>2649</v>
      </c>
      <c r="C231" s="13" t="s">
        <v>2370</v>
      </c>
      <c r="E231" s="13" t="s">
        <v>2371</v>
      </c>
      <c r="G231" s="13">
        <v>0</v>
      </c>
      <c r="H231" s="13">
        <v>14</v>
      </c>
      <c r="I231" s="13" t="s">
        <v>296</v>
      </c>
      <c r="K231" s="13">
        <v>3</v>
      </c>
      <c r="L231" s="13">
        <v>1</v>
      </c>
      <c r="M231" s="13" t="s">
        <v>254</v>
      </c>
      <c r="N231" s="13" t="s">
        <v>396</v>
      </c>
      <c r="O231" s="13">
        <v>0</v>
      </c>
      <c r="P231" s="13" t="s">
        <v>2650</v>
      </c>
      <c r="Q231" s="13" t="s">
        <v>2373</v>
      </c>
      <c r="S231" s="13" t="s">
        <v>2374</v>
      </c>
      <c r="U231" s="13" t="s">
        <v>2375</v>
      </c>
      <c r="Y231" s="13" t="s">
        <v>250</v>
      </c>
      <c r="Z231" s="13" t="s">
        <v>2376</v>
      </c>
      <c r="AA231" s="13" t="s">
        <v>251</v>
      </c>
      <c r="AB231" s="13">
        <v>0.15</v>
      </c>
      <c r="AC231" s="13">
        <v>0</v>
      </c>
      <c r="AD231" s="13">
        <v>20</v>
      </c>
      <c r="AE231" s="13">
        <v>1</v>
      </c>
      <c r="AF231" s="13" t="s">
        <v>2377</v>
      </c>
      <c r="AH231" s="13" t="s">
        <v>2378</v>
      </c>
      <c r="AI231" s="13">
        <v>0</v>
      </c>
      <c r="AK231" s="13">
        <v>34763.435749324803</v>
      </c>
      <c r="AN231" s="163" t="s">
        <v>235</v>
      </c>
      <c r="AO231" s="163">
        <v>0</v>
      </c>
      <c r="AP231" s="163" t="s">
        <v>252</v>
      </c>
      <c r="AR231" s="13">
        <v>34763.435749324803</v>
      </c>
      <c r="AS231" s="13">
        <v>8980.2083992319967</v>
      </c>
      <c r="AT231" s="13">
        <v>80300.419733898001</v>
      </c>
      <c r="AU231" s="13">
        <v>1</v>
      </c>
      <c r="AV231" s="13">
        <v>1</v>
      </c>
      <c r="AW231" s="13">
        <v>0</v>
      </c>
      <c r="AX231" s="13">
        <v>0</v>
      </c>
      <c r="AY231" s="13">
        <v>0</v>
      </c>
      <c r="AZ231" s="13">
        <v>0</v>
      </c>
      <c r="BA231" s="13">
        <v>0</v>
      </c>
      <c r="BB231" s="13">
        <v>0</v>
      </c>
      <c r="BC231" s="13">
        <v>0</v>
      </c>
      <c r="BD231" s="13">
        <v>0</v>
      </c>
      <c r="BE231" s="13">
        <v>0</v>
      </c>
      <c r="BF231" s="13">
        <v>0</v>
      </c>
      <c r="BG231" s="13">
        <v>0</v>
      </c>
      <c r="BH231" s="13">
        <v>0</v>
      </c>
      <c r="BI231" s="13">
        <v>0</v>
      </c>
      <c r="BJ231" s="13">
        <v>0</v>
      </c>
      <c r="BK231" s="13">
        <v>0</v>
      </c>
      <c r="BL231" s="13">
        <v>0</v>
      </c>
      <c r="BM231" s="13">
        <v>0</v>
      </c>
      <c r="BN231" s="13">
        <v>0</v>
      </c>
      <c r="BO231" s="13">
        <v>0</v>
      </c>
      <c r="BP231" s="13">
        <v>1</v>
      </c>
      <c r="BR231" s="13">
        <v>10</v>
      </c>
    </row>
    <row r="232" spans="1:70" s="13" customFormat="1" x14ac:dyDescent="0.15">
      <c r="B232" s="13" t="s">
        <v>1982</v>
      </c>
      <c r="C232" s="13" t="s">
        <v>2370</v>
      </c>
      <c r="E232" s="13" t="s">
        <v>2371</v>
      </c>
      <c r="G232" s="13">
        <v>0</v>
      </c>
      <c r="H232" s="13">
        <v>14</v>
      </c>
      <c r="I232" s="13" t="s">
        <v>296</v>
      </c>
      <c r="K232" s="13">
        <v>3</v>
      </c>
      <c r="L232" s="13">
        <v>1</v>
      </c>
      <c r="M232" s="13" t="s">
        <v>254</v>
      </c>
      <c r="N232" s="13" t="s">
        <v>396</v>
      </c>
      <c r="O232" s="13">
        <v>0</v>
      </c>
      <c r="P232" s="13" t="s">
        <v>1983</v>
      </c>
      <c r="Q232" s="13" t="s">
        <v>2373</v>
      </c>
      <c r="S232" s="13" t="s">
        <v>2374</v>
      </c>
      <c r="U232" s="13" t="s">
        <v>2375</v>
      </c>
      <c r="Y232" s="13" t="s">
        <v>250</v>
      </c>
      <c r="Z232" s="13" t="s">
        <v>2376</v>
      </c>
      <c r="AA232" s="13" t="s">
        <v>251</v>
      </c>
      <c r="AB232" s="13">
        <v>0.15</v>
      </c>
      <c r="AC232" s="13">
        <v>0</v>
      </c>
      <c r="AD232" s="13">
        <v>20</v>
      </c>
      <c r="AE232" s="13">
        <v>1</v>
      </c>
      <c r="AF232" s="13" t="s">
        <v>2377</v>
      </c>
      <c r="AH232" s="13" t="s">
        <v>2378</v>
      </c>
      <c r="AI232" s="13">
        <v>680</v>
      </c>
      <c r="AK232" s="13">
        <v>34763.435749324803</v>
      </c>
      <c r="AN232" s="163" t="s">
        <v>235</v>
      </c>
      <c r="AO232" s="163">
        <v>0</v>
      </c>
      <c r="AP232" s="163" t="s">
        <v>252</v>
      </c>
      <c r="AR232" s="13">
        <v>34763.435749324803</v>
      </c>
      <c r="AS232" s="13">
        <v>8980.2083992319967</v>
      </c>
      <c r="AT232" s="13">
        <v>80300.419733898001</v>
      </c>
      <c r="AU232" s="13">
        <v>1</v>
      </c>
      <c r="AV232" s="13">
        <v>1</v>
      </c>
      <c r="AW232" s="13">
        <v>0</v>
      </c>
      <c r="AX232" s="13">
        <v>0</v>
      </c>
      <c r="AY232" s="13">
        <v>0</v>
      </c>
      <c r="AZ232" s="13">
        <v>0</v>
      </c>
      <c r="BA232" s="13">
        <v>0</v>
      </c>
      <c r="BB232" s="13">
        <v>0</v>
      </c>
      <c r="BC232" s="13">
        <v>0</v>
      </c>
      <c r="BD232" s="13">
        <v>0</v>
      </c>
      <c r="BE232" s="13">
        <v>0</v>
      </c>
      <c r="BF232" s="13">
        <v>0</v>
      </c>
      <c r="BG232" s="13">
        <v>0</v>
      </c>
      <c r="BH232" s="13">
        <v>0</v>
      </c>
      <c r="BI232" s="13">
        <v>0</v>
      </c>
      <c r="BJ232" s="13">
        <v>0</v>
      </c>
      <c r="BK232" s="13">
        <v>0</v>
      </c>
      <c r="BL232" s="13">
        <v>0</v>
      </c>
      <c r="BM232" s="13">
        <v>0</v>
      </c>
      <c r="BN232" s="13">
        <v>0</v>
      </c>
      <c r="BO232" s="13">
        <v>0</v>
      </c>
      <c r="BP232" s="13">
        <v>1</v>
      </c>
      <c r="BR232" s="13">
        <v>10</v>
      </c>
    </row>
    <row r="233" spans="1:70" s="42" customFormat="1" ht="14.25" x14ac:dyDescent="0.15">
      <c r="A233" s="164"/>
      <c r="B233" s="42" t="s">
        <v>2651</v>
      </c>
      <c r="C233" s="42" t="s">
        <v>963</v>
      </c>
      <c r="E233" s="42" t="s">
        <v>964</v>
      </c>
      <c r="G233" s="42">
        <v>0</v>
      </c>
      <c r="H233" s="42">
        <v>14</v>
      </c>
      <c r="I233" s="42" t="s">
        <v>890</v>
      </c>
      <c r="K233" s="42">
        <v>3</v>
      </c>
      <c r="L233" s="42">
        <v>1</v>
      </c>
      <c r="M233" s="42" t="s">
        <v>254</v>
      </c>
      <c r="N233" s="42" t="s">
        <v>396</v>
      </c>
      <c r="O233" s="42">
        <v>0</v>
      </c>
      <c r="P233" s="42" t="s">
        <v>2652</v>
      </c>
      <c r="Q233" s="42" t="s">
        <v>965</v>
      </c>
      <c r="S233" s="42" t="s">
        <v>966</v>
      </c>
      <c r="U233" s="42" t="s">
        <v>967</v>
      </c>
      <c r="Y233" s="42" t="s">
        <v>250</v>
      </c>
      <c r="Z233" s="42" t="s">
        <v>968</v>
      </c>
      <c r="AA233" s="13" t="s">
        <v>251</v>
      </c>
      <c r="AB233" s="13">
        <v>0.15</v>
      </c>
      <c r="AC233" s="13">
        <v>45</v>
      </c>
      <c r="AD233" s="42">
        <v>20</v>
      </c>
      <c r="AE233" s="42">
        <v>1</v>
      </c>
      <c r="AF233" s="13" t="s">
        <v>1027</v>
      </c>
      <c r="AH233" s="13" t="s">
        <v>399</v>
      </c>
      <c r="AI233" s="13">
        <v>0</v>
      </c>
      <c r="AJ233" s="13"/>
      <c r="AK233" s="42">
        <v>36211.912238880002</v>
      </c>
      <c r="AN233" s="42" t="s">
        <v>235</v>
      </c>
      <c r="AO233" s="42">
        <v>0</v>
      </c>
      <c r="AP233" s="42" t="s">
        <v>252</v>
      </c>
      <c r="AR233" s="42">
        <v>36211.912238880002</v>
      </c>
      <c r="AS233" s="42">
        <v>10951.473657599998</v>
      </c>
      <c r="AT233" s="42">
        <v>136374.66670464</v>
      </c>
      <c r="AU233" s="13">
        <v>1</v>
      </c>
      <c r="AV233" s="13">
        <v>1</v>
      </c>
      <c r="AW233" s="13">
        <v>0</v>
      </c>
      <c r="AX233" s="13">
        <v>0</v>
      </c>
      <c r="AY233" s="13">
        <v>0</v>
      </c>
      <c r="AZ233" s="13">
        <v>0</v>
      </c>
      <c r="BA233" s="13">
        <v>0</v>
      </c>
      <c r="BB233" s="13">
        <v>0</v>
      </c>
      <c r="BC233" s="13">
        <v>0</v>
      </c>
      <c r="BD233" s="13">
        <v>0</v>
      </c>
      <c r="BE233" s="13">
        <v>0</v>
      </c>
      <c r="BF233" s="13">
        <v>0</v>
      </c>
      <c r="BG233" s="13">
        <v>0</v>
      </c>
      <c r="BH233" s="13">
        <v>0</v>
      </c>
      <c r="BI233" s="13">
        <v>0</v>
      </c>
      <c r="BJ233" s="13">
        <v>0</v>
      </c>
      <c r="BK233" s="13">
        <v>0</v>
      </c>
      <c r="BL233" s="13">
        <v>0</v>
      </c>
      <c r="BM233" s="13">
        <v>0</v>
      </c>
      <c r="BN233" s="13">
        <v>0</v>
      </c>
      <c r="BO233" s="13">
        <v>0</v>
      </c>
      <c r="BP233" s="13">
        <v>1</v>
      </c>
      <c r="BR233" s="42">
        <v>15</v>
      </c>
    </row>
    <row r="234" spans="1:70" s="42" customFormat="1" ht="14.25" x14ac:dyDescent="0.15">
      <c r="A234" s="164"/>
      <c r="B234" s="42" t="s">
        <v>2653</v>
      </c>
      <c r="C234" s="42" t="s">
        <v>2380</v>
      </c>
      <c r="E234" s="42" t="s">
        <v>2381</v>
      </c>
      <c r="G234" s="42">
        <v>0</v>
      </c>
      <c r="H234" s="42">
        <v>14</v>
      </c>
      <c r="I234" s="42" t="s">
        <v>401</v>
      </c>
      <c r="K234" s="42">
        <v>3</v>
      </c>
      <c r="L234" s="42">
        <v>1</v>
      </c>
      <c r="M234" s="42" t="s">
        <v>254</v>
      </c>
      <c r="N234" s="42" t="s">
        <v>396</v>
      </c>
      <c r="O234" s="42">
        <v>0</v>
      </c>
      <c r="P234" s="42" t="s">
        <v>2654</v>
      </c>
      <c r="Q234" s="42" t="s">
        <v>2383</v>
      </c>
      <c r="S234" s="42" t="s">
        <v>2384</v>
      </c>
      <c r="U234" s="42" t="s">
        <v>2385</v>
      </c>
      <c r="Y234" s="42" t="s">
        <v>250</v>
      </c>
      <c r="Z234" s="42" t="s">
        <v>2386</v>
      </c>
      <c r="AA234" s="13" t="s">
        <v>251</v>
      </c>
      <c r="AB234" s="13">
        <v>0.15</v>
      </c>
      <c r="AC234" s="13">
        <v>0</v>
      </c>
      <c r="AD234" s="42">
        <v>20</v>
      </c>
      <c r="AE234" s="42">
        <v>1</v>
      </c>
      <c r="AF234" s="13" t="s">
        <v>2387</v>
      </c>
      <c r="AH234" s="13" t="s">
        <v>399</v>
      </c>
      <c r="AI234" s="13">
        <v>0</v>
      </c>
      <c r="AJ234" s="13"/>
      <c r="AK234" s="42">
        <v>48558.449935564808</v>
      </c>
      <c r="AN234" s="42" t="s">
        <v>235</v>
      </c>
      <c r="AO234" s="42">
        <v>0</v>
      </c>
      <c r="AP234" s="42" t="s">
        <v>252</v>
      </c>
      <c r="AR234" s="42">
        <v>48558.449935564808</v>
      </c>
      <c r="AS234" s="42">
        <v>10951.473657599998</v>
      </c>
      <c r="AT234" s="42">
        <v>130644.30811330079</v>
      </c>
      <c r="AU234" s="13">
        <v>1</v>
      </c>
      <c r="AV234" s="13">
        <v>1</v>
      </c>
      <c r="AW234" s="13">
        <v>0</v>
      </c>
      <c r="AX234" s="13">
        <v>0</v>
      </c>
      <c r="AY234" s="13">
        <v>0</v>
      </c>
      <c r="AZ234" s="13">
        <v>0</v>
      </c>
      <c r="BA234" s="13">
        <v>0</v>
      </c>
      <c r="BB234" s="13">
        <v>0</v>
      </c>
      <c r="BC234" s="13">
        <v>0</v>
      </c>
      <c r="BD234" s="13">
        <v>0</v>
      </c>
      <c r="BE234" s="13">
        <v>0</v>
      </c>
      <c r="BF234" s="13">
        <v>0</v>
      </c>
      <c r="BG234" s="13">
        <v>0</v>
      </c>
      <c r="BH234" s="13">
        <v>0</v>
      </c>
      <c r="BI234" s="13">
        <v>0</v>
      </c>
      <c r="BJ234" s="13">
        <v>0</v>
      </c>
      <c r="BK234" s="13">
        <v>0</v>
      </c>
      <c r="BL234" s="13">
        <v>0</v>
      </c>
      <c r="BM234" s="13">
        <v>0</v>
      </c>
      <c r="BN234" s="13">
        <v>0</v>
      </c>
      <c r="BO234" s="13">
        <v>0</v>
      </c>
      <c r="BP234" s="13">
        <v>1</v>
      </c>
      <c r="BR234" s="42">
        <v>20</v>
      </c>
    </row>
    <row r="235" spans="1:70" s="42" customFormat="1" ht="14.25" x14ac:dyDescent="0.15">
      <c r="A235" s="164"/>
      <c r="B235" s="42" t="s">
        <v>1984</v>
      </c>
      <c r="C235" s="42" t="s">
        <v>930</v>
      </c>
      <c r="E235" s="42" t="s">
        <v>404</v>
      </c>
      <c r="G235" s="42">
        <v>0</v>
      </c>
      <c r="H235" s="42">
        <v>14</v>
      </c>
      <c r="I235" s="42" t="s">
        <v>296</v>
      </c>
      <c r="K235" s="42">
        <v>3</v>
      </c>
      <c r="L235" s="42">
        <v>1</v>
      </c>
      <c r="M235" s="42" t="s">
        <v>254</v>
      </c>
      <c r="N235" s="42" t="s">
        <v>396</v>
      </c>
      <c r="O235" s="42">
        <v>0</v>
      </c>
      <c r="P235" s="42" t="s">
        <v>1985</v>
      </c>
      <c r="Q235" s="42" t="s">
        <v>257</v>
      </c>
      <c r="S235" s="42" t="s">
        <v>403</v>
      </c>
      <c r="U235" s="42" t="s">
        <v>402</v>
      </c>
      <c r="Y235" s="42" t="s">
        <v>250</v>
      </c>
      <c r="Z235" s="42" t="s">
        <v>256</v>
      </c>
      <c r="AA235" s="13" t="s">
        <v>251</v>
      </c>
      <c r="AB235" s="13">
        <v>0.15</v>
      </c>
      <c r="AC235" s="13">
        <v>0</v>
      </c>
      <c r="AD235" s="42">
        <v>20</v>
      </c>
      <c r="AE235" s="42">
        <v>1</v>
      </c>
      <c r="AF235" s="13" t="s">
        <v>1019</v>
      </c>
      <c r="AH235" s="13" t="s">
        <v>399</v>
      </c>
      <c r="AI235" s="13">
        <v>1000</v>
      </c>
      <c r="AJ235" s="13"/>
      <c r="AK235" s="42">
        <v>45937.397240179205</v>
      </c>
      <c r="AN235" s="42" t="s">
        <v>235</v>
      </c>
      <c r="AO235" s="42">
        <v>0</v>
      </c>
      <c r="AP235" s="42" t="s">
        <v>252</v>
      </c>
      <c r="AR235" s="42">
        <v>45937.397240179205</v>
      </c>
      <c r="AS235" s="42">
        <v>8980.2083992319967</v>
      </c>
      <c r="AT235" s="42">
        <v>101713.8649962708</v>
      </c>
      <c r="AU235" s="13">
        <v>1</v>
      </c>
      <c r="AV235" s="13">
        <v>1</v>
      </c>
      <c r="AW235" s="13">
        <v>0</v>
      </c>
      <c r="AX235" s="13">
        <v>0</v>
      </c>
      <c r="AY235" s="13">
        <v>0</v>
      </c>
      <c r="AZ235" s="13">
        <v>0</v>
      </c>
      <c r="BA235" s="13">
        <v>0</v>
      </c>
      <c r="BB235" s="13">
        <v>0</v>
      </c>
      <c r="BC235" s="13">
        <v>0</v>
      </c>
      <c r="BD235" s="13">
        <v>0</v>
      </c>
      <c r="BE235" s="13">
        <v>0</v>
      </c>
      <c r="BF235" s="13">
        <v>0</v>
      </c>
      <c r="BG235" s="13">
        <v>0</v>
      </c>
      <c r="BH235" s="13">
        <v>0</v>
      </c>
      <c r="BI235" s="13">
        <v>0</v>
      </c>
      <c r="BJ235" s="13">
        <v>0</v>
      </c>
      <c r="BK235" s="13">
        <v>0</v>
      </c>
      <c r="BL235" s="13">
        <v>0</v>
      </c>
      <c r="BM235" s="13">
        <v>0</v>
      </c>
      <c r="BN235" s="13">
        <v>0</v>
      </c>
      <c r="BO235" s="13">
        <v>0</v>
      </c>
      <c r="BP235" s="13">
        <v>1</v>
      </c>
      <c r="BR235" s="42">
        <v>17</v>
      </c>
    </row>
    <row r="236" spans="1:70" s="42" customFormat="1" ht="14.25" x14ac:dyDescent="0.15">
      <c r="A236" s="164"/>
      <c r="B236" s="42" t="s">
        <v>1986</v>
      </c>
      <c r="C236" s="11" t="s">
        <v>950</v>
      </c>
      <c r="E236" s="42" t="s">
        <v>951</v>
      </c>
      <c r="G236" s="42">
        <v>1</v>
      </c>
      <c r="H236" s="42">
        <v>14</v>
      </c>
      <c r="I236" s="42" t="s">
        <v>400</v>
      </c>
      <c r="K236" s="42">
        <v>3</v>
      </c>
      <c r="L236" s="42">
        <v>1</v>
      </c>
      <c r="M236" s="42" t="s">
        <v>254</v>
      </c>
      <c r="N236" s="42" t="s">
        <v>396</v>
      </c>
      <c r="O236" s="42">
        <v>0</v>
      </c>
      <c r="P236" s="42" t="s">
        <v>1987</v>
      </c>
      <c r="Q236" s="42" t="s">
        <v>952</v>
      </c>
      <c r="S236" s="42" t="s">
        <v>953</v>
      </c>
      <c r="U236" s="42" t="s">
        <v>954</v>
      </c>
      <c r="Y236" s="42" t="s">
        <v>250</v>
      </c>
      <c r="Z236" s="42" t="s">
        <v>955</v>
      </c>
      <c r="AA236" s="13" t="s">
        <v>251</v>
      </c>
      <c r="AB236" s="13">
        <v>0.15</v>
      </c>
      <c r="AC236" s="13">
        <v>0</v>
      </c>
      <c r="AD236" s="42">
        <v>20</v>
      </c>
      <c r="AE236" s="42">
        <v>1</v>
      </c>
      <c r="AF236" s="13" t="s">
        <v>1024</v>
      </c>
      <c r="AH236" s="13" t="s">
        <v>399</v>
      </c>
      <c r="AI236" s="13">
        <v>1000</v>
      </c>
      <c r="AJ236" s="13"/>
      <c r="AK236" s="42">
        <v>30262.812371063999</v>
      </c>
      <c r="AN236" s="42" t="s">
        <v>235</v>
      </c>
      <c r="AO236" s="42">
        <v>0</v>
      </c>
      <c r="AP236" s="42" t="s">
        <v>252</v>
      </c>
      <c r="AR236" s="42">
        <v>30262.812371063999</v>
      </c>
      <c r="AS236" s="42">
        <v>12922.738915967997</v>
      </c>
      <c r="AT236" s="42">
        <v>210315.30630856197</v>
      </c>
      <c r="AU236" s="13">
        <v>1</v>
      </c>
      <c r="AV236" s="13">
        <v>1</v>
      </c>
      <c r="AW236" s="13">
        <v>0</v>
      </c>
      <c r="AX236" s="13">
        <v>0</v>
      </c>
      <c r="AY236" s="13">
        <v>0</v>
      </c>
      <c r="AZ236" s="13">
        <v>0</v>
      </c>
      <c r="BA236" s="13">
        <v>0</v>
      </c>
      <c r="BB236" s="13">
        <v>0</v>
      </c>
      <c r="BC236" s="13">
        <v>0</v>
      </c>
      <c r="BD236" s="13">
        <v>0</v>
      </c>
      <c r="BE236" s="13">
        <v>0</v>
      </c>
      <c r="BF236" s="13">
        <v>0</v>
      </c>
      <c r="BG236" s="13">
        <v>0</v>
      </c>
      <c r="BH236" s="13">
        <v>0</v>
      </c>
      <c r="BI236" s="13">
        <v>0</v>
      </c>
      <c r="BJ236" s="13">
        <v>0</v>
      </c>
      <c r="BK236" s="13">
        <v>0</v>
      </c>
      <c r="BL236" s="13">
        <v>0</v>
      </c>
      <c r="BM236" s="13">
        <v>0</v>
      </c>
      <c r="BN236" s="13">
        <v>0</v>
      </c>
      <c r="BO236" s="13">
        <v>0</v>
      </c>
      <c r="BP236" s="13">
        <v>1</v>
      </c>
      <c r="BR236" s="42">
        <v>18</v>
      </c>
    </row>
    <row r="237" spans="1:70" s="42" customFormat="1" ht="14.25" x14ac:dyDescent="0.15">
      <c r="A237" s="164"/>
      <c r="B237" s="42" t="s">
        <v>2655</v>
      </c>
      <c r="C237" s="42" t="s">
        <v>2245</v>
      </c>
      <c r="E237" s="42" t="s">
        <v>2246</v>
      </c>
      <c r="G237" s="42">
        <v>1</v>
      </c>
      <c r="H237" s="42">
        <v>14</v>
      </c>
      <c r="I237" s="42" t="s">
        <v>296</v>
      </c>
      <c r="K237" s="42">
        <v>3</v>
      </c>
      <c r="L237" s="42">
        <v>1</v>
      </c>
      <c r="M237" s="42" t="s">
        <v>254</v>
      </c>
      <c r="N237" s="42" t="s">
        <v>396</v>
      </c>
      <c r="O237" s="42">
        <v>0</v>
      </c>
      <c r="P237" s="42" t="s">
        <v>2656</v>
      </c>
      <c r="Q237" s="42" t="s">
        <v>2247</v>
      </c>
      <c r="S237" s="42" t="s">
        <v>2270</v>
      </c>
      <c r="U237" s="42" t="s">
        <v>2248</v>
      </c>
      <c r="Y237" s="42" t="s">
        <v>250</v>
      </c>
      <c r="Z237" s="162" t="s">
        <v>3183</v>
      </c>
      <c r="AA237" s="13" t="s">
        <v>251</v>
      </c>
      <c r="AB237" s="13">
        <v>0.15</v>
      </c>
      <c r="AC237" s="13">
        <v>0</v>
      </c>
      <c r="AD237" s="42">
        <v>20</v>
      </c>
      <c r="AE237" s="42">
        <v>1</v>
      </c>
      <c r="AF237" s="13" t="s">
        <v>2911</v>
      </c>
      <c r="AH237" s="13" t="s">
        <v>3171</v>
      </c>
      <c r="AI237" s="13">
        <v>800</v>
      </c>
      <c r="AJ237" s="13"/>
      <c r="AK237" s="42">
        <v>41385.042558720001</v>
      </c>
      <c r="AN237" s="42" t="s">
        <v>235</v>
      </c>
      <c r="AO237" s="42">
        <v>0</v>
      </c>
      <c r="AP237" s="42" t="s">
        <v>252</v>
      </c>
      <c r="AR237" s="42">
        <v>41385.042558720001</v>
      </c>
      <c r="AS237" s="42">
        <v>8980.2083992319967</v>
      </c>
      <c r="AT237" s="42">
        <v>133735.08592335999</v>
      </c>
      <c r="AU237" s="13">
        <v>1</v>
      </c>
      <c r="AV237" s="13">
        <v>1</v>
      </c>
      <c r="AW237" s="13">
        <v>0</v>
      </c>
      <c r="AX237" s="13">
        <v>0</v>
      </c>
      <c r="AY237" s="13">
        <v>0</v>
      </c>
      <c r="AZ237" s="13">
        <v>0</v>
      </c>
      <c r="BA237" s="13">
        <v>0</v>
      </c>
      <c r="BB237" s="13">
        <v>0</v>
      </c>
      <c r="BC237" s="13">
        <v>0</v>
      </c>
      <c r="BD237" s="13">
        <v>0</v>
      </c>
      <c r="BE237" s="13">
        <v>0</v>
      </c>
      <c r="BF237" s="13">
        <v>0</v>
      </c>
      <c r="BG237" s="13">
        <v>0</v>
      </c>
      <c r="BH237" s="13">
        <v>0</v>
      </c>
      <c r="BI237" s="13">
        <v>0</v>
      </c>
      <c r="BJ237" s="13">
        <v>0</v>
      </c>
      <c r="BK237" s="13">
        <v>0</v>
      </c>
      <c r="BL237" s="13">
        <v>0</v>
      </c>
      <c r="BM237" s="13">
        <v>0</v>
      </c>
      <c r="BN237" s="13">
        <v>0</v>
      </c>
      <c r="BO237" s="13">
        <v>0</v>
      </c>
      <c r="BP237" s="13">
        <v>1</v>
      </c>
      <c r="BR237" s="42">
        <v>15</v>
      </c>
    </row>
    <row r="238" spans="1:70" s="42" customFormat="1" ht="14.25" x14ac:dyDescent="0.15">
      <c r="A238" s="164"/>
      <c r="B238" s="42" t="s">
        <v>2657</v>
      </c>
      <c r="C238" s="11" t="s">
        <v>2658</v>
      </c>
      <c r="E238" s="42" t="s">
        <v>2659</v>
      </c>
      <c r="G238" s="42">
        <v>0</v>
      </c>
      <c r="H238" s="42">
        <v>14</v>
      </c>
      <c r="I238" s="42" t="s">
        <v>400</v>
      </c>
      <c r="K238" s="42">
        <v>3</v>
      </c>
      <c r="L238" s="42">
        <v>1</v>
      </c>
      <c r="M238" s="42" t="s">
        <v>254</v>
      </c>
      <c r="N238" s="42" t="s">
        <v>396</v>
      </c>
      <c r="O238" s="42">
        <v>0</v>
      </c>
      <c r="P238" s="42" t="s">
        <v>2660</v>
      </c>
      <c r="Q238" s="42" t="s">
        <v>2661</v>
      </c>
      <c r="S238" s="42" t="s">
        <v>2662</v>
      </c>
      <c r="U238" s="42" t="s">
        <v>2663</v>
      </c>
      <c r="Y238" s="42" t="s">
        <v>250</v>
      </c>
      <c r="Z238" s="42" t="s">
        <v>2664</v>
      </c>
      <c r="AA238" s="13" t="s">
        <v>251</v>
      </c>
      <c r="AB238" s="13">
        <v>0.15</v>
      </c>
      <c r="AC238" s="13">
        <v>0</v>
      </c>
      <c r="AD238" s="42">
        <v>20</v>
      </c>
      <c r="AE238" s="42">
        <v>1</v>
      </c>
      <c r="AF238" s="13" t="s">
        <v>2665</v>
      </c>
      <c r="AH238" s="13" t="s">
        <v>399</v>
      </c>
      <c r="AI238" s="13">
        <v>800</v>
      </c>
      <c r="AJ238" s="13"/>
      <c r="AK238" s="42">
        <v>27235.666543931988</v>
      </c>
      <c r="AN238" s="42" t="s">
        <v>235</v>
      </c>
      <c r="AO238" s="42">
        <v>0</v>
      </c>
      <c r="AP238" s="42" t="s">
        <v>252</v>
      </c>
      <c r="AR238" s="42">
        <v>27235.666543931988</v>
      </c>
      <c r="AS238" s="42">
        <v>15027.947010047999</v>
      </c>
      <c r="AT238" s="42">
        <v>199892.24125494118</v>
      </c>
      <c r="AU238" s="13">
        <v>1</v>
      </c>
      <c r="AV238" s="13">
        <v>1</v>
      </c>
      <c r="AW238" s="13">
        <v>0</v>
      </c>
      <c r="AX238" s="13">
        <v>0</v>
      </c>
      <c r="AY238" s="13">
        <v>0</v>
      </c>
      <c r="AZ238" s="13">
        <v>0</v>
      </c>
      <c r="BA238" s="13">
        <v>0</v>
      </c>
      <c r="BB238" s="13">
        <v>0</v>
      </c>
      <c r="BC238" s="13">
        <v>0</v>
      </c>
      <c r="BD238" s="13">
        <v>0</v>
      </c>
      <c r="BE238" s="13">
        <v>0</v>
      </c>
      <c r="BF238" s="13">
        <v>0</v>
      </c>
      <c r="BG238" s="13">
        <v>0</v>
      </c>
      <c r="BH238" s="13">
        <v>0</v>
      </c>
      <c r="BI238" s="13">
        <v>0</v>
      </c>
      <c r="BJ238" s="13">
        <v>0</v>
      </c>
      <c r="BK238" s="13">
        <v>0</v>
      </c>
      <c r="BL238" s="13">
        <v>0</v>
      </c>
      <c r="BM238" s="13">
        <v>0</v>
      </c>
      <c r="BN238" s="13">
        <v>0</v>
      </c>
      <c r="BO238" s="13">
        <v>0</v>
      </c>
      <c r="BP238" s="13">
        <v>1</v>
      </c>
      <c r="BR238" s="42">
        <v>12</v>
      </c>
    </row>
    <row r="239" spans="1:70" s="42" customFormat="1" ht="14.25" x14ac:dyDescent="0.15">
      <c r="A239" s="164"/>
      <c r="B239" s="42" t="s">
        <v>2666</v>
      </c>
      <c r="C239" s="42" t="s">
        <v>2245</v>
      </c>
      <c r="E239" s="42" t="s">
        <v>2246</v>
      </c>
      <c r="G239" s="42">
        <v>1</v>
      </c>
      <c r="H239" s="42">
        <v>14</v>
      </c>
      <c r="I239" s="42" t="s">
        <v>296</v>
      </c>
      <c r="K239" s="42">
        <v>3</v>
      </c>
      <c r="L239" s="42">
        <v>1</v>
      </c>
      <c r="M239" s="42" t="s">
        <v>254</v>
      </c>
      <c r="N239" s="42" t="s">
        <v>396</v>
      </c>
      <c r="O239" s="42">
        <v>0</v>
      </c>
      <c r="P239" s="42" t="s">
        <v>2667</v>
      </c>
      <c r="Q239" s="42" t="s">
        <v>2247</v>
      </c>
      <c r="S239" s="42" t="s">
        <v>2270</v>
      </c>
      <c r="U239" s="42" t="s">
        <v>2248</v>
      </c>
      <c r="Y239" s="42" t="s">
        <v>250</v>
      </c>
      <c r="Z239" s="162" t="s">
        <v>3183</v>
      </c>
      <c r="AA239" s="13" t="s">
        <v>251</v>
      </c>
      <c r="AB239" s="13">
        <v>0.15</v>
      </c>
      <c r="AC239" s="13">
        <v>0</v>
      </c>
      <c r="AD239" s="42">
        <v>20</v>
      </c>
      <c r="AE239" s="42">
        <v>1</v>
      </c>
      <c r="AF239" s="13" t="s">
        <v>2271</v>
      </c>
      <c r="AH239" s="13" t="s">
        <v>399</v>
      </c>
      <c r="AI239" s="13">
        <v>800</v>
      </c>
      <c r="AJ239" s="13"/>
      <c r="AK239" s="42">
        <v>51877.46008367998</v>
      </c>
      <c r="AN239" s="42" t="s">
        <v>235</v>
      </c>
      <c r="AO239" s="42">
        <v>0</v>
      </c>
      <c r="AP239" s="42" t="s">
        <v>252</v>
      </c>
      <c r="AR239" s="42">
        <v>51877.46008367998</v>
      </c>
      <c r="AS239" s="42">
        <v>10443.149617151999</v>
      </c>
      <c r="AT239" s="42">
        <v>116701.40099990397</v>
      </c>
      <c r="AU239" s="13">
        <v>1</v>
      </c>
      <c r="AV239" s="13">
        <v>1</v>
      </c>
      <c r="AW239" s="13">
        <v>0</v>
      </c>
      <c r="AX239" s="13">
        <v>0</v>
      </c>
      <c r="AY239" s="13">
        <v>0</v>
      </c>
      <c r="AZ239" s="13">
        <v>0</v>
      </c>
      <c r="BA239" s="13">
        <v>0</v>
      </c>
      <c r="BB239" s="13">
        <v>0</v>
      </c>
      <c r="BC239" s="13">
        <v>0</v>
      </c>
      <c r="BD239" s="13">
        <v>0</v>
      </c>
      <c r="BE239" s="13">
        <v>0</v>
      </c>
      <c r="BF239" s="13">
        <v>0</v>
      </c>
      <c r="BG239" s="13">
        <v>0</v>
      </c>
      <c r="BH239" s="13">
        <v>0</v>
      </c>
      <c r="BI239" s="13">
        <v>0</v>
      </c>
      <c r="BJ239" s="13">
        <v>0</v>
      </c>
      <c r="BK239" s="13">
        <v>0</v>
      </c>
      <c r="BL239" s="13">
        <v>0</v>
      </c>
      <c r="BM239" s="13">
        <v>0</v>
      </c>
      <c r="BN239" s="13">
        <v>0</v>
      </c>
      <c r="BO239" s="13">
        <v>0</v>
      </c>
      <c r="BP239" s="13">
        <v>1</v>
      </c>
      <c r="BR239" s="42">
        <v>15</v>
      </c>
    </row>
    <row r="240" spans="1:70" s="42" customFormat="1" ht="14.25" x14ac:dyDescent="0.15">
      <c r="A240" s="164"/>
      <c r="B240" s="42" t="s">
        <v>1988</v>
      </c>
      <c r="C240" s="42" t="s">
        <v>2391</v>
      </c>
      <c r="E240" s="42" t="s">
        <v>2392</v>
      </c>
      <c r="G240" s="42">
        <v>0</v>
      </c>
      <c r="H240" s="42">
        <v>12</v>
      </c>
      <c r="I240" s="42" t="s">
        <v>401</v>
      </c>
      <c r="K240" s="42">
        <v>3</v>
      </c>
      <c r="L240" s="42">
        <v>1</v>
      </c>
      <c r="M240" s="42" t="s">
        <v>254</v>
      </c>
      <c r="N240" s="42" t="s">
        <v>396</v>
      </c>
      <c r="O240" s="42">
        <v>0</v>
      </c>
      <c r="P240" s="42" t="s">
        <v>1989</v>
      </c>
      <c r="Q240" s="42" t="s">
        <v>2393</v>
      </c>
      <c r="S240" s="42" t="s">
        <v>2394</v>
      </c>
      <c r="U240" s="42" t="s">
        <v>2395</v>
      </c>
      <c r="Y240" s="42" t="s">
        <v>250</v>
      </c>
      <c r="Z240" s="42" t="s">
        <v>2396</v>
      </c>
      <c r="AA240" s="13" t="s">
        <v>251</v>
      </c>
      <c r="AB240" s="13">
        <v>0.15</v>
      </c>
      <c r="AC240" s="13">
        <v>0</v>
      </c>
      <c r="AD240" s="42">
        <v>20</v>
      </c>
      <c r="AE240" s="42">
        <v>1</v>
      </c>
      <c r="AF240" s="13" t="s">
        <v>2397</v>
      </c>
      <c r="AH240" s="13" t="s">
        <v>399</v>
      </c>
      <c r="AI240" s="13">
        <v>680</v>
      </c>
      <c r="AJ240" s="13"/>
      <c r="AK240" s="42">
        <v>42323.361184935595</v>
      </c>
      <c r="AN240" s="42" t="s">
        <v>235</v>
      </c>
      <c r="AO240" s="42">
        <v>0</v>
      </c>
      <c r="AP240" s="42" t="s">
        <v>252</v>
      </c>
      <c r="AR240" s="42">
        <v>42323.361184935595</v>
      </c>
      <c r="AS240" s="42">
        <v>12735.548313599998</v>
      </c>
      <c r="AT240" s="42">
        <v>120822.93287324568</v>
      </c>
      <c r="AU240" s="13">
        <v>1</v>
      </c>
      <c r="AV240" s="13">
        <v>1</v>
      </c>
      <c r="AW240" s="13">
        <v>0</v>
      </c>
      <c r="AX240" s="13">
        <v>0</v>
      </c>
      <c r="AY240" s="13">
        <v>0</v>
      </c>
      <c r="AZ240" s="13">
        <v>0</v>
      </c>
      <c r="BA240" s="13">
        <v>0</v>
      </c>
      <c r="BB240" s="13">
        <v>0</v>
      </c>
      <c r="BC240" s="13">
        <v>0</v>
      </c>
      <c r="BD240" s="13">
        <v>0</v>
      </c>
      <c r="BE240" s="13">
        <v>0</v>
      </c>
      <c r="BF240" s="13">
        <v>0</v>
      </c>
      <c r="BG240" s="13">
        <v>0</v>
      </c>
      <c r="BH240" s="13">
        <v>0</v>
      </c>
      <c r="BI240" s="13">
        <v>0</v>
      </c>
      <c r="BJ240" s="13">
        <v>0</v>
      </c>
      <c r="BK240" s="13">
        <v>0</v>
      </c>
      <c r="BL240" s="13">
        <v>0</v>
      </c>
      <c r="BM240" s="13">
        <v>0</v>
      </c>
      <c r="BN240" s="13">
        <v>0</v>
      </c>
      <c r="BO240" s="13">
        <v>0</v>
      </c>
      <c r="BP240" s="13">
        <v>1</v>
      </c>
      <c r="BR240" s="42">
        <v>13</v>
      </c>
    </row>
    <row r="241" spans="1:70" s="42" customFormat="1" ht="14.25" x14ac:dyDescent="0.15">
      <c r="A241" s="164"/>
      <c r="B241" s="42" t="s">
        <v>1990</v>
      </c>
      <c r="C241" s="42" t="s">
        <v>2319</v>
      </c>
      <c r="E241" s="42" t="s">
        <v>2320</v>
      </c>
      <c r="G241" s="42">
        <v>0</v>
      </c>
      <c r="H241" s="42">
        <v>15</v>
      </c>
      <c r="I241" s="42" t="s">
        <v>296</v>
      </c>
      <c r="K241" s="42">
        <v>3</v>
      </c>
      <c r="L241" s="42">
        <v>1</v>
      </c>
      <c r="M241" s="42" t="s">
        <v>254</v>
      </c>
      <c r="N241" s="42" t="s">
        <v>396</v>
      </c>
      <c r="O241" s="42">
        <v>0</v>
      </c>
      <c r="P241" s="42" t="s">
        <v>1991</v>
      </c>
      <c r="Q241" s="42" t="s">
        <v>2321</v>
      </c>
      <c r="S241" s="42" t="s">
        <v>2322</v>
      </c>
      <c r="U241" s="42" t="s">
        <v>2323</v>
      </c>
      <c r="Y241" s="42" t="s">
        <v>250</v>
      </c>
      <c r="Z241" s="42" t="s">
        <v>2324</v>
      </c>
      <c r="AA241" s="13" t="s">
        <v>251</v>
      </c>
      <c r="AB241" s="13">
        <v>0.15</v>
      </c>
      <c r="AC241" s="13">
        <v>20</v>
      </c>
      <c r="AD241" s="42">
        <v>20</v>
      </c>
      <c r="AE241" s="42">
        <v>1</v>
      </c>
      <c r="AF241" s="13" t="s">
        <v>2325</v>
      </c>
      <c r="AH241" s="13" t="s">
        <v>399</v>
      </c>
      <c r="AI241" s="13">
        <v>680</v>
      </c>
      <c r="AJ241" s="13"/>
      <c r="AK241" s="42">
        <v>51877.46008367998</v>
      </c>
      <c r="AN241" s="42" t="s">
        <v>235</v>
      </c>
      <c r="AO241" s="42">
        <v>0</v>
      </c>
      <c r="AP241" s="42" t="s">
        <v>252</v>
      </c>
      <c r="AR241" s="42">
        <v>51877.46008367998</v>
      </c>
      <c r="AS241" s="42">
        <v>10443.149617151999</v>
      </c>
      <c r="AT241" s="42">
        <v>116701.40099990397</v>
      </c>
      <c r="AU241" s="13">
        <v>1</v>
      </c>
      <c r="AV241" s="13">
        <v>1</v>
      </c>
      <c r="AW241" s="13">
        <v>0</v>
      </c>
      <c r="AX241" s="13">
        <v>0</v>
      </c>
      <c r="AY241" s="13">
        <v>0</v>
      </c>
      <c r="AZ241" s="13">
        <v>0</v>
      </c>
      <c r="BA241" s="13">
        <v>0</v>
      </c>
      <c r="BB241" s="13">
        <v>0</v>
      </c>
      <c r="BC241" s="13">
        <v>0</v>
      </c>
      <c r="BD241" s="13">
        <v>0</v>
      </c>
      <c r="BE241" s="13">
        <v>0</v>
      </c>
      <c r="BF241" s="13">
        <v>0</v>
      </c>
      <c r="BG241" s="13">
        <v>0</v>
      </c>
      <c r="BH241" s="13">
        <v>0</v>
      </c>
      <c r="BI241" s="13">
        <v>0</v>
      </c>
      <c r="BJ241" s="13">
        <v>0</v>
      </c>
      <c r="BK241" s="13">
        <v>0</v>
      </c>
      <c r="BL241" s="13">
        <v>0</v>
      </c>
      <c r="BM241" s="13">
        <v>0</v>
      </c>
      <c r="BN241" s="13">
        <v>0</v>
      </c>
      <c r="BO241" s="13">
        <v>0</v>
      </c>
      <c r="BP241" s="13">
        <v>1</v>
      </c>
      <c r="BR241" s="42">
        <v>17</v>
      </c>
    </row>
    <row r="242" spans="1:70" s="42" customFormat="1" ht="14.25" x14ac:dyDescent="0.15">
      <c r="A242" s="164"/>
      <c r="B242" s="42" t="s">
        <v>2668</v>
      </c>
      <c r="C242" s="42" t="s">
        <v>924</v>
      </c>
      <c r="E242" s="42" t="s">
        <v>925</v>
      </c>
      <c r="G242" s="42">
        <v>0</v>
      </c>
      <c r="H242" s="42">
        <v>13</v>
      </c>
      <c r="I242" s="42" t="s">
        <v>296</v>
      </c>
      <c r="K242" s="42">
        <v>3</v>
      </c>
      <c r="L242" s="42">
        <v>1</v>
      </c>
      <c r="M242" s="42" t="s">
        <v>254</v>
      </c>
      <c r="N242" s="42" t="s">
        <v>396</v>
      </c>
      <c r="O242" s="42">
        <v>0</v>
      </c>
      <c r="P242" s="42" t="s">
        <v>2669</v>
      </c>
      <c r="Q242" s="42" t="s">
        <v>926</v>
      </c>
      <c r="S242" s="42" t="s">
        <v>927</v>
      </c>
      <c r="U242" s="42" t="s">
        <v>928</v>
      </c>
      <c r="Y242" s="42" t="s">
        <v>250</v>
      </c>
      <c r="Z242" s="42" t="s">
        <v>929</v>
      </c>
      <c r="AA242" s="13" t="s">
        <v>251</v>
      </c>
      <c r="AB242" s="13">
        <v>0.15</v>
      </c>
      <c r="AC242" s="13">
        <v>0</v>
      </c>
      <c r="AD242" s="42">
        <v>20</v>
      </c>
      <c r="AE242" s="42">
        <v>1</v>
      </c>
      <c r="AF242" s="13" t="s">
        <v>1018</v>
      </c>
      <c r="AH242" s="13" t="s">
        <v>399</v>
      </c>
      <c r="AI242" s="13">
        <v>1000</v>
      </c>
      <c r="AJ242" s="13"/>
      <c r="AK242" s="42">
        <v>54990.10768870078</v>
      </c>
      <c r="AN242" s="42" t="s">
        <v>235</v>
      </c>
      <c r="AO242" s="42">
        <v>0</v>
      </c>
      <c r="AP242" s="42" t="s">
        <v>252</v>
      </c>
      <c r="AR242" s="42">
        <v>54990.10768870078</v>
      </c>
      <c r="AS242" s="42">
        <v>10443.149617151999</v>
      </c>
      <c r="AT242" s="42">
        <v>121952.96404489965</v>
      </c>
      <c r="AU242" s="13">
        <v>1</v>
      </c>
      <c r="AV242" s="13">
        <v>1</v>
      </c>
      <c r="AW242" s="13">
        <v>0</v>
      </c>
      <c r="AX242" s="13">
        <v>0</v>
      </c>
      <c r="AY242" s="13">
        <v>0</v>
      </c>
      <c r="AZ242" s="13">
        <v>0</v>
      </c>
      <c r="BA242" s="13">
        <v>0</v>
      </c>
      <c r="BB242" s="13">
        <v>0</v>
      </c>
      <c r="BC242" s="13">
        <v>0</v>
      </c>
      <c r="BD242" s="13">
        <v>0</v>
      </c>
      <c r="BE242" s="13">
        <v>0</v>
      </c>
      <c r="BF242" s="13">
        <v>0</v>
      </c>
      <c r="BG242" s="13">
        <v>0</v>
      </c>
      <c r="BH242" s="13">
        <v>0</v>
      </c>
      <c r="BI242" s="13">
        <v>0</v>
      </c>
      <c r="BJ242" s="13">
        <v>0</v>
      </c>
      <c r="BK242" s="13">
        <v>0</v>
      </c>
      <c r="BL242" s="13">
        <v>0</v>
      </c>
      <c r="BM242" s="13">
        <v>0</v>
      </c>
      <c r="BN242" s="13">
        <v>0</v>
      </c>
      <c r="BO242" s="13">
        <v>0</v>
      </c>
      <c r="BP242" s="13">
        <v>1</v>
      </c>
      <c r="BR242" s="42">
        <v>16</v>
      </c>
    </row>
    <row r="243" spans="1:70" s="42" customFormat="1" ht="14.25" x14ac:dyDescent="0.15">
      <c r="A243" s="164"/>
      <c r="B243" s="42" t="s">
        <v>1992</v>
      </c>
      <c r="C243" s="42" t="s">
        <v>2245</v>
      </c>
      <c r="E243" s="42" t="s">
        <v>2246</v>
      </c>
      <c r="G243" s="42">
        <v>1</v>
      </c>
      <c r="H243" s="42">
        <v>14</v>
      </c>
      <c r="I243" s="42" t="s">
        <v>296</v>
      </c>
      <c r="K243" s="42">
        <v>3</v>
      </c>
      <c r="L243" s="42">
        <v>1</v>
      </c>
      <c r="M243" s="42" t="s">
        <v>254</v>
      </c>
      <c r="N243" s="42" t="s">
        <v>396</v>
      </c>
      <c r="O243" s="42">
        <v>0</v>
      </c>
      <c r="P243" s="42" t="s">
        <v>1993</v>
      </c>
      <c r="Q243" s="42" t="s">
        <v>2247</v>
      </c>
      <c r="S243" s="42" t="s">
        <v>2270</v>
      </c>
      <c r="U243" s="42" t="s">
        <v>2248</v>
      </c>
      <c r="Y243" s="42" t="s">
        <v>250</v>
      </c>
      <c r="Z243" s="162" t="s">
        <v>3183</v>
      </c>
      <c r="AA243" s="13" t="s">
        <v>251</v>
      </c>
      <c r="AB243" s="13">
        <v>0.15</v>
      </c>
      <c r="AC243" s="13">
        <v>0</v>
      </c>
      <c r="AD243" s="42">
        <v>20</v>
      </c>
      <c r="AE243" s="42">
        <v>1</v>
      </c>
      <c r="AF243" s="13" t="s">
        <v>2271</v>
      </c>
      <c r="AH243" s="13" t="s">
        <v>399</v>
      </c>
      <c r="AI243" s="13">
        <v>800</v>
      </c>
      <c r="AJ243" s="13"/>
      <c r="AK243" s="42">
        <v>51877.46008367998</v>
      </c>
      <c r="AN243" s="42" t="s">
        <v>235</v>
      </c>
      <c r="AO243" s="42">
        <v>0</v>
      </c>
      <c r="AP243" s="42" t="s">
        <v>252</v>
      </c>
      <c r="AR243" s="42">
        <v>51877.46008367998</v>
      </c>
      <c r="AS243" s="42">
        <v>10443.149617151999</v>
      </c>
      <c r="AT243" s="42">
        <v>116701.40099990397</v>
      </c>
      <c r="AU243" s="13">
        <v>1</v>
      </c>
      <c r="AV243" s="13">
        <v>1</v>
      </c>
      <c r="AW243" s="13">
        <v>0</v>
      </c>
      <c r="AX243" s="13">
        <v>0</v>
      </c>
      <c r="AY243" s="13">
        <v>0</v>
      </c>
      <c r="AZ243" s="13">
        <v>0</v>
      </c>
      <c r="BA243" s="13">
        <v>0</v>
      </c>
      <c r="BB243" s="13">
        <v>0</v>
      </c>
      <c r="BC243" s="13">
        <v>0</v>
      </c>
      <c r="BD243" s="13">
        <v>0</v>
      </c>
      <c r="BE243" s="13">
        <v>0</v>
      </c>
      <c r="BF243" s="13">
        <v>0</v>
      </c>
      <c r="BG243" s="13">
        <v>0</v>
      </c>
      <c r="BH243" s="13">
        <v>0</v>
      </c>
      <c r="BI243" s="13">
        <v>0</v>
      </c>
      <c r="BJ243" s="13">
        <v>0</v>
      </c>
      <c r="BK243" s="13">
        <v>0</v>
      </c>
      <c r="BL243" s="13">
        <v>0</v>
      </c>
      <c r="BM243" s="13">
        <v>0</v>
      </c>
      <c r="BN243" s="13">
        <v>0</v>
      </c>
      <c r="BO243" s="13">
        <v>0</v>
      </c>
      <c r="BP243" s="13">
        <v>1</v>
      </c>
      <c r="BR243" s="42">
        <v>15</v>
      </c>
    </row>
    <row r="244" spans="1:70" s="42" customFormat="1" ht="14.25" x14ac:dyDescent="0.15">
      <c r="A244" s="164"/>
      <c r="B244" s="42" t="s">
        <v>2670</v>
      </c>
      <c r="C244" s="42" t="s">
        <v>862</v>
      </c>
      <c r="E244" s="42" t="s">
        <v>863</v>
      </c>
      <c r="G244" s="42">
        <v>0</v>
      </c>
      <c r="H244" s="42">
        <v>13</v>
      </c>
      <c r="I244" s="42" t="s">
        <v>296</v>
      </c>
      <c r="K244" s="42">
        <v>3</v>
      </c>
      <c r="L244" s="42">
        <v>1</v>
      </c>
      <c r="M244" s="42" t="s">
        <v>254</v>
      </c>
      <c r="N244" s="42" t="s">
        <v>396</v>
      </c>
      <c r="O244" s="42">
        <v>0</v>
      </c>
      <c r="P244" s="42" t="s">
        <v>2671</v>
      </c>
      <c r="Q244" s="42" t="s">
        <v>864</v>
      </c>
      <c r="S244" s="42" t="s">
        <v>865</v>
      </c>
      <c r="U244" s="42" t="s">
        <v>866</v>
      </c>
      <c r="Y244" s="42" t="s">
        <v>250</v>
      </c>
      <c r="Z244" s="42" t="s">
        <v>867</v>
      </c>
      <c r="AA244" s="13" t="s">
        <v>251</v>
      </c>
      <c r="AB244" s="13">
        <v>0.15</v>
      </c>
      <c r="AC244" s="13">
        <v>0</v>
      </c>
      <c r="AD244" s="42">
        <v>20</v>
      </c>
      <c r="AE244" s="42">
        <v>1</v>
      </c>
      <c r="AF244" s="13" t="s">
        <v>1005</v>
      </c>
      <c r="AH244" s="13" t="s">
        <v>399</v>
      </c>
      <c r="AI244" s="13">
        <v>1000</v>
      </c>
      <c r="AJ244" s="13"/>
      <c r="AK244" s="42">
        <v>49283.587079495977</v>
      </c>
      <c r="AN244" s="42" t="s">
        <v>235</v>
      </c>
      <c r="AO244" s="42">
        <v>0</v>
      </c>
      <c r="AP244" s="42" t="s">
        <v>252</v>
      </c>
      <c r="AR244" s="42">
        <v>49283.587079495977</v>
      </c>
      <c r="AS244" s="42">
        <v>10443.149617151999</v>
      </c>
      <c r="AT244" s="42">
        <v>111449.8379549083</v>
      </c>
      <c r="AU244" s="13">
        <v>1</v>
      </c>
      <c r="AV244" s="13">
        <v>1</v>
      </c>
      <c r="AW244" s="13">
        <v>0</v>
      </c>
      <c r="AX244" s="13">
        <v>0</v>
      </c>
      <c r="AY244" s="13">
        <v>0</v>
      </c>
      <c r="AZ244" s="13">
        <v>0</v>
      </c>
      <c r="BA244" s="13">
        <v>0</v>
      </c>
      <c r="BB244" s="13">
        <v>0</v>
      </c>
      <c r="BC244" s="13">
        <v>0</v>
      </c>
      <c r="BD244" s="13">
        <v>0</v>
      </c>
      <c r="BE244" s="13">
        <v>0</v>
      </c>
      <c r="BF244" s="13">
        <v>0</v>
      </c>
      <c r="BG244" s="13">
        <v>0</v>
      </c>
      <c r="BH244" s="13">
        <v>0</v>
      </c>
      <c r="BI244" s="13">
        <v>0</v>
      </c>
      <c r="BJ244" s="13">
        <v>0</v>
      </c>
      <c r="BK244" s="13">
        <v>0</v>
      </c>
      <c r="BL244" s="13">
        <v>0</v>
      </c>
      <c r="BM244" s="13">
        <v>0</v>
      </c>
      <c r="BN244" s="13">
        <v>0</v>
      </c>
      <c r="BO244" s="13">
        <v>0</v>
      </c>
      <c r="BP244" s="13">
        <v>1</v>
      </c>
      <c r="BR244" s="42">
        <v>14</v>
      </c>
    </row>
    <row r="245" spans="1:70" s="42" customFormat="1" ht="14.25" x14ac:dyDescent="0.15">
      <c r="A245" s="164"/>
      <c r="B245" s="42" t="s">
        <v>2672</v>
      </c>
      <c r="C245" s="42" t="s">
        <v>1157</v>
      </c>
      <c r="E245" s="42" t="s">
        <v>1158</v>
      </c>
      <c r="G245" s="42">
        <v>0</v>
      </c>
      <c r="H245" s="42">
        <v>14</v>
      </c>
      <c r="I245" s="42" t="s">
        <v>421</v>
      </c>
      <c r="K245" s="42">
        <v>3</v>
      </c>
      <c r="L245" s="42">
        <v>1</v>
      </c>
      <c r="M245" s="42" t="s">
        <v>254</v>
      </c>
      <c r="N245" s="42" t="s">
        <v>396</v>
      </c>
      <c r="O245" s="42">
        <v>0</v>
      </c>
      <c r="P245" s="42" t="s">
        <v>2673</v>
      </c>
      <c r="Q245" s="42" t="s">
        <v>1159</v>
      </c>
      <c r="S245" s="42" t="s">
        <v>1160</v>
      </c>
      <c r="U245" s="42" t="s">
        <v>1161</v>
      </c>
      <c r="Y245" s="42" t="s">
        <v>250</v>
      </c>
      <c r="Z245" s="42" t="s">
        <v>1162</v>
      </c>
      <c r="AA245" s="13" t="s">
        <v>251</v>
      </c>
      <c r="AB245" s="13">
        <v>0.15</v>
      </c>
      <c r="AC245" s="13">
        <v>30</v>
      </c>
      <c r="AD245" s="42">
        <v>20</v>
      </c>
      <c r="AE245" s="42">
        <v>1</v>
      </c>
      <c r="AF245" s="13" t="s">
        <v>1168</v>
      </c>
      <c r="AH245" s="13" t="s">
        <v>399</v>
      </c>
      <c r="AI245" s="13">
        <v>1000</v>
      </c>
      <c r="AJ245" s="13"/>
      <c r="AK245" s="42">
        <v>48574.595125019034</v>
      </c>
      <c r="AN245" s="42" t="s">
        <v>235</v>
      </c>
      <c r="AO245" s="42">
        <v>0</v>
      </c>
      <c r="AP245" s="42" t="s">
        <v>252</v>
      </c>
      <c r="AR245" s="42">
        <v>48574.595125019034</v>
      </c>
      <c r="AS245" s="42">
        <v>12735.548313599998</v>
      </c>
      <c r="AT245" s="42">
        <v>202682.39094786142</v>
      </c>
      <c r="AU245" s="13">
        <v>1</v>
      </c>
      <c r="AV245" s="13">
        <v>1</v>
      </c>
      <c r="AW245" s="13">
        <v>0</v>
      </c>
      <c r="AX245" s="13">
        <v>0</v>
      </c>
      <c r="AY245" s="13">
        <v>0</v>
      </c>
      <c r="AZ245" s="13">
        <v>0</v>
      </c>
      <c r="BA245" s="13">
        <v>0</v>
      </c>
      <c r="BB245" s="13">
        <v>0</v>
      </c>
      <c r="BC245" s="13">
        <v>0</v>
      </c>
      <c r="BD245" s="13">
        <v>0</v>
      </c>
      <c r="BE245" s="13">
        <v>0</v>
      </c>
      <c r="BF245" s="13">
        <v>0</v>
      </c>
      <c r="BG245" s="13">
        <v>0</v>
      </c>
      <c r="BH245" s="13">
        <v>0</v>
      </c>
      <c r="BI245" s="13">
        <v>0</v>
      </c>
      <c r="BJ245" s="13">
        <v>0</v>
      </c>
      <c r="BK245" s="13">
        <v>0</v>
      </c>
      <c r="BL245" s="13">
        <v>0</v>
      </c>
      <c r="BM245" s="13">
        <v>0</v>
      </c>
      <c r="BN245" s="13">
        <v>0</v>
      </c>
      <c r="BO245" s="13">
        <v>0</v>
      </c>
      <c r="BP245" s="13">
        <v>1</v>
      </c>
      <c r="BR245" s="42">
        <v>16</v>
      </c>
    </row>
    <row r="246" spans="1:70" s="42" customFormat="1" ht="14.25" x14ac:dyDescent="0.15">
      <c r="A246" s="164"/>
      <c r="B246" s="42" t="s">
        <v>1994</v>
      </c>
      <c r="C246" s="42" t="s">
        <v>2245</v>
      </c>
      <c r="E246" s="42" t="s">
        <v>2246</v>
      </c>
      <c r="G246" s="42">
        <v>1</v>
      </c>
      <c r="H246" s="42">
        <v>14</v>
      </c>
      <c r="I246" s="42" t="s">
        <v>296</v>
      </c>
      <c r="K246" s="42">
        <v>3</v>
      </c>
      <c r="L246" s="42">
        <v>1</v>
      </c>
      <c r="M246" s="42" t="s">
        <v>254</v>
      </c>
      <c r="N246" s="42" t="s">
        <v>396</v>
      </c>
      <c r="O246" s="42">
        <v>0</v>
      </c>
      <c r="P246" s="42" t="s">
        <v>1995</v>
      </c>
      <c r="Q246" s="42" t="s">
        <v>2247</v>
      </c>
      <c r="S246" s="42" t="s">
        <v>2270</v>
      </c>
      <c r="U246" s="42" t="s">
        <v>2248</v>
      </c>
      <c r="Y246" s="42" t="s">
        <v>250</v>
      </c>
      <c r="Z246" s="162" t="s">
        <v>3183</v>
      </c>
      <c r="AA246" s="13" t="s">
        <v>251</v>
      </c>
      <c r="AB246" s="13">
        <v>0.15</v>
      </c>
      <c r="AC246" s="13">
        <v>0</v>
      </c>
      <c r="AD246" s="42">
        <v>20</v>
      </c>
      <c r="AE246" s="42">
        <v>1</v>
      </c>
      <c r="AF246" s="13" t="s">
        <v>2271</v>
      </c>
      <c r="AH246" s="13" t="s">
        <v>399</v>
      </c>
      <c r="AI246" s="13">
        <v>300</v>
      </c>
      <c r="AJ246" s="13"/>
      <c r="AK246" s="42">
        <v>51877.46008367998</v>
      </c>
      <c r="AN246" s="42" t="s">
        <v>235</v>
      </c>
      <c r="AO246" s="42">
        <v>0</v>
      </c>
      <c r="AP246" s="42" t="s">
        <v>252</v>
      </c>
      <c r="AR246" s="42">
        <v>51877.46008367998</v>
      </c>
      <c r="AS246" s="42">
        <v>10443.149617151999</v>
      </c>
      <c r="AT246" s="42">
        <v>116701.40099990397</v>
      </c>
      <c r="AU246" s="13">
        <v>1</v>
      </c>
      <c r="AV246" s="13">
        <v>1</v>
      </c>
      <c r="AW246" s="13">
        <v>0</v>
      </c>
      <c r="AX246" s="13">
        <v>0</v>
      </c>
      <c r="AY246" s="13">
        <v>0</v>
      </c>
      <c r="AZ246" s="13">
        <v>0</v>
      </c>
      <c r="BA246" s="13">
        <v>0</v>
      </c>
      <c r="BB246" s="13">
        <v>0</v>
      </c>
      <c r="BC246" s="13">
        <v>0</v>
      </c>
      <c r="BD246" s="13">
        <v>0</v>
      </c>
      <c r="BE246" s="13">
        <v>0</v>
      </c>
      <c r="BF246" s="13">
        <v>0</v>
      </c>
      <c r="BG246" s="13">
        <v>0</v>
      </c>
      <c r="BH246" s="13">
        <v>0</v>
      </c>
      <c r="BI246" s="13">
        <v>0</v>
      </c>
      <c r="BJ246" s="13">
        <v>0</v>
      </c>
      <c r="BK246" s="13">
        <v>0</v>
      </c>
      <c r="BL246" s="13">
        <v>0</v>
      </c>
      <c r="BM246" s="13">
        <v>0</v>
      </c>
      <c r="BN246" s="13">
        <v>0</v>
      </c>
      <c r="BO246" s="13">
        <v>0</v>
      </c>
      <c r="BP246" s="13">
        <v>1</v>
      </c>
      <c r="BR246" s="42">
        <v>15</v>
      </c>
    </row>
    <row r="247" spans="1:70" s="42" customFormat="1" ht="14.25" x14ac:dyDescent="0.15">
      <c r="A247" s="164"/>
      <c r="B247" s="42" t="s">
        <v>1996</v>
      </c>
      <c r="C247" s="42" t="s">
        <v>930</v>
      </c>
      <c r="E247" s="42" t="s">
        <v>404</v>
      </c>
      <c r="G247" s="42">
        <v>0</v>
      </c>
      <c r="H247" s="42">
        <v>14</v>
      </c>
      <c r="I247" s="42" t="s">
        <v>296</v>
      </c>
      <c r="K247" s="42">
        <v>3</v>
      </c>
      <c r="L247" s="42">
        <v>1</v>
      </c>
      <c r="M247" s="42" t="s">
        <v>254</v>
      </c>
      <c r="N247" s="42" t="s">
        <v>396</v>
      </c>
      <c r="O247" s="42">
        <v>0</v>
      </c>
      <c r="P247" s="42" t="s">
        <v>1997</v>
      </c>
      <c r="Q247" s="42" t="s">
        <v>257</v>
      </c>
      <c r="S247" s="42" t="s">
        <v>403</v>
      </c>
      <c r="U247" s="42" t="s">
        <v>402</v>
      </c>
      <c r="Y247" s="42" t="s">
        <v>250</v>
      </c>
      <c r="Z247" s="42" t="s">
        <v>256</v>
      </c>
      <c r="AA247" s="13" t="s">
        <v>251</v>
      </c>
      <c r="AB247" s="13">
        <v>0.15</v>
      </c>
      <c r="AC247" s="13">
        <v>0</v>
      </c>
      <c r="AD247" s="42">
        <v>20</v>
      </c>
      <c r="AE247" s="42">
        <v>1</v>
      </c>
      <c r="AF247" s="13" t="s">
        <v>1019</v>
      </c>
      <c r="AH247" s="13" t="s">
        <v>399</v>
      </c>
      <c r="AI247" s="13">
        <v>800</v>
      </c>
      <c r="AJ247" s="13"/>
      <c r="AK247" s="42">
        <v>57583.980692884783</v>
      </c>
      <c r="AN247" s="42" t="s">
        <v>235</v>
      </c>
      <c r="AO247" s="42">
        <v>0</v>
      </c>
      <c r="AP247" s="42" t="s">
        <v>252</v>
      </c>
      <c r="AR247" s="42">
        <v>57583.980692884783</v>
      </c>
      <c r="AS247" s="42">
        <v>10443.149617151999</v>
      </c>
      <c r="AT247" s="42">
        <v>127496.28059239509</v>
      </c>
      <c r="AU247" s="13">
        <v>1</v>
      </c>
      <c r="AV247" s="13">
        <v>1</v>
      </c>
      <c r="AW247" s="13">
        <v>0</v>
      </c>
      <c r="AX247" s="13">
        <v>0</v>
      </c>
      <c r="AY247" s="13">
        <v>0</v>
      </c>
      <c r="AZ247" s="13">
        <v>0</v>
      </c>
      <c r="BA247" s="13">
        <v>0</v>
      </c>
      <c r="BB247" s="13">
        <v>0</v>
      </c>
      <c r="BC247" s="13">
        <v>0</v>
      </c>
      <c r="BD247" s="13">
        <v>0</v>
      </c>
      <c r="BE247" s="13">
        <v>0</v>
      </c>
      <c r="BF247" s="13">
        <v>0</v>
      </c>
      <c r="BG247" s="13">
        <v>0</v>
      </c>
      <c r="BH247" s="13">
        <v>0</v>
      </c>
      <c r="BI247" s="13">
        <v>0</v>
      </c>
      <c r="BJ247" s="13">
        <v>0</v>
      </c>
      <c r="BK247" s="13">
        <v>0</v>
      </c>
      <c r="BL247" s="13">
        <v>0</v>
      </c>
      <c r="BM247" s="13">
        <v>0</v>
      </c>
      <c r="BN247" s="13">
        <v>0</v>
      </c>
      <c r="BO247" s="13">
        <v>0</v>
      </c>
      <c r="BP247" s="13">
        <v>1</v>
      </c>
      <c r="BR247" s="42">
        <v>17</v>
      </c>
    </row>
    <row r="248" spans="1:70" s="42" customFormat="1" ht="14.25" x14ac:dyDescent="0.15">
      <c r="A248" s="164"/>
      <c r="B248" s="42" t="s">
        <v>2674</v>
      </c>
      <c r="C248" s="42" t="s">
        <v>2403</v>
      </c>
      <c r="E248" s="42" t="s">
        <v>2404</v>
      </c>
      <c r="G248" s="42">
        <v>0</v>
      </c>
      <c r="H248" s="42">
        <v>14</v>
      </c>
      <c r="I248" s="42" t="s">
        <v>296</v>
      </c>
      <c r="K248" s="42">
        <v>3</v>
      </c>
      <c r="L248" s="42">
        <v>1</v>
      </c>
      <c r="M248" s="42" t="s">
        <v>254</v>
      </c>
      <c r="N248" s="42" t="s">
        <v>396</v>
      </c>
      <c r="O248" s="42">
        <v>0</v>
      </c>
      <c r="P248" s="42" t="s">
        <v>2675</v>
      </c>
      <c r="Q248" s="42" t="s">
        <v>2406</v>
      </c>
      <c r="S248" s="42" t="s">
        <v>2407</v>
      </c>
      <c r="U248" s="42" t="s">
        <v>2408</v>
      </c>
      <c r="Y248" s="42" t="s">
        <v>250</v>
      </c>
      <c r="Z248" s="42" t="s">
        <v>2409</v>
      </c>
      <c r="AA248" s="13" t="s">
        <v>251</v>
      </c>
      <c r="AB248" s="13">
        <v>0.15</v>
      </c>
      <c r="AC248" s="13">
        <v>0</v>
      </c>
      <c r="AD248" s="42">
        <v>20</v>
      </c>
      <c r="AE248" s="42">
        <v>1</v>
      </c>
      <c r="AF248" s="13" t="s">
        <v>2410</v>
      </c>
      <c r="AH248" s="13" t="s">
        <v>399</v>
      </c>
      <c r="AI248" s="13">
        <v>1000</v>
      </c>
      <c r="AJ248" s="13"/>
      <c r="AK248" s="42">
        <v>49283.587079495977</v>
      </c>
      <c r="AN248" s="42" t="s">
        <v>235</v>
      </c>
      <c r="AO248" s="42">
        <v>0</v>
      </c>
      <c r="AP248" s="42" t="s">
        <v>252</v>
      </c>
      <c r="AR248" s="42">
        <v>49283.587079495977</v>
      </c>
      <c r="AS248" s="42">
        <v>10443.149617151999</v>
      </c>
      <c r="AT248" s="42">
        <v>111449.8379549083</v>
      </c>
      <c r="AU248" s="13">
        <v>1</v>
      </c>
      <c r="AV248" s="13">
        <v>1</v>
      </c>
      <c r="AW248" s="13">
        <v>0</v>
      </c>
      <c r="AX248" s="13">
        <v>0</v>
      </c>
      <c r="AY248" s="13">
        <v>0</v>
      </c>
      <c r="AZ248" s="13">
        <v>0</v>
      </c>
      <c r="BA248" s="13">
        <v>0</v>
      </c>
      <c r="BB248" s="13">
        <v>0</v>
      </c>
      <c r="BC248" s="13">
        <v>0</v>
      </c>
      <c r="BD248" s="13">
        <v>0</v>
      </c>
      <c r="BE248" s="13">
        <v>0</v>
      </c>
      <c r="BF248" s="13">
        <v>0</v>
      </c>
      <c r="BG248" s="13">
        <v>0</v>
      </c>
      <c r="BH248" s="13">
        <v>0</v>
      </c>
      <c r="BI248" s="13">
        <v>0</v>
      </c>
      <c r="BJ248" s="13">
        <v>0</v>
      </c>
      <c r="BK248" s="13">
        <v>0</v>
      </c>
      <c r="BL248" s="13">
        <v>0</v>
      </c>
      <c r="BM248" s="13">
        <v>0</v>
      </c>
      <c r="BN248" s="13">
        <v>0</v>
      </c>
      <c r="BO248" s="13">
        <v>0</v>
      </c>
      <c r="BP248" s="13">
        <v>1</v>
      </c>
      <c r="BR248" s="42">
        <v>14</v>
      </c>
    </row>
    <row r="249" spans="1:70" s="42" customFormat="1" ht="14.25" x14ac:dyDescent="0.15">
      <c r="A249" s="164"/>
      <c r="B249" s="42" t="s">
        <v>2676</v>
      </c>
      <c r="C249" s="42" t="s">
        <v>881</v>
      </c>
      <c r="E249" s="42" t="s">
        <v>726</v>
      </c>
      <c r="G249" s="42">
        <v>0</v>
      </c>
      <c r="H249" s="42">
        <v>12</v>
      </c>
      <c r="I249" s="42" t="s">
        <v>400</v>
      </c>
      <c r="K249" s="42">
        <v>3</v>
      </c>
      <c r="L249" s="42">
        <v>1</v>
      </c>
      <c r="M249" s="42" t="s">
        <v>254</v>
      </c>
      <c r="N249" s="42" t="s">
        <v>396</v>
      </c>
      <c r="O249" s="42">
        <v>0</v>
      </c>
      <c r="P249" s="42" t="s">
        <v>2677</v>
      </c>
      <c r="Q249" s="42" t="s">
        <v>727</v>
      </c>
      <c r="S249" s="42" t="s">
        <v>728</v>
      </c>
      <c r="U249" s="42" t="s">
        <v>729</v>
      </c>
      <c r="Y249" s="42" t="s">
        <v>250</v>
      </c>
      <c r="Z249" s="42" t="s">
        <v>730</v>
      </c>
      <c r="AA249" s="13" t="s">
        <v>251</v>
      </c>
      <c r="AB249" s="13">
        <v>0.15</v>
      </c>
      <c r="AC249" s="13">
        <v>30</v>
      </c>
      <c r="AD249" s="42">
        <v>20</v>
      </c>
      <c r="AE249" s="42">
        <v>1</v>
      </c>
      <c r="AF249" s="13" t="s">
        <v>1009</v>
      </c>
      <c r="AH249" s="13" t="s">
        <v>399</v>
      </c>
      <c r="AI249" s="13">
        <v>0</v>
      </c>
      <c r="AJ249" s="13"/>
      <c r="AK249" s="42">
        <v>21723.686410040995</v>
      </c>
      <c r="AN249" s="42" t="s">
        <v>235</v>
      </c>
      <c r="AO249" s="42">
        <v>0</v>
      </c>
      <c r="AP249" s="42" t="s">
        <v>252</v>
      </c>
      <c r="AR249" s="42">
        <v>21723.686410040995</v>
      </c>
      <c r="AS249" s="42">
        <v>15027.947010047999</v>
      </c>
      <c r="AT249" s="42">
        <v>173239.94242094902</v>
      </c>
      <c r="AU249" s="13">
        <v>1</v>
      </c>
      <c r="AV249" s="13">
        <v>1</v>
      </c>
      <c r="AW249" s="13">
        <v>0</v>
      </c>
      <c r="AX249" s="13">
        <v>0</v>
      </c>
      <c r="AY249" s="13">
        <v>0</v>
      </c>
      <c r="AZ249" s="13">
        <v>0</v>
      </c>
      <c r="BA249" s="13">
        <v>0</v>
      </c>
      <c r="BB249" s="13">
        <v>0</v>
      </c>
      <c r="BC249" s="13">
        <v>0</v>
      </c>
      <c r="BD249" s="13">
        <v>0</v>
      </c>
      <c r="BE249" s="13">
        <v>0</v>
      </c>
      <c r="BF249" s="13">
        <v>0</v>
      </c>
      <c r="BG249" s="13">
        <v>0</v>
      </c>
      <c r="BH249" s="13">
        <v>0</v>
      </c>
      <c r="BI249" s="13">
        <v>0</v>
      </c>
      <c r="BJ249" s="13">
        <v>0</v>
      </c>
      <c r="BK249" s="13">
        <v>0</v>
      </c>
      <c r="BL249" s="13">
        <v>0</v>
      </c>
      <c r="BM249" s="13">
        <v>0</v>
      </c>
      <c r="BN249" s="13">
        <v>0</v>
      </c>
      <c r="BO249" s="13">
        <v>0</v>
      </c>
      <c r="BP249" s="13">
        <v>1</v>
      </c>
      <c r="BR249" s="42">
        <v>8</v>
      </c>
    </row>
    <row r="250" spans="1:70" s="42" customFormat="1" ht="14.25" x14ac:dyDescent="0.15">
      <c r="A250" s="164"/>
      <c r="B250" s="42" t="s">
        <v>2678</v>
      </c>
      <c r="C250" s="42" t="s">
        <v>2370</v>
      </c>
      <c r="E250" s="42" t="s">
        <v>2371</v>
      </c>
      <c r="G250" s="42">
        <v>0</v>
      </c>
      <c r="H250" s="42">
        <v>14</v>
      </c>
      <c r="I250" s="42" t="s">
        <v>296</v>
      </c>
      <c r="K250" s="42">
        <v>3</v>
      </c>
      <c r="L250" s="42">
        <v>1</v>
      </c>
      <c r="M250" s="42" t="s">
        <v>254</v>
      </c>
      <c r="N250" s="42" t="s">
        <v>396</v>
      </c>
      <c r="O250" s="42">
        <v>0</v>
      </c>
      <c r="P250" s="42" t="s">
        <v>2679</v>
      </c>
      <c r="Q250" s="42" t="s">
        <v>2373</v>
      </c>
      <c r="S250" s="42" t="s">
        <v>2374</v>
      </c>
      <c r="U250" s="42" t="s">
        <v>2375</v>
      </c>
      <c r="Y250" s="42" t="s">
        <v>250</v>
      </c>
      <c r="Z250" s="42" t="s">
        <v>2376</v>
      </c>
      <c r="AA250" s="13" t="s">
        <v>251</v>
      </c>
      <c r="AB250" s="13">
        <v>0.15</v>
      </c>
      <c r="AC250" s="13">
        <v>0</v>
      </c>
      <c r="AD250" s="42">
        <v>20</v>
      </c>
      <c r="AE250" s="42">
        <v>1</v>
      </c>
      <c r="AF250" s="13" t="s">
        <v>2377</v>
      </c>
      <c r="AH250" s="13" t="s">
        <v>399</v>
      </c>
      <c r="AI250" s="13">
        <v>1000</v>
      </c>
      <c r="AJ250" s="13"/>
      <c r="AK250" s="42">
        <v>43577.066470291182</v>
      </c>
      <c r="AN250" s="42" t="s">
        <v>235</v>
      </c>
      <c r="AO250" s="42">
        <v>0</v>
      </c>
      <c r="AP250" s="42" t="s">
        <v>252</v>
      </c>
      <c r="AR250" s="42">
        <v>43577.066470291182</v>
      </c>
      <c r="AS250" s="42">
        <v>10443.149617151999</v>
      </c>
      <c r="AT250" s="42">
        <v>100654.95836241718</v>
      </c>
      <c r="AU250" s="13">
        <v>1</v>
      </c>
      <c r="AV250" s="13">
        <v>1</v>
      </c>
      <c r="AW250" s="13">
        <v>0</v>
      </c>
      <c r="AX250" s="13">
        <v>0</v>
      </c>
      <c r="AY250" s="13">
        <v>0</v>
      </c>
      <c r="AZ250" s="13">
        <v>0</v>
      </c>
      <c r="BA250" s="13">
        <v>0</v>
      </c>
      <c r="BB250" s="13">
        <v>0</v>
      </c>
      <c r="BC250" s="13">
        <v>0</v>
      </c>
      <c r="BD250" s="13">
        <v>0</v>
      </c>
      <c r="BE250" s="13">
        <v>0</v>
      </c>
      <c r="BF250" s="13">
        <v>0</v>
      </c>
      <c r="BG250" s="13">
        <v>0</v>
      </c>
      <c r="BH250" s="13">
        <v>0</v>
      </c>
      <c r="BI250" s="13">
        <v>0</v>
      </c>
      <c r="BJ250" s="13">
        <v>0</v>
      </c>
      <c r="BK250" s="13">
        <v>0</v>
      </c>
      <c r="BL250" s="13">
        <v>0</v>
      </c>
      <c r="BM250" s="13">
        <v>0</v>
      </c>
      <c r="BN250" s="13">
        <v>0</v>
      </c>
      <c r="BO250" s="13">
        <v>0</v>
      </c>
      <c r="BP250" s="13">
        <v>1</v>
      </c>
      <c r="BR250" s="42">
        <v>10</v>
      </c>
    </row>
    <row r="251" spans="1:70" s="42" customFormat="1" ht="14.25" x14ac:dyDescent="0.15">
      <c r="A251" s="164"/>
      <c r="B251" s="42" t="s">
        <v>2680</v>
      </c>
      <c r="C251" s="11" t="s">
        <v>2245</v>
      </c>
      <c r="E251" s="42" t="s">
        <v>2246</v>
      </c>
      <c r="G251" s="42">
        <v>1</v>
      </c>
      <c r="H251" s="42">
        <v>14</v>
      </c>
      <c r="I251" s="42" t="s">
        <v>296</v>
      </c>
      <c r="K251" s="42">
        <v>3</v>
      </c>
      <c r="L251" s="42">
        <v>1</v>
      </c>
      <c r="M251" s="42" t="s">
        <v>254</v>
      </c>
      <c r="N251" s="42" t="s">
        <v>396</v>
      </c>
      <c r="O251" s="42">
        <v>0</v>
      </c>
      <c r="P251" s="42" t="s">
        <v>2681</v>
      </c>
      <c r="Q251" s="42" t="s">
        <v>2247</v>
      </c>
      <c r="S251" s="42" t="s">
        <v>2270</v>
      </c>
      <c r="U251" s="42" t="s">
        <v>2248</v>
      </c>
      <c r="Y251" s="42" t="s">
        <v>250</v>
      </c>
      <c r="Z251" s="162" t="s">
        <v>3183</v>
      </c>
      <c r="AA251" s="13" t="s">
        <v>251</v>
      </c>
      <c r="AB251" s="13">
        <v>0.15</v>
      </c>
      <c r="AC251" s="13">
        <v>0</v>
      </c>
      <c r="AD251" s="42">
        <v>20</v>
      </c>
      <c r="AE251" s="42">
        <v>1</v>
      </c>
      <c r="AF251" s="13" t="s">
        <v>2271</v>
      </c>
      <c r="AH251" s="13" t="s">
        <v>399</v>
      </c>
      <c r="AI251" s="13">
        <v>1000</v>
      </c>
      <c r="AJ251" s="13"/>
      <c r="AK251" s="42">
        <v>51877.46008367998</v>
      </c>
      <c r="AN251" s="42" t="s">
        <v>235</v>
      </c>
      <c r="AO251" s="42">
        <v>0</v>
      </c>
      <c r="AP251" s="42" t="s">
        <v>252</v>
      </c>
      <c r="AR251" s="42">
        <v>51877.46008367998</v>
      </c>
      <c r="AS251" s="42">
        <v>10443.149617151999</v>
      </c>
      <c r="AT251" s="42">
        <v>116701.40099990397</v>
      </c>
      <c r="AU251" s="13">
        <v>1</v>
      </c>
      <c r="AV251" s="13">
        <v>1</v>
      </c>
      <c r="AW251" s="13">
        <v>0</v>
      </c>
      <c r="AX251" s="13">
        <v>0</v>
      </c>
      <c r="AY251" s="13">
        <v>0</v>
      </c>
      <c r="AZ251" s="13">
        <v>0</v>
      </c>
      <c r="BA251" s="13">
        <v>0</v>
      </c>
      <c r="BB251" s="13">
        <v>0</v>
      </c>
      <c r="BC251" s="13">
        <v>0</v>
      </c>
      <c r="BD251" s="13">
        <v>0</v>
      </c>
      <c r="BE251" s="13">
        <v>0</v>
      </c>
      <c r="BF251" s="13">
        <v>0</v>
      </c>
      <c r="BG251" s="13">
        <v>0</v>
      </c>
      <c r="BH251" s="13">
        <v>0</v>
      </c>
      <c r="BI251" s="13">
        <v>0</v>
      </c>
      <c r="BJ251" s="13">
        <v>0</v>
      </c>
      <c r="BK251" s="13">
        <v>0</v>
      </c>
      <c r="BL251" s="13">
        <v>0</v>
      </c>
      <c r="BM251" s="13">
        <v>0</v>
      </c>
      <c r="BN251" s="13">
        <v>0</v>
      </c>
      <c r="BO251" s="13">
        <v>0</v>
      </c>
      <c r="BP251" s="13">
        <v>1</v>
      </c>
      <c r="BR251" s="42">
        <v>15</v>
      </c>
    </row>
    <row r="252" spans="1:70" s="42" customFormat="1" ht="14.25" x14ac:dyDescent="0.15">
      <c r="A252" s="164"/>
      <c r="B252" s="42" t="s">
        <v>2682</v>
      </c>
      <c r="C252" s="13" t="s">
        <v>2416</v>
      </c>
      <c r="E252" s="42" t="s">
        <v>2417</v>
      </c>
      <c r="G252" s="42">
        <v>2</v>
      </c>
      <c r="H252" s="42">
        <v>11</v>
      </c>
      <c r="I252" s="42" t="s">
        <v>809</v>
      </c>
      <c r="K252" s="42">
        <v>3</v>
      </c>
      <c r="L252" s="42">
        <v>1</v>
      </c>
      <c r="M252" s="42" t="s">
        <v>254</v>
      </c>
      <c r="N252" s="42" t="s">
        <v>396</v>
      </c>
      <c r="O252" s="42">
        <v>0</v>
      </c>
      <c r="P252" s="42" t="s">
        <v>2683</v>
      </c>
      <c r="Q252" s="42" t="s">
        <v>2419</v>
      </c>
      <c r="Y252" s="42" t="s">
        <v>250</v>
      </c>
      <c r="Z252" s="42" t="s">
        <v>235</v>
      </c>
      <c r="AA252" s="13" t="s">
        <v>251</v>
      </c>
      <c r="AB252" s="13">
        <v>0.15</v>
      </c>
      <c r="AC252" s="13">
        <v>0</v>
      </c>
      <c r="AD252" s="42">
        <v>20</v>
      </c>
      <c r="AE252" s="42">
        <v>1</v>
      </c>
      <c r="AF252" s="13" t="s">
        <v>235</v>
      </c>
      <c r="AH252" s="13" t="s">
        <v>399</v>
      </c>
      <c r="AI252" s="13">
        <v>0</v>
      </c>
      <c r="AJ252" s="13"/>
      <c r="AK252" s="42">
        <v>22607.2647</v>
      </c>
      <c r="AN252" s="42" t="s">
        <v>235</v>
      </c>
      <c r="AO252" s="42">
        <v>0</v>
      </c>
      <c r="AP252" s="42" t="s">
        <v>252</v>
      </c>
      <c r="AR252" s="42">
        <v>22607.2647</v>
      </c>
      <c r="AS252" s="42">
        <v>6126.63</v>
      </c>
      <c r="AT252" s="13">
        <v>1</v>
      </c>
      <c r="AU252" s="13">
        <v>1</v>
      </c>
      <c r="AV252" s="13">
        <v>1</v>
      </c>
      <c r="AW252" s="13">
        <v>0</v>
      </c>
      <c r="AX252" s="13">
        <v>0</v>
      </c>
      <c r="AY252" s="13">
        <v>0</v>
      </c>
      <c r="AZ252" s="13">
        <v>0</v>
      </c>
      <c r="BA252" s="13">
        <v>0</v>
      </c>
      <c r="BB252" s="13">
        <v>0</v>
      </c>
      <c r="BC252" s="13">
        <v>0</v>
      </c>
      <c r="BD252" s="13">
        <v>0</v>
      </c>
      <c r="BE252" s="13">
        <v>0</v>
      </c>
      <c r="BF252" s="13">
        <v>0</v>
      </c>
      <c r="BG252" s="13">
        <v>0</v>
      </c>
      <c r="BH252" s="13">
        <v>0</v>
      </c>
      <c r="BI252" s="13">
        <v>0</v>
      </c>
      <c r="BJ252" s="13">
        <v>0</v>
      </c>
      <c r="BK252" s="13">
        <v>0</v>
      </c>
      <c r="BL252" s="13">
        <v>0</v>
      </c>
      <c r="BM252" s="13">
        <v>0</v>
      </c>
      <c r="BN252" s="13">
        <v>0</v>
      </c>
      <c r="BO252" s="13">
        <v>0</v>
      </c>
      <c r="BP252" s="13">
        <v>1</v>
      </c>
      <c r="BR252" s="42">
        <v>11</v>
      </c>
    </row>
    <row r="253" spans="1:70" s="42" customFormat="1" ht="14.25" x14ac:dyDescent="0.15">
      <c r="A253" s="164"/>
      <c r="B253" s="42" t="s">
        <v>1998</v>
      </c>
      <c r="C253" s="11" t="s">
        <v>2416</v>
      </c>
      <c r="E253" s="42" t="s">
        <v>2417</v>
      </c>
      <c r="G253" s="42">
        <v>2</v>
      </c>
      <c r="H253" s="42">
        <v>11</v>
      </c>
      <c r="I253" s="42" t="s">
        <v>809</v>
      </c>
      <c r="K253" s="42">
        <v>3</v>
      </c>
      <c r="L253" s="42">
        <v>1</v>
      </c>
      <c r="M253" s="42" t="s">
        <v>254</v>
      </c>
      <c r="N253" s="42" t="s">
        <v>396</v>
      </c>
      <c r="O253" s="42">
        <v>0</v>
      </c>
      <c r="P253" s="42" t="s">
        <v>1999</v>
      </c>
      <c r="Q253" s="42" t="s">
        <v>2419</v>
      </c>
      <c r="Y253" s="42" t="s">
        <v>250</v>
      </c>
      <c r="Z253" s="42" t="s">
        <v>235</v>
      </c>
      <c r="AA253" s="13" t="s">
        <v>251</v>
      </c>
      <c r="AB253" s="13">
        <v>0.15</v>
      </c>
      <c r="AC253" s="13">
        <v>0</v>
      </c>
      <c r="AD253" s="42">
        <v>20</v>
      </c>
      <c r="AE253" s="42">
        <v>1</v>
      </c>
      <c r="AF253" s="13" t="s">
        <v>235</v>
      </c>
      <c r="AH253" s="13" t="s">
        <v>399</v>
      </c>
      <c r="AI253" s="13">
        <v>0</v>
      </c>
      <c r="AJ253" s="13"/>
      <c r="AK253" s="42">
        <v>22607.2647</v>
      </c>
      <c r="AN253" s="42" t="s">
        <v>235</v>
      </c>
      <c r="AO253" s="42">
        <v>0</v>
      </c>
      <c r="AP253" s="42" t="s">
        <v>252</v>
      </c>
      <c r="AR253" s="42">
        <v>22607.2647</v>
      </c>
      <c r="AS253" s="42">
        <v>6126.63</v>
      </c>
      <c r="AT253" s="13">
        <v>1</v>
      </c>
      <c r="AU253" s="13">
        <v>1</v>
      </c>
      <c r="AV253" s="13">
        <v>1</v>
      </c>
      <c r="AW253" s="13">
        <v>0</v>
      </c>
      <c r="AX253" s="13">
        <v>0</v>
      </c>
      <c r="AY253" s="13">
        <v>0</v>
      </c>
      <c r="AZ253" s="13">
        <v>0</v>
      </c>
      <c r="BA253" s="13">
        <v>0</v>
      </c>
      <c r="BB253" s="13">
        <v>0</v>
      </c>
      <c r="BC253" s="13">
        <v>0</v>
      </c>
      <c r="BD253" s="13">
        <v>0</v>
      </c>
      <c r="BE253" s="13">
        <v>0</v>
      </c>
      <c r="BF253" s="13">
        <v>0</v>
      </c>
      <c r="BG253" s="13">
        <v>0</v>
      </c>
      <c r="BH253" s="13">
        <v>0</v>
      </c>
      <c r="BI253" s="13">
        <v>0</v>
      </c>
      <c r="BJ253" s="13">
        <v>0</v>
      </c>
      <c r="BK253" s="13">
        <v>0</v>
      </c>
      <c r="BL253" s="13">
        <v>0</v>
      </c>
      <c r="BM253" s="13">
        <v>0</v>
      </c>
      <c r="BN253" s="13">
        <v>0</v>
      </c>
      <c r="BO253" s="13">
        <v>0</v>
      </c>
      <c r="BP253" s="13">
        <v>1</v>
      </c>
      <c r="BR253" s="42">
        <v>11</v>
      </c>
    </row>
    <row r="254" spans="1:70" s="42" customFormat="1" ht="14.25" x14ac:dyDescent="0.15">
      <c r="A254" s="164"/>
      <c r="B254" s="42" t="s">
        <v>2684</v>
      </c>
      <c r="C254" s="11" t="s">
        <v>2416</v>
      </c>
      <c r="E254" s="42" t="s">
        <v>2417</v>
      </c>
      <c r="G254" s="42">
        <v>2</v>
      </c>
      <c r="H254" s="42">
        <v>11</v>
      </c>
      <c r="I254" s="42" t="s">
        <v>809</v>
      </c>
      <c r="K254" s="42">
        <v>3</v>
      </c>
      <c r="L254" s="42">
        <v>1</v>
      </c>
      <c r="M254" s="42" t="s">
        <v>254</v>
      </c>
      <c r="N254" s="42" t="s">
        <v>396</v>
      </c>
      <c r="O254" s="42">
        <v>0</v>
      </c>
      <c r="P254" s="42" t="s">
        <v>2685</v>
      </c>
      <c r="Q254" s="42" t="s">
        <v>2419</v>
      </c>
      <c r="Y254" s="42" t="s">
        <v>250</v>
      </c>
      <c r="Z254" s="42" t="s">
        <v>235</v>
      </c>
      <c r="AA254" s="13" t="s">
        <v>251</v>
      </c>
      <c r="AB254" s="13">
        <v>0.15</v>
      </c>
      <c r="AC254" s="13">
        <v>0</v>
      </c>
      <c r="AD254" s="42">
        <v>20</v>
      </c>
      <c r="AE254" s="42">
        <v>1</v>
      </c>
      <c r="AF254" s="13" t="s">
        <v>235</v>
      </c>
      <c r="AH254" s="13" t="s">
        <v>399</v>
      </c>
      <c r="AI254" s="13">
        <v>0</v>
      </c>
      <c r="AJ254" s="13"/>
      <c r="AK254" s="42">
        <v>22607.2647</v>
      </c>
      <c r="AN254" s="42" t="s">
        <v>235</v>
      </c>
      <c r="AO254" s="42">
        <v>0</v>
      </c>
      <c r="AP254" s="42" t="s">
        <v>252</v>
      </c>
      <c r="AR254" s="42">
        <v>22607.2647</v>
      </c>
      <c r="AS254" s="42">
        <v>6126.63</v>
      </c>
      <c r="AT254" s="13">
        <v>1</v>
      </c>
      <c r="AU254" s="13">
        <v>1</v>
      </c>
      <c r="AV254" s="13">
        <v>1</v>
      </c>
      <c r="AW254" s="13">
        <v>0</v>
      </c>
      <c r="AX254" s="13">
        <v>0</v>
      </c>
      <c r="AY254" s="13">
        <v>0</v>
      </c>
      <c r="AZ254" s="13">
        <v>0</v>
      </c>
      <c r="BA254" s="13">
        <v>0</v>
      </c>
      <c r="BB254" s="13">
        <v>0</v>
      </c>
      <c r="BC254" s="13">
        <v>0</v>
      </c>
      <c r="BD254" s="13">
        <v>0</v>
      </c>
      <c r="BE254" s="13">
        <v>0</v>
      </c>
      <c r="BF254" s="13">
        <v>0</v>
      </c>
      <c r="BG254" s="13">
        <v>0</v>
      </c>
      <c r="BH254" s="13">
        <v>0</v>
      </c>
      <c r="BI254" s="13">
        <v>0</v>
      </c>
      <c r="BJ254" s="13">
        <v>0</v>
      </c>
      <c r="BK254" s="13">
        <v>0</v>
      </c>
      <c r="BL254" s="13">
        <v>0</v>
      </c>
      <c r="BM254" s="13">
        <v>0</v>
      </c>
      <c r="BN254" s="13">
        <v>0</v>
      </c>
      <c r="BO254" s="13">
        <v>0</v>
      </c>
      <c r="BP254" s="13">
        <v>1</v>
      </c>
      <c r="BR254" s="42">
        <v>11</v>
      </c>
    </row>
    <row r="255" spans="1:70" s="42" customFormat="1" ht="14.25" x14ac:dyDescent="0.15">
      <c r="A255" s="164"/>
      <c r="B255" s="42" t="s">
        <v>2000</v>
      </c>
      <c r="C255" s="11" t="s">
        <v>924</v>
      </c>
      <c r="E255" s="42" t="s">
        <v>925</v>
      </c>
      <c r="G255" s="42">
        <v>0</v>
      </c>
      <c r="H255" s="42">
        <v>13</v>
      </c>
      <c r="I255" s="42" t="s">
        <v>296</v>
      </c>
      <c r="K255" s="42">
        <v>3</v>
      </c>
      <c r="L255" s="42">
        <v>1</v>
      </c>
      <c r="M255" s="42" t="s">
        <v>254</v>
      </c>
      <c r="N255" s="42" t="s">
        <v>396</v>
      </c>
      <c r="O255" s="42">
        <v>0</v>
      </c>
      <c r="P255" s="42" t="s">
        <v>2001</v>
      </c>
      <c r="Q255" s="42" t="s">
        <v>926</v>
      </c>
      <c r="S255" s="42" t="s">
        <v>927</v>
      </c>
      <c r="U255" s="42" t="s">
        <v>928</v>
      </c>
      <c r="Y255" s="42" t="s">
        <v>250</v>
      </c>
      <c r="Z255" s="42" t="s">
        <v>929</v>
      </c>
      <c r="AA255" s="13" t="s">
        <v>251</v>
      </c>
      <c r="AB255" s="13">
        <v>0.15</v>
      </c>
      <c r="AC255" s="13">
        <v>0</v>
      </c>
      <c r="AD255" s="42">
        <v>20</v>
      </c>
      <c r="AE255" s="42">
        <v>1</v>
      </c>
      <c r="AF255" s="13" t="s">
        <v>1018</v>
      </c>
      <c r="AH255" s="13" t="s">
        <v>399</v>
      </c>
      <c r="AI255" s="13">
        <v>680</v>
      </c>
      <c r="AJ255" s="13"/>
      <c r="AK255" s="42">
        <v>54990.10768870078</v>
      </c>
      <c r="AN255" s="42" t="s">
        <v>235</v>
      </c>
      <c r="AO255" s="42">
        <v>0</v>
      </c>
      <c r="AP255" s="42" t="s">
        <v>252</v>
      </c>
      <c r="AR255" s="42">
        <v>54990.10768870078</v>
      </c>
      <c r="AS255" s="42">
        <v>10443.149617151999</v>
      </c>
      <c r="AT255" s="42">
        <v>79269.426629184774</v>
      </c>
      <c r="AU255" s="13">
        <v>1</v>
      </c>
      <c r="AV255" s="13">
        <v>1</v>
      </c>
      <c r="AW255" s="13">
        <v>0</v>
      </c>
      <c r="AX255" s="13">
        <v>0</v>
      </c>
      <c r="AY255" s="13">
        <v>0</v>
      </c>
      <c r="AZ255" s="13">
        <v>0</v>
      </c>
      <c r="BA255" s="13">
        <v>0</v>
      </c>
      <c r="BB255" s="13">
        <v>0</v>
      </c>
      <c r="BC255" s="13">
        <v>0</v>
      </c>
      <c r="BD255" s="13">
        <v>0</v>
      </c>
      <c r="BE255" s="13">
        <v>0</v>
      </c>
      <c r="BF255" s="13">
        <v>0</v>
      </c>
      <c r="BG255" s="13">
        <v>0</v>
      </c>
      <c r="BH255" s="13">
        <v>0</v>
      </c>
      <c r="BI255" s="13">
        <v>0</v>
      </c>
      <c r="BJ255" s="13">
        <v>0</v>
      </c>
      <c r="BK255" s="13">
        <v>0</v>
      </c>
      <c r="BL255" s="13">
        <v>0</v>
      </c>
      <c r="BM255" s="13">
        <v>0</v>
      </c>
      <c r="BN255" s="13">
        <v>0</v>
      </c>
      <c r="BO255" s="13">
        <v>0</v>
      </c>
      <c r="BP255" s="13">
        <v>1</v>
      </c>
      <c r="BR255" s="42">
        <v>16</v>
      </c>
    </row>
    <row r="256" spans="1:70" s="42" customFormat="1" ht="14.25" x14ac:dyDescent="0.15">
      <c r="A256" s="164"/>
      <c r="B256" s="42" t="s">
        <v>2002</v>
      </c>
      <c r="C256" s="11" t="s">
        <v>2256</v>
      </c>
      <c r="E256" s="42" t="s">
        <v>2257</v>
      </c>
      <c r="G256" s="42">
        <v>0</v>
      </c>
      <c r="H256" s="42">
        <v>14</v>
      </c>
      <c r="I256" s="42" t="s">
        <v>401</v>
      </c>
      <c r="K256" s="42">
        <v>3</v>
      </c>
      <c r="L256" s="42">
        <v>1</v>
      </c>
      <c r="M256" s="42" t="s">
        <v>254</v>
      </c>
      <c r="N256" s="42" t="s">
        <v>396</v>
      </c>
      <c r="O256" s="42">
        <v>0</v>
      </c>
      <c r="P256" s="42" t="s">
        <v>2003</v>
      </c>
      <c r="Q256" s="42" t="s">
        <v>2258</v>
      </c>
      <c r="S256" s="42" t="s">
        <v>2338</v>
      </c>
      <c r="U256" s="42" t="s">
        <v>2259</v>
      </c>
      <c r="Y256" s="42" t="s">
        <v>250</v>
      </c>
      <c r="Z256" s="42" t="s">
        <v>2260</v>
      </c>
      <c r="AA256" s="13" t="s">
        <v>251</v>
      </c>
      <c r="AB256" s="13">
        <v>0.15</v>
      </c>
      <c r="AC256" s="13">
        <v>0</v>
      </c>
      <c r="AD256" s="42">
        <v>20</v>
      </c>
      <c r="AE256" s="42">
        <v>1</v>
      </c>
      <c r="AF256" s="13" t="s">
        <v>2339</v>
      </c>
      <c r="AH256" s="13" t="s">
        <v>3066</v>
      </c>
      <c r="AI256" s="13">
        <v>0</v>
      </c>
      <c r="AJ256" s="13"/>
      <c r="AK256" s="42">
        <v>52785.31563514439</v>
      </c>
      <c r="AN256" s="42" t="s">
        <v>235</v>
      </c>
      <c r="AO256" s="42">
        <v>0</v>
      </c>
      <c r="AP256" s="42" t="s">
        <v>252</v>
      </c>
      <c r="AR256" s="42">
        <v>52785.31563514439</v>
      </c>
      <c r="AS256" s="42">
        <v>12735.548313599998</v>
      </c>
      <c r="AT256" s="42">
        <v>94544.777087177514</v>
      </c>
      <c r="AU256" s="13">
        <v>1</v>
      </c>
      <c r="AV256" s="13">
        <v>1</v>
      </c>
      <c r="AW256" s="13">
        <v>0</v>
      </c>
      <c r="AX256" s="13">
        <v>0</v>
      </c>
      <c r="AY256" s="13">
        <v>0</v>
      </c>
      <c r="AZ256" s="13">
        <v>0</v>
      </c>
      <c r="BA256" s="13">
        <v>0</v>
      </c>
      <c r="BB256" s="13">
        <v>0</v>
      </c>
      <c r="BC256" s="13">
        <v>0</v>
      </c>
      <c r="BD256" s="13">
        <v>0</v>
      </c>
      <c r="BE256" s="13">
        <v>0</v>
      </c>
      <c r="BF256" s="13">
        <v>0</v>
      </c>
      <c r="BG256" s="13">
        <v>0</v>
      </c>
      <c r="BH256" s="13">
        <v>0</v>
      </c>
      <c r="BI256" s="13">
        <v>0</v>
      </c>
      <c r="BJ256" s="13">
        <v>0</v>
      </c>
      <c r="BK256" s="13">
        <v>0</v>
      </c>
      <c r="BL256" s="13">
        <v>0</v>
      </c>
      <c r="BM256" s="13">
        <v>0</v>
      </c>
      <c r="BN256" s="13">
        <v>0</v>
      </c>
      <c r="BO256" s="13">
        <v>0</v>
      </c>
      <c r="BP256" s="13">
        <v>1</v>
      </c>
      <c r="BR256" s="42">
        <v>17</v>
      </c>
    </row>
    <row r="257" spans="1:70" s="42" customFormat="1" ht="14.25" x14ac:dyDescent="0.15">
      <c r="A257" s="164"/>
      <c r="B257" s="42" t="s">
        <v>2004</v>
      </c>
      <c r="C257" s="42" t="s">
        <v>2424</v>
      </c>
      <c r="E257" s="42" t="s">
        <v>2425</v>
      </c>
      <c r="G257" s="42">
        <v>0</v>
      </c>
      <c r="H257" s="42">
        <v>14</v>
      </c>
      <c r="I257" s="42" t="s">
        <v>809</v>
      </c>
      <c r="K257" s="42">
        <v>3</v>
      </c>
      <c r="L257" s="42">
        <v>1</v>
      </c>
      <c r="M257" s="42" t="s">
        <v>254</v>
      </c>
      <c r="N257" s="42" t="s">
        <v>396</v>
      </c>
      <c r="O257" s="42">
        <v>0</v>
      </c>
      <c r="P257" s="42" t="s">
        <v>2005</v>
      </c>
      <c r="Q257" s="42" t="s">
        <v>2426</v>
      </c>
      <c r="S257" s="42" t="s">
        <v>2427</v>
      </c>
      <c r="U257" s="42" t="s">
        <v>2428</v>
      </c>
      <c r="Y257" s="42" t="s">
        <v>250</v>
      </c>
      <c r="Z257" s="42" t="s">
        <v>2429</v>
      </c>
      <c r="AA257" s="13" t="s">
        <v>251</v>
      </c>
      <c r="AB257" s="13">
        <v>0.15</v>
      </c>
      <c r="AC257" s="13">
        <v>30</v>
      </c>
      <c r="AD257" s="42">
        <v>20</v>
      </c>
      <c r="AE257" s="42">
        <v>1</v>
      </c>
      <c r="AF257" s="13" t="s">
        <v>2430</v>
      </c>
      <c r="AH257" s="13" t="s">
        <v>399</v>
      </c>
      <c r="AI257" s="13">
        <v>1000</v>
      </c>
      <c r="AJ257" s="13"/>
      <c r="AK257" s="42">
        <v>43231.216736399983</v>
      </c>
      <c r="AN257" s="42" t="s">
        <v>235</v>
      </c>
      <c r="AO257" s="42">
        <v>0</v>
      </c>
      <c r="AP257" s="42" t="s">
        <v>252</v>
      </c>
      <c r="AR257" s="42">
        <v>43231.216736399983</v>
      </c>
      <c r="AS257" s="42">
        <v>12735.548313599998</v>
      </c>
      <c r="AT257" s="42">
        <v>106839.31077455998</v>
      </c>
      <c r="AU257" s="13">
        <v>1</v>
      </c>
      <c r="AV257" s="13">
        <v>1</v>
      </c>
      <c r="AW257" s="13">
        <v>0</v>
      </c>
      <c r="AX257" s="13">
        <v>0</v>
      </c>
      <c r="AY257" s="13">
        <v>0</v>
      </c>
      <c r="AZ257" s="13">
        <v>0</v>
      </c>
      <c r="BA257" s="13">
        <v>0</v>
      </c>
      <c r="BB257" s="13">
        <v>0</v>
      </c>
      <c r="BC257" s="13">
        <v>0</v>
      </c>
      <c r="BD257" s="13">
        <v>0</v>
      </c>
      <c r="BE257" s="13">
        <v>0</v>
      </c>
      <c r="BF257" s="13">
        <v>0</v>
      </c>
      <c r="BG257" s="13">
        <v>0</v>
      </c>
      <c r="BH257" s="13">
        <v>0</v>
      </c>
      <c r="BI257" s="13">
        <v>0</v>
      </c>
      <c r="BJ257" s="13">
        <v>0</v>
      </c>
      <c r="BK257" s="13">
        <v>0</v>
      </c>
      <c r="BL257" s="13">
        <v>0</v>
      </c>
      <c r="BM257" s="13">
        <v>0</v>
      </c>
      <c r="BN257" s="13">
        <v>0</v>
      </c>
      <c r="BO257" s="13">
        <v>0</v>
      </c>
      <c r="BP257" s="13">
        <v>1</v>
      </c>
      <c r="BR257" s="42">
        <v>15</v>
      </c>
    </row>
    <row r="258" spans="1:70" s="42" customFormat="1" ht="14.25" x14ac:dyDescent="0.15">
      <c r="A258" s="164"/>
      <c r="B258" s="42" t="s">
        <v>2006</v>
      </c>
      <c r="C258" s="42" t="s">
        <v>2256</v>
      </c>
      <c r="E258" s="42" t="s">
        <v>2257</v>
      </c>
      <c r="G258" s="42">
        <v>0</v>
      </c>
      <c r="H258" s="42">
        <v>14</v>
      </c>
      <c r="I258" s="42" t="s">
        <v>401</v>
      </c>
      <c r="K258" s="42">
        <v>3</v>
      </c>
      <c r="L258" s="42">
        <v>1</v>
      </c>
      <c r="M258" s="42" t="s">
        <v>254</v>
      </c>
      <c r="N258" s="42" t="s">
        <v>396</v>
      </c>
      <c r="O258" s="42">
        <v>0</v>
      </c>
      <c r="P258" s="42" t="s">
        <v>2007</v>
      </c>
      <c r="Q258" s="42" t="s">
        <v>2258</v>
      </c>
      <c r="S258" s="42" t="s">
        <v>2338</v>
      </c>
      <c r="U258" s="42" t="s">
        <v>2259</v>
      </c>
      <c r="Y258" s="42" t="s">
        <v>250</v>
      </c>
      <c r="Z258" s="42" t="s">
        <v>2260</v>
      </c>
      <c r="AA258" s="13" t="s">
        <v>251</v>
      </c>
      <c r="AB258" s="13">
        <v>0.15</v>
      </c>
      <c r="AC258" s="13">
        <v>0</v>
      </c>
      <c r="AD258" s="42">
        <v>20</v>
      </c>
      <c r="AE258" s="42">
        <v>1</v>
      </c>
      <c r="AF258" s="13" t="s">
        <v>2339</v>
      </c>
      <c r="AH258" s="13" t="s">
        <v>3066</v>
      </c>
      <c r="AI258" s="13">
        <v>0</v>
      </c>
      <c r="AJ258" s="13"/>
      <c r="AK258" s="42">
        <v>52785.31563514439</v>
      </c>
      <c r="AN258" s="42" t="s">
        <v>235</v>
      </c>
      <c r="AO258" s="42">
        <v>0</v>
      </c>
      <c r="AP258" s="42" t="s">
        <v>252</v>
      </c>
      <c r="AR258" s="42">
        <v>52785.31563514439</v>
      </c>
      <c r="AS258" s="42">
        <v>12735.548313599998</v>
      </c>
      <c r="AT258" s="42">
        <v>94544.777087177514</v>
      </c>
      <c r="AU258" s="13">
        <v>1</v>
      </c>
      <c r="AV258" s="13">
        <v>1</v>
      </c>
      <c r="AW258" s="13">
        <v>0</v>
      </c>
      <c r="AX258" s="13">
        <v>0</v>
      </c>
      <c r="AY258" s="13">
        <v>0</v>
      </c>
      <c r="AZ258" s="13">
        <v>0</v>
      </c>
      <c r="BA258" s="13">
        <v>0</v>
      </c>
      <c r="BB258" s="13">
        <v>0</v>
      </c>
      <c r="BC258" s="13">
        <v>0</v>
      </c>
      <c r="BD258" s="13">
        <v>0</v>
      </c>
      <c r="BE258" s="13">
        <v>0</v>
      </c>
      <c r="BF258" s="13">
        <v>0</v>
      </c>
      <c r="BG258" s="13">
        <v>0</v>
      </c>
      <c r="BH258" s="13">
        <v>0</v>
      </c>
      <c r="BI258" s="13">
        <v>0</v>
      </c>
      <c r="BJ258" s="13">
        <v>0</v>
      </c>
      <c r="BK258" s="13">
        <v>0</v>
      </c>
      <c r="BL258" s="13">
        <v>0</v>
      </c>
      <c r="BM258" s="13">
        <v>0</v>
      </c>
      <c r="BN258" s="13">
        <v>0</v>
      </c>
      <c r="BO258" s="13">
        <v>0</v>
      </c>
      <c r="BP258" s="13">
        <v>1</v>
      </c>
      <c r="BR258" s="42">
        <v>17</v>
      </c>
    </row>
    <row r="259" spans="1:70" s="42" customFormat="1" ht="14.25" x14ac:dyDescent="0.15">
      <c r="A259" s="164"/>
      <c r="B259" s="42" t="s">
        <v>2686</v>
      </c>
      <c r="C259" s="13" t="s">
        <v>969</v>
      </c>
      <c r="E259" s="42" t="s">
        <v>970</v>
      </c>
      <c r="G259" s="42">
        <v>0</v>
      </c>
      <c r="H259" s="42">
        <v>13</v>
      </c>
      <c r="I259" s="42" t="s">
        <v>296</v>
      </c>
      <c r="K259" s="42">
        <v>3</v>
      </c>
      <c r="L259" s="42">
        <v>1</v>
      </c>
      <c r="M259" s="42" t="s">
        <v>254</v>
      </c>
      <c r="N259" s="42" t="s">
        <v>396</v>
      </c>
      <c r="O259" s="42">
        <v>0</v>
      </c>
      <c r="P259" s="42" t="s">
        <v>2687</v>
      </c>
      <c r="Q259" s="42" t="s">
        <v>971</v>
      </c>
      <c r="S259" s="42" t="s">
        <v>972</v>
      </c>
      <c r="U259" s="42" t="s">
        <v>973</v>
      </c>
      <c r="Y259" s="42" t="s">
        <v>974</v>
      </c>
      <c r="Z259" s="42" t="s">
        <v>235</v>
      </c>
      <c r="AA259" s="13" t="s">
        <v>251</v>
      </c>
      <c r="AB259" s="13">
        <v>0.15</v>
      </c>
      <c r="AC259" s="13">
        <v>0</v>
      </c>
      <c r="AD259" s="42">
        <v>20</v>
      </c>
      <c r="AE259" s="42">
        <v>1</v>
      </c>
      <c r="AF259" s="13" t="s">
        <v>1028</v>
      </c>
      <c r="AH259" s="13" t="s">
        <v>399</v>
      </c>
      <c r="AI259" s="13">
        <v>0</v>
      </c>
      <c r="AJ259" s="13"/>
      <c r="AK259" s="42">
        <v>43577.066470291182</v>
      </c>
      <c r="AN259" s="42" t="s">
        <v>235</v>
      </c>
      <c r="AO259" s="42">
        <v>0</v>
      </c>
      <c r="AP259" s="42" t="s">
        <v>252</v>
      </c>
      <c r="AR259" s="42">
        <v>43577.066470291182</v>
      </c>
      <c r="AS259" s="42">
        <v>10443.149617151999</v>
      </c>
      <c r="AT259" s="42">
        <v>65425.722935571168</v>
      </c>
      <c r="AU259" s="13">
        <v>1</v>
      </c>
      <c r="AV259" s="13">
        <v>1</v>
      </c>
      <c r="AW259" s="13">
        <v>0</v>
      </c>
      <c r="AX259" s="13">
        <v>0</v>
      </c>
      <c r="AY259" s="13">
        <v>0</v>
      </c>
      <c r="AZ259" s="13">
        <v>0</v>
      </c>
      <c r="BA259" s="13">
        <v>0</v>
      </c>
      <c r="BB259" s="13">
        <v>0</v>
      </c>
      <c r="BC259" s="13">
        <v>0</v>
      </c>
      <c r="BD259" s="13">
        <v>0</v>
      </c>
      <c r="BE259" s="13">
        <v>0</v>
      </c>
      <c r="BF259" s="13">
        <v>0</v>
      </c>
      <c r="BG259" s="13">
        <v>0</v>
      </c>
      <c r="BH259" s="13">
        <v>0</v>
      </c>
      <c r="BI259" s="13">
        <v>0</v>
      </c>
      <c r="BJ259" s="13">
        <v>0</v>
      </c>
      <c r="BK259" s="13">
        <v>0</v>
      </c>
      <c r="BL259" s="13">
        <v>0</v>
      </c>
      <c r="BM259" s="13">
        <v>0</v>
      </c>
      <c r="BN259" s="13">
        <v>0</v>
      </c>
      <c r="BO259" s="13">
        <v>0</v>
      </c>
      <c r="BP259" s="13">
        <v>1</v>
      </c>
      <c r="BR259" s="42">
        <v>12</v>
      </c>
    </row>
    <row r="260" spans="1:70" s="42" customFormat="1" ht="14.25" x14ac:dyDescent="0.15">
      <c r="A260" s="164"/>
      <c r="B260" s="42" t="s">
        <v>2688</v>
      </c>
      <c r="C260" s="13" t="s">
        <v>2370</v>
      </c>
      <c r="E260" s="42" t="s">
        <v>2371</v>
      </c>
      <c r="G260" s="42">
        <v>0</v>
      </c>
      <c r="H260" s="42">
        <v>14</v>
      </c>
      <c r="I260" s="42" t="s">
        <v>296</v>
      </c>
      <c r="K260" s="42">
        <v>3</v>
      </c>
      <c r="L260" s="42">
        <v>1</v>
      </c>
      <c r="M260" s="42" t="s">
        <v>254</v>
      </c>
      <c r="N260" s="42" t="s">
        <v>396</v>
      </c>
      <c r="O260" s="42">
        <v>0</v>
      </c>
      <c r="P260" s="42" t="s">
        <v>2689</v>
      </c>
      <c r="Q260" s="42" t="s">
        <v>2373</v>
      </c>
      <c r="S260" s="42" t="s">
        <v>2374</v>
      </c>
      <c r="U260" s="42" t="s">
        <v>2375</v>
      </c>
      <c r="Y260" s="42" t="s">
        <v>250</v>
      </c>
      <c r="Z260" s="42" t="s">
        <v>2376</v>
      </c>
      <c r="AA260" s="13" t="s">
        <v>251</v>
      </c>
      <c r="AB260" s="13">
        <v>0.15</v>
      </c>
      <c r="AC260" s="13">
        <v>0</v>
      </c>
      <c r="AD260" s="42">
        <v>20</v>
      </c>
      <c r="AE260" s="42">
        <v>1</v>
      </c>
      <c r="AF260" s="13" t="s">
        <v>2377</v>
      </c>
      <c r="AH260" s="13" t="s">
        <v>399</v>
      </c>
      <c r="AI260" s="13">
        <v>1000</v>
      </c>
      <c r="AJ260" s="13"/>
      <c r="AK260" s="42">
        <v>43577.066470291182</v>
      </c>
      <c r="AN260" s="42" t="s">
        <v>235</v>
      </c>
      <c r="AO260" s="42">
        <v>0</v>
      </c>
      <c r="AP260" s="42" t="s">
        <v>252</v>
      </c>
      <c r="AR260" s="42">
        <v>43577.066470291182</v>
      </c>
      <c r="AS260" s="42">
        <v>10443.149617151999</v>
      </c>
      <c r="AT260" s="42">
        <v>65425.722935571168</v>
      </c>
      <c r="AU260" s="13">
        <v>1</v>
      </c>
      <c r="AV260" s="13">
        <v>1</v>
      </c>
      <c r="AW260" s="13">
        <v>0</v>
      </c>
      <c r="AX260" s="13">
        <v>0</v>
      </c>
      <c r="AY260" s="13">
        <v>0</v>
      </c>
      <c r="AZ260" s="13">
        <v>0</v>
      </c>
      <c r="BA260" s="13">
        <v>0</v>
      </c>
      <c r="BB260" s="13">
        <v>0</v>
      </c>
      <c r="BC260" s="13">
        <v>0</v>
      </c>
      <c r="BD260" s="13">
        <v>0</v>
      </c>
      <c r="BE260" s="13">
        <v>0</v>
      </c>
      <c r="BF260" s="13">
        <v>0</v>
      </c>
      <c r="BG260" s="13">
        <v>0</v>
      </c>
      <c r="BH260" s="13">
        <v>0</v>
      </c>
      <c r="BI260" s="13">
        <v>0</v>
      </c>
      <c r="BJ260" s="13">
        <v>0</v>
      </c>
      <c r="BK260" s="13">
        <v>0</v>
      </c>
      <c r="BL260" s="13">
        <v>0</v>
      </c>
      <c r="BM260" s="13">
        <v>0</v>
      </c>
      <c r="BN260" s="13">
        <v>0</v>
      </c>
      <c r="BO260" s="13">
        <v>0</v>
      </c>
      <c r="BP260" s="13">
        <v>1</v>
      </c>
      <c r="BR260" s="42">
        <v>10</v>
      </c>
    </row>
    <row r="261" spans="1:70" s="42" customFormat="1" ht="14.25" x14ac:dyDescent="0.15">
      <c r="A261" s="164"/>
      <c r="B261" s="42" t="s">
        <v>2690</v>
      </c>
      <c r="C261" s="42" t="s">
        <v>2434</v>
      </c>
      <c r="E261" s="42" t="s">
        <v>2435</v>
      </c>
      <c r="G261" s="42">
        <v>1</v>
      </c>
      <c r="H261" s="42">
        <v>14</v>
      </c>
      <c r="I261" s="42" t="s">
        <v>400</v>
      </c>
      <c r="K261" s="42">
        <v>3</v>
      </c>
      <c r="L261" s="42">
        <v>1</v>
      </c>
      <c r="M261" s="42" t="s">
        <v>254</v>
      </c>
      <c r="N261" s="42" t="s">
        <v>396</v>
      </c>
      <c r="O261" s="42">
        <v>0</v>
      </c>
      <c r="P261" s="42" t="s">
        <v>2691</v>
      </c>
      <c r="Q261" s="42" t="s">
        <v>2437</v>
      </c>
      <c r="S261" s="42" t="s">
        <v>2438</v>
      </c>
      <c r="U261" s="42" t="s">
        <v>2439</v>
      </c>
      <c r="Y261" s="42" t="s">
        <v>250</v>
      </c>
      <c r="Z261" s="42" t="s">
        <v>2440</v>
      </c>
      <c r="AA261" s="13" t="s">
        <v>251</v>
      </c>
      <c r="AB261" s="13">
        <v>0.15</v>
      </c>
      <c r="AC261" s="13">
        <v>30</v>
      </c>
      <c r="AD261" s="42">
        <v>20</v>
      </c>
      <c r="AE261" s="42">
        <v>1</v>
      </c>
      <c r="AF261" s="13" t="s">
        <v>2441</v>
      </c>
      <c r="AH261" s="13" t="s">
        <v>399</v>
      </c>
      <c r="AI261" s="13">
        <v>0</v>
      </c>
      <c r="AJ261" s="13"/>
      <c r="AK261" s="42">
        <v>23993.325288701992</v>
      </c>
      <c r="AN261" s="42" t="s">
        <v>235</v>
      </c>
      <c r="AO261" s="42">
        <v>0</v>
      </c>
      <c r="AP261" s="42" t="s">
        <v>252</v>
      </c>
      <c r="AR261" s="42">
        <v>23993.325288701992</v>
      </c>
      <c r="AS261" s="42">
        <v>15027.947010047999</v>
      </c>
      <c r="AT261" s="42">
        <v>119761.52541274302</v>
      </c>
      <c r="AU261" s="13">
        <v>1</v>
      </c>
      <c r="AV261" s="13">
        <v>1</v>
      </c>
      <c r="AW261" s="13">
        <v>0</v>
      </c>
      <c r="AX261" s="13">
        <v>0</v>
      </c>
      <c r="AY261" s="13">
        <v>0</v>
      </c>
      <c r="AZ261" s="13">
        <v>0</v>
      </c>
      <c r="BA261" s="13">
        <v>0</v>
      </c>
      <c r="BB261" s="13">
        <v>0</v>
      </c>
      <c r="BC261" s="13">
        <v>0</v>
      </c>
      <c r="BD261" s="13">
        <v>0</v>
      </c>
      <c r="BE261" s="13">
        <v>0</v>
      </c>
      <c r="BF261" s="13">
        <v>0</v>
      </c>
      <c r="BG261" s="13">
        <v>0</v>
      </c>
      <c r="BH261" s="13">
        <v>0</v>
      </c>
      <c r="BI261" s="13">
        <v>0</v>
      </c>
      <c r="BJ261" s="13">
        <v>0</v>
      </c>
      <c r="BK261" s="13">
        <v>0</v>
      </c>
      <c r="BL261" s="13">
        <v>0</v>
      </c>
      <c r="BM261" s="13">
        <v>0</v>
      </c>
      <c r="BN261" s="13">
        <v>0</v>
      </c>
      <c r="BO261" s="13">
        <v>0</v>
      </c>
      <c r="BP261" s="13">
        <v>1</v>
      </c>
      <c r="BR261" s="42">
        <v>10</v>
      </c>
    </row>
    <row r="262" spans="1:70" s="42" customFormat="1" ht="14.25" x14ac:dyDescent="0.15">
      <c r="A262" s="164"/>
      <c r="B262" s="42" t="s">
        <v>2008</v>
      </c>
      <c r="C262" s="42" t="s">
        <v>2256</v>
      </c>
      <c r="E262" s="42" t="s">
        <v>2257</v>
      </c>
      <c r="G262" s="42">
        <v>0</v>
      </c>
      <c r="H262" s="42">
        <v>14</v>
      </c>
      <c r="I262" s="42" t="s">
        <v>401</v>
      </c>
      <c r="K262" s="42">
        <v>3</v>
      </c>
      <c r="L262" s="42">
        <v>1</v>
      </c>
      <c r="M262" s="42" t="s">
        <v>254</v>
      </c>
      <c r="N262" s="42" t="s">
        <v>396</v>
      </c>
      <c r="O262" s="42">
        <v>0</v>
      </c>
      <c r="P262" s="42" t="s">
        <v>2009</v>
      </c>
      <c r="Q262" s="42" t="s">
        <v>2258</v>
      </c>
      <c r="S262" s="42" t="s">
        <v>2338</v>
      </c>
      <c r="U262" s="42" t="s">
        <v>2259</v>
      </c>
      <c r="Y262" s="42" t="s">
        <v>250</v>
      </c>
      <c r="Z262" s="42" t="s">
        <v>2260</v>
      </c>
      <c r="AA262" s="13" t="s">
        <v>251</v>
      </c>
      <c r="AB262" s="13">
        <v>0.15</v>
      </c>
      <c r="AC262" s="13">
        <v>0</v>
      </c>
      <c r="AD262" s="42">
        <v>20</v>
      </c>
      <c r="AE262" s="42">
        <v>1</v>
      </c>
      <c r="AF262" s="13" t="s">
        <v>2339</v>
      </c>
      <c r="AH262" s="13" t="s">
        <v>3066</v>
      </c>
      <c r="AI262" s="13">
        <v>0</v>
      </c>
      <c r="AJ262" s="13"/>
      <c r="AK262" s="42">
        <v>52785.31563514439</v>
      </c>
      <c r="AN262" s="42" t="s">
        <v>235</v>
      </c>
      <c r="AO262" s="42">
        <v>0</v>
      </c>
      <c r="AP262" s="42" t="s">
        <v>252</v>
      </c>
      <c r="AR262" s="42">
        <v>52785.31563514439</v>
      </c>
      <c r="AS262" s="42">
        <v>12735.548313599998</v>
      </c>
      <c r="AT262" s="42">
        <v>94544.777087177514</v>
      </c>
      <c r="AU262" s="13">
        <v>1</v>
      </c>
      <c r="AV262" s="13">
        <v>1</v>
      </c>
      <c r="AW262" s="13">
        <v>0</v>
      </c>
      <c r="AX262" s="13">
        <v>0</v>
      </c>
      <c r="AY262" s="13">
        <v>0</v>
      </c>
      <c r="AZ262" s="13">
        <v>0</v>
      </c>
      <c r="BA262" s="13">
        <v>0</v>
      </c>
      <c r="BB262" s="13">
        <v>0</v>
      </c>
      <c r="BC262" s="13">
        <v>0</v>
      </c>
      <c r="BD262" s="13">
        <v>0</v>
      </c>
      <c r="BE262" s="13">
        <v>0</v>
      </c>
      <c r="BF262" s="13">
        <v>0</v>
      </c>
      <c r="BG262" s="13">
        <v>0</v>
      </c>
      <c r="BH262" s="13">
        <v>0</v>
      </c>
      <c r="BI262" s="13">
        <v>0</v>
      </c>
      <c r="BJ262" s="13">
        <v>0</v>
      </c>
      <c r="BK262" s="13">
        <v>0</v>
      </c>
      <c r="BL262" s="13">
        <v>0</v>
      </c>
      <c r="BM262" s="13">
        <v>0</v>
      </c>
      <c r="BN262" s="13">
        <v>0</v>
      </c>
      <c r="BO262" s="13">
        <v>0</v>
      </c>
      <c r="BP262" s="13">
        <v>1</v>
      </c>
      <c r="BR262" s="42">
        <v>17</v>
      </c>
    </row>
    <row r="263" spans="1:70" s="42" customFormat="1" ht="14.25" x14ac:dyDescent="0.15">
      <c r="A263" s="164"/>
      <c r="B263" s="42" t="s">
        <v>2010</v>
      </c>
      <c r="C263" s="42" t="s">
        <v>2424</v>
      </c>
      <c r="E263" s="42" t="s">
        <v>2425</v>
      </c>
      <c r="G263" s="42">
        <v>0</v>
      </c>
      <c r="H263" s="42">
        <v>14</v>
      </c>
      <c r="I263" s="42" t="s">
        <v>809</v>
      </c>
      <c r="K263" s="42">
        <v>3</v>
      </c>
      <c r="L263" s="42">
        <v>1</v>
      </c>
      <c r="M263" s="42" t="s">
        <v>254</v>
      </c>
      <c r="N263" s="42" t="s">
        <v>396</v>
      </c>
      <c r="O263" s="42">
        <v>0</v>
      </c>
      <c r="P263" s="42" t="s">
        <v>2011</v>
      </c>
      <c r="Q263" s="42" t="s">
        <v>2426</v>
      </c>
      <c r="S263" s="42" t="s">
        <v>2427</v>
      </c>
      <c r="U263" s="42" t="s">
        <v>2428</v>
      </c>
      <c r="Y263" s="42" t="s">
        <v>250</v>
      </c>
      <c r="Z263" s="42" t="s">
        <v>2429</v>
      </c>
      <c r="AA263" s="13" t="s">
        <v>251</v>
      </c>
      <c r="AB263" s="13">
        <v>0.15</v>
      </c>
      <c r="AC263" s="13">
        <v>0</v>
      </c>
      <c r="AD263" s="42">
        <v>20</v>
      </c>
      <c r="AE263" s="42">
        <v>1</v>
      </c>
      <c r="AF263" s="13" t="s">
        <v>2430</v>
      </c>
      <c r="AH263" s="13" t="s">
        <v>399</v>
      </c>
      <c r="AI263" s="13">
        <v>1000</v>
      </c>
      <c r="AJ263" s="13"/>
      <c r="AK263" s="42">
        <v>43231.216736399983</v>
      </c>
      <c r="AN263" s="42" t="s">
        <v>235</v>
      </c>
      <c r="AO263" s="42">
        <v>0</v>
      </c>
      <c r="AP263" s="42" t="s">
        <v>252</v>
      </c>
      <c r="AR263" s="42">
        <v>43231.216736399983</v>
      </c>
      <c r="AS263" s="42">
        <v>12735.548313599998</v>
      </c>
      <c r="AT263" s="42">
        <v>106839.31077455998</v>
      </c>
      <c r="AU263" s="13">
        <v>1</v>
      </c>
      <c r="AV263" s="13">
        <v>1</v>
      </c>
      <c r="AW263" s="13">
        <v>0</v>
      </c>
      <c r="AX263" s="13">
        <v>0</v>
      </c>
      <c r="AY263" s="13">
        <v>0</v>
      </c>
      <c r="AZ263" s="13">
        <v>0</v>
      </c>
      <c r="BA263" s="13">
        <v>0</v>
      </c>
      <c r="BB263" s="13">
        <v>0</v>
      </c>
      <c r="BC263" s="13">
        <v>0</v>
      </c>
      <c r="BD263" s="13">
        <v>0</v>
      </c>
      <c r="BE263" s="13">
        <v>0</v>
      </c>
      <c r="BF263" s="13">
        <v>0</v>
      </c>
      <c r="BG263" s="13">
        <v>0</v>
      </c>
      <c r="BH263" s="13">
        <v>0</v>
      </c>
      <c r="BI263" s="13">
        <v>0</v>
      </c>
      <c r="BJ263" s="13">
        <v>0</v>
      </c>
      <c r="BK263" s="13">
        <v>0</v>
      </c>
      <c r="BL263" s="13">
        <v>0</v>
      </c>
      <c r="BM263" s="13">
        <v>0</v>
      </c>
      <c r="BN263" s="13">
        <v>0</v>
      </c>
      <c r="BO263" s="13">
        <v>0</v>
      </c>
      <c r="BP263" s="13">
        <v>1</v>
      </c>
      <c r="BR263" s="42">
        <v>15</v>
      </c>
    </row>
    <row r="264" spans="1:70" s="42" customFormat="1" ht="14.25" x14ac:dyDescent="0.15">
      <c r="A264" s="164"/>
      <c r="B264" s="42" t="s">
        <v>2012</v>
      </c>
      <c r="C264" s="42" t="s">
        <v>2250</v>
      </c>
      <c r="E264" s="42" t="s">
        <v>2251</v>
      </c>
      <c r="G264" s="42">
        <v>1</v>
      </c>
      <c r="H264" s="42">
        <v>13</v>
      </c>
      <c r="I264" s="42" t="s">
        <v>296</v>
      </c>
      <c r="K264" s="42">
        <v>3</v>
      </c>
      <c r="L264" s="42">
        <v>1</v>
      </c>
      <c r="M264" s="42" t="s">
        <v>254</v>
      </c>
      <c r="N264" s="42" t="s">
        <v>396</v>
      </c>
      <c r="O264" s="42">
        <v>0</v>
      </c>
      <c r="P264" s="42" t="s">
        <v>2013</v>
      </c>
      <c r="Q264" s="42" t="s">
        <v>2252</v>
      </c>
      <c r="S264" s="42" t="s">
        <v>2301</v>
      </c>
      <c r="U264" s="42" t="s">
        <v>2253</v>
      </c>
      <c r="Y264" s="42" t="s">
        <v>250</v>
      </c>
      <c r="Z264" s="42" t="s">
        <v>2254</v>
      </c>
      <c r="AA264" s="13" t="s">
        <v>251</v>
      </c>
      <c r="AB264" s="13">
        <v>0.15</v>
      </c>
      <c r="AC264" s="13">
        <v>0</v>
      </c>
      <c r="AD264" s="42">
        <v>20</v>
      </c>
      <c r="AE264" s="42">
        <v>1</v>
      </c>
      <c r="AF264" s="13" t="s">
        <v>2302</v>
      </c>
      <c r="AH264" s="13" t="s">
        <v>399</v>
      </c>
      <c r="AI264" s="13">
        <v>0</v>
      </c>
      <c r="AJ264" s="13"/>
      <c r="AK264" s="42">
        <v>34757.898256065593</v>
      </c>
      <c r="AN264" s="42" t="s">
        <v>235</v>
      </c>
      <c r="AO264" s="42">
        <v>0</v>
      </c>
      <c r="AP264" s="42" t="s">
        <v>252</v>
      </c>
      <c r="AR264" s="42">
        <v>34757.898256065593</v>
      </c>
      <c r="AS264" s="42">
        <v>10443.149617151999</v>
      </c>
      <c r="AT264" s="42">
        <v>56702.293210828357</v>
      </c>
      <c r="AU264" s="13">
        <v>1</v>
      </c>
      <c r="AV264" s="13">
        <v>1</v>
      </c>
      <c r="AW264" s="13">
        <v>0</v>
      </c>
      <c r="AX264" s="13">
        <v>0</v>
      </c>
      <c r="AY264" s="13">
        <v>0</v>
      </c>
      <c r="AZ264" s="13">
        <v>0</v>
      </c>
      <c r="BA264" s="13">
        <v>0</v>
      </c>
      <c r="BB264" s="13">
        <v>0</v>
      </c>
      <c r="BC264" s="13">
        <v>0</v>
      </c>
      <c r="BD264" s="13">
        <v>0</v>
      </c>
      <c r="BE264" s="13">
        <v>0</v>
      </c>
      <c r="BF264" s="13">
        <v>0</v>
      </c>
      <c r="BG264" s="13">
        <v>0</v>
      </c>
      <c r="BH264" s="13">
        <v>0</v>
      </c>
      <c r="BI264" s="13">
        <v>0</v>
      </c>
      <c r="BJ264" s="13">
        <v>0</v>
      </c>
      <c r="BK264" s="13">
        <v>0</v>
      </c>
      <c r="BL264" s="13">
        <v>0</v>
      </c>
      <c r="BM264" s="13">
        <v>0</v>
      </c>
      <c r="BN264" s="13">
        <v>0</v>
      </c>
      <c r="BO264" s="13">
        <v>0</v>
      </c>
      <c r="BP264" s="13">
        <v>1</v>
      </c>
      <c r="BR264" s="42">
        <v>8</v>
      </c>
    </row>
    <row r="265" spans="1:70" s="42" customFormat="1" ht="14.25" x14ac:dyDescent="0.15">
      <c r="A265" s="164"/>
      <c r="B265" s="42" t="s">
        <v>2692</v>
      </c>
      <c r="C265" s="11" t="s">
        <v>2340</v>
      </c>
      <c r="E265" s="42" t="s">
        <v>2341</v>
      </c>
      <c r="G265" s="42">
        <v>0</v>
      </c>
      <c r="H265" s="42">
        <v>14</v>
      </c>
      <c r="I265" s="42" t="s">
        <v>401</v>
      </c>
      <c r="K265" s="42">
        <v>3</v>
      </c>
      <c r="L265" s="42">
        <v>1</v>
      </c>
      <c r="M265" s="42" t="s">
        <v>254</v>
      </c>
      <c r="N265" s="42" t="s">
        <v>396</v>
      </c>
      <c r="O265" s="42">
        <v>0</v>
      </c>
      <c r="P265" s="42" t="s">
        <v>2693</v>
      </c>
      <c r="Q265" s="42" t="s">
        <v>2342</v>
      </c>
      <c r="S265" s="42" t="s">
        <v>2343</v>
      </c>
      <c r="U265" s="42" t="s">
        <v>2344</v>
      </c>
      <c r="Y265" s="42" t="s">
        <v>250</v>
      </c>
      <c r="Z265" s="42" t="s">
        <v>2345</v>
      </c>
      <c r="AA265" s="13" t="s">
        <v>251</v>
      </c>
      <c r="AB265" s="13">
        <v>0.15</v>
      </c>
      <c r="AC265" s="13">
        <v>30</v>
      </c>
      <c r="AD265" s="42">
        <v>20</v>
      </c>
      <c r="AE265" s="42">
        <v>1</v>
      </c>
      <c r="AF265" s="13" t="s">
        <v>2346</v>
      </c>
      <c r="AH265" s="13" t="s">
        <v>399</v>
      </c>
      <c r="AI265" s="13">
        <v>0</v>
      </c>
      <c r="AJ265" s="13"/>
      <c r="AK265" s="42">
        <v>50407.598714642387</v>
      </c>
      <c r="AN265" s="42" t="s">
        <v>235</v>
      </c>
      <c r="AO265" s="42">
        <v>0</v>
      </c>
      <c r="AP265" s="42" t="s">
        <v>252</v>
      </c>
      <c r="AR265" s="42">
        <v>50407.598714642387</v>
      </c>
      <c r="AS265" s="42">
        <v>12735.548313599998</v>
      </c>
      <c r="AT265" s="42">
        <v>90434.13460512631</v>
      </c>
      <c r="AU265" s="13">
        <v>1</v>
      </c>
      <c r="AV265" s="13">
        <v>1</v>
      </c>
      <c r="AW265" s="13">
        <v>0</v>
      </c>
      <c r="AX265" s="13">
        <v>0</v>
      </c>
      <c r="AY265" s="13">
        <v>0</v>
      </c>
      <c r="AZ265" s="13">
        <v>0</v>
      </c>
      <c r="BA265" s="13">
        <v>0</v>
      </c>
      <c r="BB265" s="13">
        <v>0</v>
      </c>
      <c r="BC265" s="13">
        <v>0</v>
      </c>
      <c r="BD265" s="13">
        <v>0</v>
      </c>
      <c r="BE265" s="13">
        <v>0</v>
      </c>
      <c r="BF265" s="13">
        <v>0</v>
      </c>
      <c r="BG265" s="13">
        <v>0</v>
      </c>
      <c r="BH265" s="13">
        <v>0</v>
      </c>
      <c r="BI265" s="13">
        <v>0</v>
      </c>
      <c r="BJ265" s="13">
        <v>0</v>
      </c>
      <c r="BK265" s="13">
        <v>0</v>
      </c>
      <c r="BL265" s="13">
        <v>0</v>
      </c>
      <c r="BM265" s="13">
        <v>0</v>
      </c>
      <c r="BN265" s="13">
        <v>0</v>
      </c>
      <c r="BO265" s="13">
        <v>0</v>
      </c>
      <c r="BP265" s="13">
        <v>1</v>
      </c>
      <c r="BR265" s="42">
        <v>16</v>
      </c>
    </row>
    <row r="266" spans="1:70" s="42" customFormat="1" ht="14.25" x14ac:dyDescent="0.15">
      <c r="A266" s="164"/>
      <c r="B266" s="42" t="s">
        <v>2694</v>
      </c>
      <c r="C266" s="42" t="s">
        <v>2256</v>
      </c>
      <c r="E266" s="42" t="s">
        <v>2257</v>
      </c>
      <c r="G266" s="42">
        <v>0</v>
      </c>
      <c r="H266" s="42">
        <v>14</v>
      </c>
      <c r="I266" s="42" t="s">
        <v>401</v>
      </c>
      <c r="K266" s="42">
        <v>3</v>
      </c>
      <c r="L266" s="42">
        <v>1</v>
      </c>
      <c r="M266" s="42" t="s">
        <v>254</v>
      </c>
      <c r="N266" s="42" t="s">
        <v>396</v>
      </c>
      <c r="O266" s="42">
        <v>0</v>
      </c>
      <c r="P266" s="42" t="s">
        <v>2695</v>
      </c>
      <c r="Q266" s="42" t="s">
        <v>2258</v>
      </c>
      <c r="S266" s="42" t="s">
        <v>2338</v>
      </c>
      <c r="U266" s="42" t="s">
        <v>2259</v>
      </c>
      <c r="Y266" s="42" t="s">
        <v>250</v>
      </c>
      <c r="Z266" s="42" t="s">
        <v>2260</v>
      </c>
      <c r="AA266" s="13" t="s">
        <v>251</v>
      </c>
      <c r="AB266" s="13">
        <v>0.15</v>
      </c>
      <c r="AC266" s="13">
        <v>0</v>
      </c>
      <c r="AD266" s="42">
        <v>20</v>
      </c>
      <c r="AE266" s="42">
        <v>1</v>
      </c>
      <c r="AF266" s="13" t="s">
        <v>2339</v>
      </c>
      <c r="AH266" s="13" t="s">
        <v>3066</v>
      </c>
      <c r="AI266" s="13">
        <v>0</v>
      </c>
      <c r="AJ266" s="13"/>
      <c r="AK266" s="42">
        <v>52785.31563514439</v>
      </c>
      <c r="AN266" s="42" t="s">
        <v>235</v>
      </c>
      <c r="AO266" s="42">
        <v>0</v>
      </c>
      <c r="AP266" s="42" t="s">
        <v>252</v>
      </c>
      <c r="AR266" s="42">
        <v>52785.31563514439</v>
      </c>
      <c r="AS266" s="42">
        <v>12735.548313599998</v>
      </c>
      <c r="AT266" s="42">
        <v>94544.777087177514</v>
      </c>
      <c r="AU266" s="13">
        <v>1</v>
      </c>
      <c r="AV266" s="13">
        <v>1</v>
      </c>
      <c r="AW266" s="13">
        <v>0</v>
      </c>
      <c r="AX266" s="13">
        <v>0</v>
      </c>
      <c r="AY266" s="13">
        <v>0</v>
      </c>
      <c r="AZ266" s="13">
        <v>0</v>
      </c>
      <c r="BA266" s="13">
        <v>0</v>
      </c>
      <c r="BB266" s="13">
        <v>0</v>
      </c>
      <c r="BC266" s="13">
        <v>0</v>
      </c>
      <c r="BD266" s="13">
        <v>0</v>
      </c>
      <c r="BE266" s="13">
        <v>0</v>
      </c>
      <c r="BF266" s="13">
        <v>0</v>
      </c>
      <c r="BG266" s="13">
        <v>0</v>
      </c>
      <c r="BH266" s="13">
        <v>0</v>
      </c>
      <c r="BI266" s="13">
        <v>0</v>
      </c>
      <c r="BJ266" s="13">
        <v>0</v>
      </c>
      <c r="BK266" s="13">
        <v>0</v>
      </c>
      <c r="BL266" s="13">
        <v>0</v>
      </c>
      <c r="BM266" s="13">
        <v>0</v>
      </c>
      <c r="BN266" s="13">
        <v>0</v>
      </c>
      <c r="BO266" s="13">
        <v>0</v>
      </c>
      <c r="BP266" s="13">
        <v>1</v>
      </c>
      <c r="BR266" s="42">
        <v>17</v>
      </c>
    </row>
    <row r="267" spans="1:70" s="42" customFormat="1" ht="14.25" x14ac:dyDescent="0.15">
      <c r="A267" s="164"/>
      <c r="B267" s="42" t="s">
        <v>2696</v>
      </c>
      <c r="C267" s="11" t="s">
        <v>969</v>
      </c>
      <c r="E267" s="42" t="s">
        <v>970</v>
      </c>
      <c r="G267" s="42">
        <v>0</v>
      </c>
      <c r="H267" s="42">
        <v>13</v>
      </c>
      <c r="I267" s="42" t="s">
        <v>296</v>
      </c>
      <c r="K267" s="42">
        <v>3</v>
      </c>
      <c r="L267" s="42">
        <v>1</v>
      </c>
      <c r="M267" s="42" t="s">
        <v>254</v>
      </c>
      <c r="N267" s="42" t="s">
        <v>396</v>
      </c>
      <c r="O267" s="42">
        <v>0</v>
      </c>
      <c r="P267" s="42" t="s">
        <v>2697</v>
      </c>
      <c r="Q267" s="42" t="s">
        <v>971</v>
      </c>
      <c r="S267" s="42" t="s">
        <v>972</v>
      </c>
      <c r="U267" s="42" t="s">
        <v>973</v>
      </c>
      <c r="Y267" s="42" t="s">
        <v>974</v>
      </c>
      <c r="Z267" s="42" t="s">
        <v>235</v>
      </c>
      <c r="AA267" s="13" t="s">
        <v>251</v>
      </c>
      <c r="AB267" s="13">
        <v>0.15</v>
      </c>
      <c r="AC267" s="13">
        <v>0</v>
      </c>
      <c r="AD267" s="42">
        <v>20</v>
      </c>
      <c r="AE267" s="42">
        <v>1</v>
      </c>
      <c r="AF267" s="13" t="s">
        <v>1028</v>
      </c>
      <c r="AH267" s="13" t="s">
        <v>399</v>
      </c>
      <c r="AI267" s="13">
        <v>1000</v>
      </c>
      <c r="AJ267" s="13"/>
      <c r="AK267" s="42">
        <v>43577.066470291182</v>
      </c>
      <c r="AN267" s="42" t="s">
        <v>235</v>
      </c>
      <c r="AO267" s="42">
        <v>0</v>
      </c>
      <c r="AP267" s="42" t="s">
        <v>252</v>
      </c>
      <c r="AR267" s="42">
        <v>43577.066470291182</v>
      </c>
      <c r="AS267" s="42">
        <v>10443.149617151999</v>
      </c>
      <c r="AT267" s="42">
        <v>65425.722935571168</v>
      </c>
      <c r="AU267" s="13">
        <v>1</v>
      </c>
      <c r="AV267" s="13">
        <v>1</v>
      </c>
      <c r="AW267" s="13">
        <v>0</v>
      </c>
      <c r="AX267" s="13">
        <v>0</v>
      </c>
      <c r="AY267" s="13">
        <v>0</v>
      </c>
      <c r="AZ267" s="13">
        <v>0</v>
      </c>
      <c r="BA267" s="13">
        <v>0</v>
      </c>
      <c r="BB267" s="13">
        <v>0</v>
      </c>
      <c r="BC267" s="13">
        <v>0</v>
      </c>
      <c r="BD267" s="13">
        <v>0</v>
      </c>
      <c r="BE267" s="13">
        <v>0</v>
      </c>
      <c r="BF267" s="13">
        <v>0</v>
      </c>
      <c r="BG267" s="13">
        <v>0</v>
      </c>
      <c r="BH267" s="13">
        <v>0</v>
      </c>
      <c r="BI267" s="13">
        <v>0</v>
      </c>
      <c r="BJ267" s="13">
        <v>0</v>
      </c>
      <c r="BK267" s="13">
        <v>0</v>
      </c>
      <c r="BL267" s="13">
        <v>0</v>
      </c>
      <c r="BM267" s="13">
        <v>0</v>
      </c>
      <c r="BN267" s="13">
        <v>0</v>
      </c>
      <c r="BO267" s="13">
        <v>0</v>
      </c>
      <c r="BP267" s="13">
        <v>1</v>
      </c>
      <c r="BR267" s="42">
        <v>12</v>
      </c>
    </row>
    <row r="268" spans="1:70" s="42" customFormat="1" ht="14.25" x14ac:dyDescent="0.15">
      <c r="A268" s="164"/>
      <c r="B268" s="42" t="s">
        <v>2698</v>
      </c>
      <c r="C268" s="42" t="s">
        <v>969</v>
      </c>
      <c r="E268" s="42" t="s">
        <v>970</v>
      </c>
      <c r="G268" s="42">
        <v>0</v>
      </c>
      <c r="H268" s="42">
        <v>13</v>
      </c>
      <c r="I268" s="42" t="s">
        <v>296</v>
      </c>
      <c r="K268" s="42">
        <v>3</v>
      </c>
      <c r="L268" s="42">
        <v>1</v>
      </c>
      <c r="M268" s="42" t="s">
        <v>254</v>
      </c>
      <c r="N268" s="42" t="s">
        <v>396</v>
      </c>
      <c r="O268" s="42">
        <v>0</v>
      </c>
      <c r="P268" s="42" t="s">
        <v>2699</v>
      </c>
      <c r="Q268" s="42" t="s">
        <v>971</v>
      </c>
      <c r="S268" s="42" t="s">
        <v>972</v>
      </c>
      <c r="U268" s="42" t="s">
        <v>973</v>
      </c>
      <c r="Y268" s="42" t="s">
        <v>974</v>
      </c>
      <c r="Z268" s="42" t="s">
        <v>235</v>
      </c>
      <c r="AA268" s="13" t="s">
        <v>251</v>
      </c>
      <c r="AB268" s="13">
        <v>0.15</v>
      </c>
      <c r="AC268" s="13">
        <v>0</v>
      </c>
      <c r="AD268" s="42">
        <v>20</v>
      </c>
      <c r="AE268" s="42">
        <v>1</v>
      </c>
      <c r="AF268" s="13" t="s">
        <v>1028</v>
      </c>
      <c r="AH268" s="13" t="s">
        <v>399</v>
      </c>
      <c r="AI268" s="13">
        <v>0</v>
      </c>
      <c r="AJ268" s="13"/>
      <c r="AK268" s="42">
        <v>43577.066470291182</v>
      </c>
      <c r="AN268" s="42" t="s">
        <v>235</v>
      </c>
      <c r="AO268" s="42">
        <v>0</v>
      </c>
      <c r="AP268" s="42" t="s">
        <v>252</v>
      </c>
      <c r="AR268" s="42">
        <v>43577.066470291182</v>
      </c>
      <c r="AS268" s="42">
        <v>10443.149617151999</v>
      </c>
      <c r="AT268" s="42">
        <v>65425.722935571168</v>
      </c>
      <c r="AU268" s="13">
        <v>1</v>
      </c>
      <c r="AV268" s="13">
        <v>1</v>
      </c>
      <c r="AW268" s="13">
        <v>0</v>
      </c>
      <c r="AX268" s="13">
        <v>0</v>
      </c>
      <c r="AY268" s="13">
        <v>0</v>
      </c>
      <c r="AZ268" s="13">
        <v>0</v>
      </c>
      <c r="BA268" s="13">
        <v>0</v>
      </c>
      <c r="BB268" s="13">
        <v>0</v>
      </c>
      <c r="BC268" s="13">
        <v>0</v>
      </c>
      <c r="BD268" s="13">
        <v>0</v>
      </c>
      <c r="BE268" s="13">
        <v>0</v>
      </c>
      <c r="BF268" s="13">
        <v>0</v>
      </c>
      <c r="BG268" s="13">
        <v>0</v>
      </c>
      <c r="BH268" s="13">
        <v>0</v>
      </c>
      <c r="BI268" s="13">
        <v>0</v>
      </c>
      <c r="BJ268" s="13">
        <v>0</v>
      </c>
      <c r="BK268" s="13">
        <v>0</v>
      </c>
      <c r="BL268" s="13">
        <v>0</v>
      </c>
      <c r="BM268" s="13">
        <v>0</v>
      </c>
      <c r="BN268" s="13">
        <v>0</v>
      </c>
      <c r="BO268" s="13">
        <v>0</v>
      </c>
      <c r="BP268" s="13">
        <v>1</v>
      </c>
      <c r="BR268" s="42">
        <v>12</v>
      </c>
    </row>
    <row r="269" spans="1:70" s="42" customFormat="1" ht="14.25" x14ac:dyDescent="0.15">
      <c r="A269" s="164"/>
      <c r="B269" s="42" t="s">
        <v>2014</v>
      </c>
      <c r="C269" s="42" t="s">
        <v>874</v>
      </c>
      <c r="E269" s="42" t="s">
        <v>875</v>
      </c>
      <c r="G269" s="42">
        <v>1</v>
      </c>
      <c r="H269" s="42">
        <v>14</v>
      </c>
      <c r="I269" s="42" t="s">
        <v>400</v>
      </c>
      <c r="K269" s="42">
        <v>3</v>
      </c>
      <c r="L269" s="42">
        <v>1</v>
      </c>
      <c r="M269" s="42" t="s">
        <v>254</v>
      </c>
      <c r="N269" s="42" t="s">
        <v>396</v>
      </c>
      <c r="O269" s="42">
        <v>0</v>
      </c>
      <c r="P269" s="42" t="s">
        <v>2015</v>
      </c>
      <c r="Q269" s="42" t="s">
        <v>876</v>
      </c>
      <c r="S269" s="42" t="s">
        <v>877</v>
      </c>
      <c r="U269" s="42" t="s">
        <v>878</v>
      </c>
      <c r="Y269" s="42" t="s">
        <v>879</v>
      </c>
      <c r="Z269" s="42" t="s">
        <v>235</v>
      </c>
      <c r="AA269" s="13" t="s">
        <v>251</v>
      </c>
      <c r="AB269" s="13">
        <v>0.15</v>
      </c>
      <c r="AC269" s="13">
        <v>0</v>
      </c>
      <c r="AD269" s="42">
        <v>20</v>
      </c>
      <c r="AE269" s="42">
        <v>1</v>
      </c>
      <c r="AF269" s="13" t="s">
        <v>1007</v>
      </c>
      <c r="AH269" s="13" t="s">
        <v>399</v>
      </c>
      <c r="AI269" s="13">
        <v>0</v>
      </c>
      <c r="AJ269" s="13"/>
      <c r="AK269" s="42">
        <v>32389.703834040003</v>
      </c>
      <c r="AN269" s="42" t="s">
        <v>235</v>
      </c>
      <c r="AO269" s="42">
        <v>0</v>
      </c>
      <c r="AP269" s="42" t="s">
        <v>252</v>
      </c>
      <c r="AR269" s="42">
        <v>32389.703834040003</v>
      </c>
      <c r="AS269" s="42">
        <v>13444.992462384002</v>
      </c>
      <c r="AT269" s="42">
        <v>229527.68047096927</v>
      </c>
      <c r="AU269" s="13">
        <v>1</v>
      </c>
      <c r="AV269" s="13">
        <v>1</v>
      </c>
      <c r="AW269" s="13">
        <v>0</v>
      </c>
      <c r="AX269" s="13">
        <v>0</v>
      </c>
      <c r="AY269" s="13">
        <v>0</v>
      </c>
      <c r="AZ269" s="13">
        <v>0</v>
      </c>
      <c r="BA269" s="13">
        <v>0</v>
      </c>
      <c r="BB269" s="13">
        <v>0</v>
      </c>
      <c r="BC269" s="13">
        <v>0</v>
      </c>
      <c r="BD269" s="13">
        <v>0</v>
      </c>
      <c r="BE269" s="13">
        <v>0.2</v>
      </c>
      <c r="BF269" s="13">
        <v>0.2</v>
      </c>
      <c r="BG269" s="13">
        <v>0</v>
      </c>
      <c r="BH269" s="13">
        <v>0</v>
      </c>
      <c r="BI269" s="13">
        <v>0</v>
      </c>
      <c r="BJ269" s="13">
        <v>0</v>
      </c>
      <c r="BK269" s="13">
        <v>0</v>
      </c>
      <c r="BL269" s="13">
        <v>0</v>
      </c>
      <c r="BM269" s="13">
        <v>0</v>
      </c>
      <c r="BN269" s="13">
        <v>0</v>
      </c>
      <c r="BO269" s="13">
        <v>0</v>
      </c>
      <c r="BP269" s="13">
        <v>1</v>
      </c>
      <c r="BR269" s="42">
        <v>17</v>
      </c>
    </row>
    <row r="270" spans="1:70" s="42" customFormat="1" ht="14.25" x14ac:dyDescent="0.15">
      <c r="A270" s="164"/>
      <c r="B270" s="42" t="s">
        <v>2700</v>
      </c>
      <c r="C270" s="42" t="s">
        <v>2447</v>
      </c>
      <c r="E270" s="42" t="s">
        <v>2448</v>
      </c>
      <c r="G270" s="42">
        <v>0</v>
      </c>
      <c r="H270" s="42">
        <v>13</v>
      </c>
      <c r="I270" s="42" t="s">
        <v>397</v>
      </c>
      <c r="K270" s="42">
        <v>3</v>
      </c>
      <c r="L270" s="42">
        <v>1</v>
      </c>
      <c r="M270" s="42" t="s">
        <v>254</v>
      </c>
      <c r="N270" s="42" t="s">
        <v>396</v>
      </c>
      <c r="O270" s="42">
        <v>0</v>
      </c>
      <c r="P270" s="42" t="s">
        <v>2701</v>
      </c>
      <c r="Q270" s="42" t="s">
        <v>2450</v>
      </c>
      <c r="S270" s="42" t="s">
        <v>2451</v>
      </c>
      <c r="U270" s="42" t="s">
        <v>2452</v>
      </c>
      <c r="Y270" s="42" t="s">
        <v>250</v>
      </c>
      <c r="Z270" s="42" t="s">
        <v>2453</v>
      </c>
      <c r="AA270" s="13" t="s">
        <v>251</v>
      </c>
      <c r="AB270" s="13">
        <v>0.15</v>
      </c>
      <c r="AC270" s="13">
        <v>0</v>
      </c>
      <c r="AD270" s="42">
        <v>20</v>
      </c>
      <c r="AE270" s="42">
        <v>1</v>
      </c>
      <c r="AF270" s="13" t="s">
        <v>2454</v>
      </c>
      <c r="AH270" s="13" t="s">
        <v>399</v>
      </c>
      <c r="AI270" s="13">
        <v>0</v>
      </c>
      <c r="AJ270" s="13"/>
      <c r="AK270" s="42">
        <v>42890.581989964805</v>
      </c>
      <c r="AN270" s="42" t="s">
        <v>235</v>
      </c>
      <c r="AO270" s="42">
        <v>0</v>
      </c>
      <c r="AP270" s="42" t="s">
        <v>252</v>
      </c>
      <c r="AR270" s="42">
        <v>42890.581989964805</v>
      </c>
      <c r="AS270" s="42">
        <v>11394.0614088</v>
      </c>
      <c r="AT270" s="42">
        <v>179064.1478851533</v>
      </c>
      <c r="AU270" s="13">
        <v>1</v>
      </c>
      <c r="AV270" s="13">
        <v>1</v>
      </c>
      <c r="AW270" s="13">
        <v>0</v>
      </c>
      <c r="AX270" s="13">
        <v>0</v>
      </c>
      <c r="AY270" s="13">
        <v>0</v>
      </c>
      <c r="AZ270" s="13">
        <v>0</v>
      </c>
      <c r="BA270" s="13">
        <v>0</v>
      </c>
      <c r="BB270" s="13">
        <v>0</v>
      </c>
      <c r="BC270" s="13">
        <v>0</v>
      </c>
      <c r="BD270" s="13">
        <v>0</v>
      </c>
      <c r="BE270" s="13">
        <v>0.2</v>
      </c>
      <c r="BF270" s="13">
        <v>0.2</v>
      </c>
      <c r="BG270" s="13">
        <v>0</v>
      </c>
      <c r="BH270" s="13">
        <v>0</v>
      </c>
      <c r="BI270" s="13">
        <v>0</v>
      </c>
      <c r="BJ270" s="13">
        <v>0</v>
      </c>
      <c r="BK270" s="13">
        <v>0</v>
      </c>
      <c r="BL270" s="13">
        <v>0</v>
      </c>
      <c r="BM270" s="13">
        <v>0</v>
      </c>
      <c r="BN270" s="13">
        <v>0</v>
      </c>
      <c r="BO270" s="13">
        <v>0</v>
      </c>
      <c r="BP270" s="13">
        <v>1</v>
      </c>
      <c r="BR270" s="42">
        <v>16</v>
      </c>
    </row>
    <row r="271" spans="1:70" s="42" customFormat="1" ht="14.25" x14ac:dyDescent="0.15">
      <c r="A271" s="164"/>
      <c r="B271" s="42" t="s">
        <v>2702</v>
      </c>
      <c r="C271" s="42" t="s">
        <v>1163</v>
      </c>
      <c r="E271" s="42" t="s">
        <v>1164</v>
      </c>
      <c r="G271" s="42">
        <v>0</v>
      </c>
      <c r="H271" s="42">
        <v>13</v>
      </c>
      <c r="I271" s="42" t="s">
        <v>296</v>
      </c>
      <c r="K271" s="42">
        <v>3</v>
      </c>
      <c r="L271" s="42">
        <v>1</v>
      </c>
      <c r="M271" s="42" t="s">
        <v>254</v>
      </c>
      <c r="N271" s="42" t="s">
        <v>396</v>
      </c>
      <c r="O271" s="42">
        <v>0</v>
      </c>
      <c r="P271" s="42" t="s">
        <v>2703</v>
      </c>
      <c r="Q271" s="42" t="s">
        <v>1165</v>
      </c>
      <c r="S271" s="42" t="s">
        <v>1166</v>
      </c>
      <c r="U271" s="42" t="s">
        <v>1167</v>
      </c>
      <c r="Y271" s="13" t="s">
        <v>3303</v>
      </c>
      <c r="Z271" s="13" t="s">
        <v>444</v>
      </c>
      <c r="AA271" s="13" t="s">
        <v>251</v>
      </c>
      <c r="AB271" s="13">
        <v>0.15</v>
      </c>
      <c r="AC271" s="13">
        <v>0</v>
      </c>
      <c r="AD271" s="42">
        <v>20</v>
      </c>
      <c r="AE271" s="42">
        <v>1</v>
      </c>
      <c r="AF271" s="13" t="s">
        <v>1169</v>
      </c>
      <c r="AH271" s="13" t="s">
        <v>399</v>
      </c>
      <c r="AI271" s="13">
        <v>0</v>
      </c>
      <c r="AJ271" s="13"/>
      <c r="AK271" s="42">
        <v>51823.526134464009</v>
      </c>
      <c r="AN271" s="42" t="s">
        <v>235</v>
      </c>
      <c r="AO271" s="42">
        <v>0</v>
      </c>
      <c r="AP271" s="42" t="s">
        <v>252</v>
      </c>
      <c r="AR271" s="42">
        <v>51823.526134464009</v>
      </c>
      <c r="AS271" s="42">
        <v>9343.1303552160007</v>
      </c>
      <c r="AT271" s="42">
        <v>115577.76818041714</v>
      </c>
      <c r="AU271" s="13">
        <v>1</v>
      </c>
      <c r="AV271" s="13">
        <v>1</v>
      </c>
      <c r="AW271" s="13">
        <v>0</v>
      </c>
      <c r="AX271" s="13">
        <v>0</v>
      </c>
      <c r="AY271" s="13">
        <v>0</v>
      </c>
      <c r="AZ271" s="13">
        <v>0</v>
      </c>
      <c r="BA271" s="13">
        <v>0</v>
      </c>
      <c r="BB271" s="13">
        <v>0</v>
      </c>
      <c r="BC271" s="13">
        <v>0</v>
      </c>
      <c r="BD271" s="13">
        <v>0</v>
      </c>
      <c r="BE271" s="13">
        <v>0.2</v>
      </c>
      <c r="BF271" s="13">
        <v>0.2</v>
      </c>
      <c r="BG271" s="13">
        <v>0</v>
      </c>
      <c r="BH271" s="13">
        <v>0</v>
      </c>
      <c r="BI271" s="13">
        <v>0</v>
      </c>
      <c r="BJ271" s="13">
        <v>0</v>
      </c>
      <c r="BK271" s="13">
        <v>0</v>
      </c>
      <c r="BL271" s="13">
        <v>0</v>
      </c>
      <c r="BM271" s="13">
        <v>0</v>
      </c>
      <c r="BN271" s="13">
        <v>0</v>
      </c>
      <c r="BO271" s="13">
        <v>0</v>
      </c>
      <c r="BP271" s="13">
        <v>1</v>
      </c>
      <c r="BQ271" s="11" t="s">
        <v>2337</v>
      </c>
      <c r="BR271" s="42">
        <v>17</v>
      </c>
    </row>
    <row r="272" spans="1:70" s="42" customFormat="1" ht="14.25" x14ac:dyDescent="0.15">
      <c r="A272" s="164"/>
      <c r="B272" s="42" t="s">
        <v>2704</v>
      </c>
      <c r="C272" s="13" t="s">
        <v>2447</v>
      </c>
      <c r="E272" s="42" t="s">
        <v>2448</v>
      </c>
      <c r="G272" s="42">
        <v>0</v>
      </c>
      <c r="H272" s="42">
        <v>13</v>
      </c>
      <c r="I272" s="42" t="s">
        <v>397</v>
      </c>
      <c r="K272" s="42">
        <v>3</v>
      </c>
      <c r="L272" s="42">
        <v>1</v>
      </c>
      <c r="M272" s="42" t="s">
        <v>254</v>
      </c>
      <c r="N272" s="42" t="s">
        <v>396</v>
      </c>
      <c r="O272" s="42">
        <v>0</v>
      </c>
      <c r="P272" s="42" t="s">
        <v>2705</v>
      </c>
      <c r="Q272" s="42" t="s">
        <v>2450</v>
      </c>
      <c r="S272" s="42" t="s">
        <v>2451</v>
      </c>
      <c r="U272" s="42" t="s">
        <v>2452</v>
      </c>
      <c r="Y272" s="42" t="s">
        <v>250</v>
      </c>
      <c r="Z272" s="42" t="s">
        <v>2453</v>
      </c>
      <c r="AA272" s="13" t="s">
        <v>251</v>
      </c>
      <c r="AB272" s="13">
        <v>0.15</v>
      </c>
      <c r="AC272" s="13">
        <v>0</v>
      </c>
      <c r="AD272" s="42">
        <v>20</v>
      </c>
      <c r="AE272" s="42">
        <v>1</v>
      </c>
      <c r="AF272" s="13" t="s">
        <v>2454</v>
      </c>
      <c r="AH272" s="13" t="s">
        <v>399</v>
      </c>
      <c r="AI272" s="13">
        <v>0</v>
      </c>
      <c r="AJ272" s="13"/>
      <c r="AK272" s="42">
        <v>42890.581989964805</v>
      </c>
      <c r="AN272" s="42" t="s">
        <v>235</v>
      </c>
      <c r="AO272" s="42">
        <v>0</v>
      </c>
      <c r="AP272" s="42" t="s">
        <v>252</v>
      </c>
      <c r="AR272" s="42">
        <v>42890.581989964805</v>
      </c>
      <c r="AS272" s="42">
        <v>11394.0614088</v>
      </c>
      <c r="AT272" s="42">
        <v>179064.1478851533</v>
      </c>
      <c r="AU272" s="13">
        <v>1</v>
      </c>
      <c r="AV272" s="13">
        <v>1</v>
      </c>
      <c r="AW272" s="13">
        <v>0</v>
      </c>
      <c r="AX272" s="13">
        <v>0</v>
      </c>
      <c r="AY272" s="13">
        <v>0</v>
      </c>
      <c r="AZ272" s="13">
        <v>0</v>
      </c>
      <c r="BA272" s="13">
        <v>0</v>
      </c>
      <c r="BB272" s="13">
        <v>0</v>
      </c>
      <c r="BC272" s="13">
        <v>0</v>
      </c>
      <c r="BD272" s="13">
        <v>0</v>
      </c>
      <c r="BE272" s="13">
        <v>0.2</v>
      </c>
      <c r="BF272" s="13">
        <v>0.2</v>
      </c>
      <c r="BG272" s="13">
        <v>0</v>
      </c>
      <c r="BH272" s="13">
        <v>0</v>
      </c>
      <c r="BI272" s="13">
        <v>0</v>
      </c>
      <c r="BJ272" s="13">
        <v>0</v>
      </c>
      <c r="BK272" s="13">
        <v>0</v>
      </c>
      <c r="BL272" s="13">
        <v>0</v>
      </c>
      <c r="BM272" s="13">
        <v>0</v>
      </c>
      <c r="BN272" s="13">
        <v>0</v>
      </c>
      <c r="BO272" s="13">
        <v>0</v>
      </c>
      <c r="BP272" s="13">
        <v>1</v>
      </c>
      <c r="BR272" s="42">
        <v>16</v>
      </c>
    </row>
    <row r="273" spans="1:70" s="42" customFormat="1" ht="14.25" x14ac:dyDescent="0.15">
      <c r="A273" s="164"/>
      <c r="B273" s="42" t="s">
        <v>2706</v>
      </c>
      <c r="C273" s="11" t="s">
        <v>900</v>
      </c>
      <c r="E273" s="42" t="s">
        <v>901</v>
      </c>
      <c r="G273" s="42">
        <v>1</v>
      </c>
      <c r="H273" s="42">
        <v>14</v>
      </c>
      <c r="I273" s="42" t="s">
        <v>421</v>
      </c>
      <c r="K273" s="42">
        <v>3</v>
      </c>
      <c r="L273" s="42">
        <v>1</v>
      </c>
      <c r="M273" s="42" t="s">
        <v>254</v>
      </c>
      <c r="N273" s="42" t="s">
        <v>396</v>
      </c>
      <c r="O273" s="42">
        <v>0</v>
      </c>
      <c r="P273" s="42" t="s">
        <v>2707</v>
      </c>
      <c r="Q273" s="42" t="s">
        <v>902</v>
      </c>
      <c r="S273" s="42" t="s">
        <v>903</v>
      </c>
      <c r="U273" s="42" t="s">
        <v>904</v>
      </c>
      <c r="Y273" s="42" t="s">
        <v>250</v>
      </c>
      <c r="Z273" s="42" t="s">
        <v>905</v>
      </c>
      <c r="AA273" s="13" t="s">
        <v>251</v>
      </c>
      <c r="AB273" s="13">
        <v>0.15</v>
      </c>
      <c r="AC273" s="13">
        <v>0</v>
      </c>
      <c r="AD273" s="42">
        <v>20</v>
      </c>
      <c r="AE273" s="42">
        <v>1</v>
      </c>
      <c r="AF273" s="13" t="s">
        <v>2461</v>
      </c>
      <c r="AH273" s="13" t="s">
        <v>258</v>
      </c>
      <c r="AI273" s="13">
        <v>0</v>
      </c>
      <c r="AJ273" s="13"/>
      <c r="AK273" s="42">
        <v>41240.944221120008</v>
      </c>
      <c r="AN273" s="42" t="s">
        <v>235</v>
      </c>
      <c r="AO273" s="42">
        <v>0</v>
      </c>
      <c r="AP273" s="42" t="s">
        <v>252</v>
      </c>
      <c r="AR273" s="42">
        <v>41240.944221120008</v>
      </c>
      <c r="AS273" s="42">
        <v>11394.0614088</v>
      </c>
      <c r="AT273" s="42">
        <v>175823.33638816801</v>
      </c>
      <c r="AU273" s="13">
        <v>1</v>
      </c>
      <c r="AV273" s="13">
        <v>1</v>
      </c>
      <c r="AW273" s="13">
        <v>0</v>
      </c>
      <c r="AX273" s="13">
        <v>0</v>
      </c>
      <c r="AY273" s="13">
        <v>0</v>
      </c>
      <c r="AZ273" s="13">
        <v>0</v>
      </c>
      <c r="BA273" s="13">
        <v>0</v>
      </c>
      <c r="BB273" s="13">
        <v>0</v>
      </c>
      <c r="BC273" s="13">
        <v>0</v>
      </c>
      <c r="BD273" s="13">
        <v>0</v>
      </c>
      <c r="BE273" s="13">
        <v>0.2</v>
      </c>
      <c r="BF273" s="13">
        <v>0.2</v>
      </c>
      <c r="BG273" s="13">
        <v>0</v>
      </c>
      <c r="BH273" s="13">
        <v>0</v>
      </c>
      <c r="BI273" s="13">
        <v>0</v>
      </c>
      <c r="BJ273" s="13">
        <v>0</v>
      </c>
      <c r="BK273" s="13">
        <v>0</v>
      </c>
      <c r="BL273" s="13">
        <v>0</v>
      </c>
      <c r="BM273" s="13">
        <v>0</v>
      </c>
      <c r="BN273" s="13">
        <v>0</v>
      </c>
      <c r="BO273" s="13">
        <v>0</v>
      </c>
      <c r="BP273" s="13">
        <v>1</v>
      </c>
      <c r="BR273" s="42">
        <v>18</v>
      </c>
    </row>
    <row r="274" spans="1:70" s="42" customFormat="1" ht="14.25" x14ac:dyDescent="0.15">
      <c r="A274" s="164"/>
      <c r="B274" s="42" t="s">
        <v>2708</v>
      </c>
      <c r="C274" s="13" t="s">
        <v>912</v>
      </c>
      <c r="E274" s="42" t="s">
        <v>913</v>
      </c>
      <c r="G274" s="42">
        <v>0</v>
      </c>
      <c r="H274" s="42">
        <v>14</v>
      </c>
      <c r="I274" s="42" t="s">
        <v>400</v>
      </c>
      <c r="K274" s="42">
        <v>3</v>
      </c>
      <c r="L274" s="42">
        <v>1</v>
      </c>
      <c r="M274" s="42" t="s">
        <v>254</v>
      </c>
      <c r="N274" s="42" t="s">
        <v>396</v>
      </c>
      <c r="O274" s="42">
        <v>0</v>
      </c>
      <c r="P274" s="42" t="s">
        <v>2709</v>
      </c>
      <c r="Q274" s="42" t="s">
        <v>914</v>
      </c>
      <c r="S274" s="42" t="s">
        <v>915</v>
      </c>
      <c r="U274" s="42" t="s">
        <v>916</v>
      </c>
      <c r="Y274" s="42" t="s">
        <v>250</v>
      </c>
      <c r="Z274" s="42" t="s">
        <v>917</v>
      </c>
      <c r="AA274" s="13" t="s">
        <v>251</v>
      </c>
      <c r="AB274" s="13">
        <v>0.15</v>
      </c>
      <c r="AC274" s="13">
        <v>30</v>
      </c>
      <c r="AD274" s="42">
        <v>20</v>
      </c>
      <c r="AE274" s="42">
        <v>1</v>
      </c>
      <c r="AF274" s="13" t="s">
        <v>1015</v>
      </c>
      <c r="AH274" s="13" t="s">
        <v>399</v>
      </c>
      <c r="AI274" s="13">
        <v>0</v>
      </c>
      <c r="AJ274" s="13"/>
      <c r="AK274" s="42">
        <v>34140.498635879994</v>
      </c>
      <c r="AN274" s="42" t="s">
        <v>235</v>
      </c>
      <c r="AO274" s="42">
        <v>0</v>
      </c>
      <c r="AP274" s="42" t="s">
        <v>252</v>
      </c>
      <c r="AR274" s="42">
        <v>34140.498635879994</v>
      </c>
      <c r="AS274" s="42">
        <v>13444.992462384002</v>
      </c>
      <c r="AT274" s="42">
        <v>238981.90987251946</v>
      </c>
      <c r="AU274" s="13">
        <v>1</v>
      </c>
      <c r="AV274" s="13">
        <v>1</v>
      </c>
      <c r="AW274" s="13">
        <v>0</v>
      </c>
      <c r="AX274" s="13">
        <v>0</v>
      </c>
      <c r="AY274" s="13">
        <v>0</v>
      </c>
      <c r="AZ274" s="13">
        <v>0</v>
      </c>
      <c r="BA274" s="13">
        <v>0</v>
      </c>
      <c r="BB274" s="13">
        <v>0</v>
      </c>
      <c r="BC274" s="13">
        <v>0</v>
      </c>
      <c r="BD274" s="13">
        <v>0</v>
      </c>
      <c r="BE274" s="13">
        <v>0.2</v>
      </c>
      <c r="BF274" s="13">
        <v>0.2</v>
      </c>
      <c r="BG274" s="13">
        <v>0</v>
      </c>
      <c r="BH274" s="13">
        <v>0</v>
      </c>
      <c r="BI274" s="13">
        <v>0</v>
      </c>
      <c r="BJ274" s="13">
        <v>0</v>
      </c>
      <c r="BK274" s="13">
        <v>0</v>
      </c>
      <c r="BL274" s="13">
        <v>0</v>
      </c>
      <c r="BM274" s="13">
        <v>0</v>
      </c>
      <c r="BN274" s="13">
        <v>0</v>
      </c>
      <c r="BO274" s="13">
        <v>0</v>
      </c>
      <c r="BP274" s="13">
        <v>1</v>
      </c>
      <c r="BR274" s="42">
        <v>18</v>
      </c>
    </row>
    <row r="275" spans="1:70" s="42" customFormat="1" ht="14.25" x14ac:dyDescent="0.15">
      <c r="A275" s="164"/>
      <c r="B275" s="42" t="s">
        <v>2710</v>
      </c>
      <c r="C275" s="42" t="s">
        <v>988</v>
      </c>
      <c r="E275" s="42" t="s">
        <v>989</v>
      </c>
      <c r="G275" s="42">
        <v>0</v>
      </c>
      <c r="H275" s="42">
        <v>14</v>
      </c>
      <c r="I275" s="42" t="s">
        <v>397</v>
      </c>
      <c r="K275" s="42">
        <v>3</v>
      </c>
      <c r="L275" s="42">
        <v>1</v>
      </c>
      <c r="M275" s="42" t="s">
        <v>254</v>
      </c>
      <c r="N275" s="42" t="s">
        <v>396</v>
      </c>
      <c r="O275" s="42">
        <v>0</v>
      </c>
      <c r="P275" s="42" t="s">
        <v>2711</v>
      </c>
      <c r="Q275" s="42" t="s">
        <v>990</v>
      </c>
      <c r="S275" s="42" t="s">
        <v>991</v>
      </c>
      <c r="U275" s="42" t="s">
        <v>992</v>
      </c>
      <c r="Y275" s="42" t="s">
        <v>993</v>
      </c>
      <c r="Z275" s="42" t="s">
        <v>235</v>
      </c>
      <c r="AA275" s="13" t="s">
        <v>251</v>
      </c>
      <c r="AB275" s="13">
        <v>0.15</v>
      </c>
      <c r="AC275" s="13">
        <v>0</v>
      </c>
      <c r="AD275" s="42">
        <v>20</v>
      </c>
      <c r="AE275" s="42">
        <v>1</v>
      </c>
      <c r="AF275" s="13" t="s">
        <v>1032</v>
      </c>
      <c r="AH275" s="13" t="s">
        <v>399</v>
      </c>
      <c r="AI275" s="13">
        <v>0</v>
      </c>
      <c r="AJ275" s="13"/>
      <c r="AK275" s="42">
        <v>40462.813198080003</v>
      </c>
      <c r="AN275" s="42" t="s">
        <v>235</v>
      </c>
      <c r="AO275" s="42">
        <v>0</v>
      </c>
      <c r="AP275" s="42" t="s">
        <v>252</v>
      </c>
      <c r="AR275" s="42">
        <v>40462.813198080003</v>
      </c>
      <c r="AS275" s="42">
        <v>11394.0614088</v>
      </c>
      <c r="AT275" s="42">
        <v>171353.25156474003</v>
      </c>
      <c r="AU275" s="13">
        <v>1</v>
      </c>
      <c r="AV275" s="13">
        <v>1</v>
      </c>
      <c r="AW275" s="13">
        <v>0</v>
      </c>
      <c r="AX275" s="13">
        <v>0</v>
      </c>
      <c r="AY275" s="13">
        <v>0</v>
      </c>
      <c r="AZ275" s="13">
        <v>0</v>
      </c>
      <c r="BA275" s="13">
        <v>0</v>
      </c>
      <c r="BB275" s="13">
        <v>0</v>
      </c>
      <c r="BC275" s="13">
        <v>0</v>
      </c>
      <c r="BD275" s="13">
        <v>0</v>
      </c>
      <c r="BE275" s="13">
        <v>0.2</v>
      </c>
      <c r="BF275" s="13">
        <v>0.2</v>
      </c>
      <c r="BG275" s="13">
        <v>0</v>
      </c>
      <c r="BH275" s="13">
        <v>0</v>
      </c>
      <c r="BI275" s="13">
        <v>0</v>
      </c>
      <c r="BJ275" s="13">
        <v>0</v>
      </c>
      <c r="BK275" s="13">
        <v>0</v>
      </c>
      <c r="BL275" s="13">
        <v>0</v>
      </c>
      <c r="BM275" s="13">
        <v>0</v>
      </c>
      <c r="BN275" s="13">
        <v>0</v>
      </c>
      <c r="BO275" s="13">
        <v>0</v>
      </c>
      <c r="BP275" s="13">
        <v>1</v>
      </c>
      <c r="BR275" s="42">
        <v>15</v>
      </c>
    </row>
    <row r="276" spans="1:70" s="42" customFormat="1" ht="14.25" x14ac:dyDescent="0.15">
      <c r="A276" s="164"/>
      <c r="B276" s="42" t="s">
        <v>2712</v>
      </c>
      <c r="C276" s="42" t="s">
        <v>1163</v>
      </c>
      <c r="E276" s="42" t="s">
        <v>1164</v>
      </c>
      <c r="G276" s="42">
        <v>0</v>
      </c>
      <c r="H276" s="42">
        <v>13</v>
      </c>
      <c r="I276" s="42" t="s">
        <v>296</v>
      </c>
      <c r="K276" s="42">
        <v>3</v>
      </c>
      <c r="L276" s="42">
        <v>1</v>
      </c>
      <c r="M276" s="42" t="s">
        <v>254</v>
      </c>
      <c r="N276" s="42" t="s">
        <v>396</v>
      </c>
      <c r="O276" s="42">
        <v>0</v>
      </c>
      <c r="P276" s="42" t="s">
        <v>2713</v>
      </c>
      <c r="Q276" s="42" t="s">
        <v>1165</v>
      </c>
      <c r="S276" s="42" t="s">
        <v>1166</v>
      </c>
      <c r="U276" s="42" t="s">
        <v>1167</v>
      </c>
      <c r="Y276" s="13" t="s">
        <v>3303</v>
      </c>
      <c r="Z276" s="13" t="s">
        <v>444</v>
      </c>
      <c r="AA276" s="13" t="s">
        <v>251</v>
      </c>
      <c r="AB276" s="13">
        <v>0.15</v>
      </c>
      <c r="AC276" s="13">
        <v>30</v>
      </c>
      <c r="AD276" s="42">
        <v>20</v>
      </c>
      <c r="AE276" s="42">
        <v>1</v>
      </c>
      <c r="AF276" s="13" t="s">
        <v>1169</v>
      </c>
      <c r="AH276" s="13" t="s">
        <v>399</v>
      </c>
      <c r="AI276" s="13">
        <v>0</v>
      </c>
      <c r="AJ276" s="13"/>
      <c r="AK276" s="42">
        <v>51823.526134464009</v>
      </c>
      <c r="AN276" s="42" t="s">
        <v>235</v>
      </c>
      <c r="AO276" s="42">
        <v>0</v>
      </c>
      <c r="AP276" s="42" t="s">
        <v>252</v>
      </c>
      <c r="AR276" s="42">
        <v>51823.526134464009</v>
      </c>
      <c r="AS276" s="42">
        <v>9343.1303552160007</v>
      </c>
      <c r="AT276" s="42">
        <v>115577.76818041714</v>
      </c>
      <c r="AU276" s="13">
        <v>1</v>
      </c>
      <c r="AV276" s="13">
        <v>1</v>
      </c>
      <c r="AW276" s="13">
        <v>0</v>
      </c>
      <c r="AX276" s="13">
        <v>0</v>
      </c>
      <c r="AY276" s="13">
        <v>0</v>
      </c>
      <c r="AZ276" s="13">
        <v>0</v>
      </c>
      <c r="BA276" s="13">
        <v>0</v>
      </c>
      <c r="BB276" s="13">
        <v>0</v>
      </c>
      <c r="BC276" s="13">
        <v>0</v>
      </c>
      <c r="BD276" s="13">
        <v>0</v>
      </c>
      <c r="BE276" s="13">
        <v>0.2</v>
      </c>
      <c r="BF276" s="13">
        <v>0.2</v>
      </c>
      <c r="BG276" s="13">
        <v>0</v>
      </c>
      <c r="BH276" s="13">
        <v>0</v>
      </c>
      <c r="BI276" s="13">
        <v>0</v>
      </c>
      <c r="BJ276" s="13">
        <v>0</v>
      </c>
      <c r="BK276" s="13">
        <v>0</v>
      </c>
      <c r="BL276" s="13">
        <v>0</v>
      </c>
      <c r="BM276" s="13">
        <v>0</v>
      </c>
      <c r="BN276" s="13">
        <v>0</v>
      </c>
      <c r="BO276" s="13">
        <v>0</v>
      </c>
      <c r="BP276" s="13">
        <v>1</v>
      </c>
      <c r="BQ276" s="11" t="s">
        <v>2337</v>
      </c>
      <c r="BR276" s="42">
        <v>17</v>
      </c>
    </row>
    <row r="277" spans="1:70" s="42" customFormat="1" ht="14.25" x14ac:dyDescent="0.15">
      <c r="A277" s="164"/>
      <c r="B277" s="42" t="s">
        <v>2714</v>
      </c>
      <c r="C277" s="11" t="s">
        <v>2469</v>
      </c>
      <c r="E277" s="42" t="s">
        <v>2470</v>
      </c>
      <c r="G277" s="42">
        <v>0</v>
      </c>
      <c r="H277" s="42">
        <v>13</v>
      </c>
      <c r="I277" s="42" t="s">
        <v>397</v>
      </c>
      <c r="K277" s="42">
        <v>3</v>
      </c>
      <c r="L277" s="42">
        <v>1</v>
      </c>
      <c r="M277" s="42" t="s">
        <v>254</v>
      </c>
      <c r="N277" s="42" t="s">
        <v>396</v>
      </c>
      <c r="O277" s="42">
        <v>0</v>
      </c>
      <c r="P277" s="42" t="s">
        <v>2715</v>
      </c>
      <c r="Q277" s="42" t="s">
        <v>2472</v>
      </c>
      <c r="S277" s="42" t="s">
        <v>2473</v>
      </c>
      <c r="U277" s="42" t="s">
        <v>2474</v>
      </c>
      <c r="Y277" s="42" t="s">
        <v>250</v>
      </c>
      <c r="Z277" s="42" t="s">
        <v>2475</v>
      </c>
      <c r="AA277" s="13" t="s">
        <v>251</v>
      </c>
      <c r="AB277" s="13">
        <v>0.15</v>
      </c>
      <c r="AC277" s="13">
        <v>0</v>
      </c>
      <c r="AD277" s="42">
        <v>20</v>
      </c>
      <c r="AE277" s="42">
        <v>1</v>
      </c>
      <c r="AF277" s="13" t="s">
        <v>2476</v>
      </c>
      <c r="AH277" s="13" t="s">
        <v>258</v>
      </c>
      <c r="AI277" s="13">
        <v>680</v>
      </c>
      <c r="AJ277" s="13"/>
      <c r="AK277" s="42">
        <v>36011.903746291202</v>
      </c>
      <c r="AN277" s="42" t="s">
        <v>235</v>
      </c>
      <c r="AO277" s="42">
        <v>0</v>
      </c>
      <c r="AP277" s="42" t="s">
        <v>252</v>
      </c>
      <c r="AR277" s="42">
        <v>36011.903746291202</v>
      </c>
      <c r="AS277" s="42">
        <v>11394.0614088</v>
      </c>
      <c r="AT277" s="42">
        <v>155503.07579500155</v>
      </c>
      <c r="AU277" s="13">
        <v>1</v>
      </c>
      <c r="AV277" s="13">
        <v>1</v>
      </c>
      <c r="AW277" s="13">
        <v>0</v>
      </c>
      <c r="AX277" s="13">
        <v>0</v>
      </c>
      <c r="AY277" s="13">
        <v>0</v>
      </c>
      <c r="AZ277" s="13">
        <v>0</v>
      </c>
      <c r="BA277" s="13">
        <v>0</v>
      </c>
      <c r="BB277" s="13">
        <v>0</v>
      </c>
      <c r="BC277" s="13">
        <v>0</v>
      </c>
      <c r="BD277" s="13">
        <v>0</v>
      </c>
      <c r="BE277" s="13">
        <v>0.2</v>
      </c>
      <c r="BF277" s="13">
        <v>0.2</v>
      </c>
      <c r="BG277" s="13">
        <v>0</v>
      </c>
      <c r="BH277" s="13">
        <v>0</v>
      </c>
      <c r="BI277" s="13">
        <v>0</v>
      </c>
      <c r="BJ277" s="13">
        <v>0</v>
      </c>
      <c r="BK277" s="13">
        <v>0</v>
      </c>
      <c r="BL277" s="13">
        <v>0</v>
      </c>
      <c r="BM277" s="13">
        <v>0</v>
      </c>
      <c r="BN277" s="13">
        <v>0</v>
      </c>
      <c r="BO277" s="13">
        <v>0</v>
      </c>
      <c r="BP277" s="13">
        <v>1</v>
      </c>
      <c r="BR277" s="42">
        <v>13</v>
      </c>
    </row>
    <row r="278" spans="1:70" s="42" customFormat="1" ht="14.25" x14ac:dyDescent="0.15">
      <c r="A278" s="164"/>
      <c r="B278" s="42" t="s">
        <v>2716</v>
      </c>
      <c r="C278" s="42" t="s">
        <v>2469</v>
      </c>
      <c r="E278" s="42" t="s">
        <v>2470</v>
      </c>
      <c r="G278" s="42">
        <v>0</v>
      </c>
      <c r="H278" s="42">
        <v>13</v>
      </c>
      <c r="I278" s="42" t="s">
        <v>397</v>
      </c>
      <c r="K278" s="42">
        <v>3</v>
      </c>
      <c r="L278" s="42">
        <v>1</v>
      </c>
      <c r="M278" s="42" t="s">
        <v>254</v>
      </c>
      <c r="N278" s="42" t="s">
        <v>396</v>
      </c>
      <c r="O278" s="42">
        <v>0</v>
      </c>
      <c r="P278" s="42" t="s">
        <v>2717</v>
      </c>
      <c r="Q278" s="42" t="s">
        <v>2472</v>
      </c>
      <c r="S278" s="42" t="s">
        <v>2473</v>
      </c>
      <c r="U278" s="42" t="s">
        <v>2474</v>
      </c>
      <c r="Y278" s="42" t="s">
        <v>250</v>
      </c>
      <c r="Z278" s="42" t="s">
        <v>2475</v>
      </c>
      <c r="AA278" s="13" t="s">
        <v>251</v>
      </c>
      <c r="AB278" s="13">
        <v>0.15</v>
      </c>
      <c r="AC278" s="13">
        <v>0</v>
      </c>
      <c r="AD278" s="42">
        <v>20</v>
      </c>
      <c r="AE278" s="42">
        <v>1</v>
      </c>
      <c r="AF278" s="13" t="s">
        <v>2476</v>
      </c>
      <c r="AH278" s="13" t="s">
        <v>258</v>
      </c>
      <c r="AI278" s="13">
        <v>1000</v>
      </c>
      <c r="AJ278" s="13"/>
      <c r="AK278" s="42">
        <v>36011.903746291202</v>
      </c>
      <c r="AN278" s="42" t="s">
        <v>235</v>
      </c>
      <c r="AO278" s="42">
        <v>0</v>
      </c>
      <c r="AP278" s="42" t="s">
        <v>252</v>
      </c>
      <c r="AR278" s="42">
        <v>36011.903746291202</v>
      </c>
      <c r="AS278" s="42">
        <v>11394.0614088</v>
      </c>
      <c r="AT278" s="42">
        <v>155503.07579500155</v>
      </c>
      <c r="AU278" s="13">
        <v>1</v>
      </c>
      <c r="AV278" s="13">
        <v>1</v>
      </c>
      <c r="AW278" s="13">
        <v>0</v>
      </c>
      <c r="AX278" s="13">
        <v>0</v>
      </c>
      <c r="AY278" s="13">
        <v>0</v>
      </c>
      <c r="AZ278" s="13">
        <v>0</v>
      </c>
      <c r="BA278" s="13">
        <v>0</v>
      </c>
      <c r="BB278" s="13">
        <v>0</v>
      </c>
      <c r="BC278" s="13">
        <v>0</v>
      </c>
      <c r="BD278" s="13">
        <v>0</v>
      </c>
      <c r="BE278" s="13">
        <v>0.2</v>
      </c>
      <c r="BF278" s="13">
        <v>0.2</v>
      </c>
      <c r="BG278" s="13">
        <v>0</v>
      </c>
      <c r="BH278" s="13">
        <v>0</v>
      </c>
      <c r="BI278" s="13">
        <v>0</v>
      </c>
      <c r="BJ278" s="13">
        <v>0</v>
      </c>
      <c r="BK278" s="13">
        <v>0</v>
      </c>
      <c r="BL278" s="13">
        <v>0</v>
      </c>
      <c r="BM278" s="13">
        <v>0</v>
      </c>
      <c r="BN278" s="13">
        <v>0</v>
      </c>
      <c r="BO278" s="13">
        <v>0</v>
      </c>
      <c r="BP278" s="13">
        <v>1</v>
      </c>
      <c r="BR278" s="42">
        <v>13</v>
      </c>
    </row>
    <row r="279" spans="1:70" s="42" customFormat="1" ht="14.25" x14ac:dyDescent="0.15">
      <c r="A279" s="164"/>
      <c r="B279" s="42" t="s">
        <v>2718</v>
      </c>
      <c r="C279" s="42" t="s">
        <v>2469</v>
      </c>
      <c r="E279" s="42" t="s">
        <v>2470</v>
      </c>
      <c r="G279" s="42">
        <v>0</v>
      </c>
      <c r="H279" s="42">
        <v>13</v>
      </c>
      <c r="I279" s="42" t="s">
        <v>397</v>
      </c>
      <c r="K279" s="42">
        <v>3</v>
      </c>
      <c r="L279" s="42">
        <v>1</v>
      </c>
      <c r="M279" s="42" t="s">
        <v>254</v>
      </c>
      <c r="N279" s="42" t="s">
        <v>396</v>
      </c>
      <c r="O279" s="42">
        <v>0</v>
      </c>
      <c r="P279" s="42" t="s">
        <v>2719</v>
      </c>
      <c r="Q279" s="42" t="s">
        <v>2472</v>
      </c>
      <c r="S279" s="42" t="s">
        <v>2473</v>
      </c>
      <c r="U279" s="42" t="s">
        <v>2474</v>
      </c>
      <c r="Y279" s="42" t="s">
        <v>250</v>
      </c>
      <c r="Z279" s="42" t="s">
        <v>2475</v>
      </c>
      <c r="AA279" s="13" t="s">
        <v>251</v>
      </c>
      <c r="AB279" s="13">
        <v>0.15</v>
      </c>
      <c r="AC279" s="13">
        <v>0</v>
      </c>
      <c r="AD279" s="42">
        <v>20</v>
      </c>
      <c r="AE279" s="42">
        <v>1</v>
      </c>
      <c r="AF279" s="13" t="s">
        <v>2476</v>
      </c>
      <c r="AH279" s="13" t="s">
        <v>258</v>
      </c>
      <c r="AI279" s="13">
        <v>0</v>
      </c>
      <c r="AJ279" s="13"/>
      <c r="AK279" s="42">
        <v>36011.903746291202</v>
      </c>
      <c r="AN279" s="42" t="s">
        <v>235</v>
      </c>
      <c r="AO279" s="42">
        <v>0</v>
      </c>
      <c r="AP279" s="42" t="s">
        <v>252</v>
      </c>
      <c r="AR279" s="42">
        <v>36011.903746291202</v>
      </c>
      <c r="AS279" s="42">
        <v>11394.0614088</v>
      </c>
      <c r="AT279" s="42">
        <v>155503.07579500155</v>
      </c>
      <c r="AU279" s="13">
        <v>1</v>
      </c>
      <c r="AV279" s="13">
        <v>1</v>
      </c>
      <c r="AW279" s="13">
        <v>0</v>
      </c>
      <c r="AX279" s="13">
        <v>0</v>
      </c>
      <c r="AY279" s="13">
        <v>0</v>
      </c>
      <c r="AZ279" s="13">
        <v>0</v>
      </c>
      <c r="BA279" s="13">
        <v>0</v>
      </c>
      <c r="BB279" s="13">
        <v>0</v>
      </c>
      <c r="BC279" s="13">
        <v>0</v>
      </c>
      <c r="BD279" s="13">
        <v>0</v>
      </c>
      <c r="BE279" s="13">
        <v>0.2</v>
      </c>
      <c r="BF279" s="13">
        <v>0.2</v>
      </c>
      <c r="BG279" s="13">
        <v>0</v>
      </c>
      <c r="BH279" s="13">
        <v>0</v>
      </c>
      <c r="BI279" s="13">
        <v>0</v>
      </c>
      <c r="BJ279" s="13">
        <v>0</v>
      </c>
      <c r="BK279" s="13">
        <v>0</v>
      </c>
      <c r="BL279" s="13">
        <v>0</v>
      </c>
      <c r="BM279" s="13">
        <v>0</v>
      </c>
      <c r="BN279" s="13">
        <v>0</v>
      </c>
      <c r="BO279" s="13">
        <v>0</v>
      </c>
      <c r="BP279" s="13">
        <v>1</v>
      </c>
      <c r="BR279" s="42">
        <v>13</v>
      </c>
    </row>
    <row r="280" spans="1:70" s="42" customFormat="1" ht="14.25" x14ac:dyDescent="0.15">
      <c r="A280" s="164"/>
      <c r="B280" s="42" t="s">
        <v>2720</v>
      </c>
      <c r="C280" s="11" t="s">
        <v>2256</v>
      </c>
      <c r="E280" s="42" t="s">
        <v>2257</v>
      </c>
      <c r="G280" s="42">
        <v>0</v>
      </c>
      <c r="H280" s="42">
        <v>14</v>
      </c>
      <c r="I280" s="42" t="s">
        <v>401</v>
      </c>
      <c r="K280" s="42">
        <v>3</v>
      </c>
      <c r="L280" s="42">
        <v>1</v>
      </c>
      <c r="M280" s="42" t="s">
        <v>254</v>
      </c>
      <c r="N280" s="42" t="s">
        <v>396</v>
      </c>
      <c r="O280" s="42">
        <v>0</v>
      </c>
      <c r="P280" s="42" t="s">
        <v>2721</v>
      </c>
      <c r="Q280" s="42" t="s">
        <v>2258</v>
      </c>
      <c r="S280" s="42" t="s">
        <v>2338</v>
      </c>
      <c r="U280" s="42" t="s">
        <v>2259</v>
      </c>
      <c r="Y280" s="42" t="s">
        <v>250</v>
      </c>
      <c r="Z280" s="42" t="s">
        <v>2260</v>
      </c>
      <c r="AA280" s="13" t="s">
        <v>251</v>
      </c>
      <c r="AB280" s="13">
        <v>0.15</v>
      </c>
      <c r="AC280" s="13">
        <v>0</v>
      </c>
      <c r="AD280" s="42">
        <v>20</v>
      </c>
      <c r="AE280" s="42">
        <v>1</v>
      </c>
      <c r="AF280" s="13" t="s">
        <v>2912</v>
      </c>
      <c r="AH280" s="13" t="s">
        <v>3171</v>
      </c>
      <c r="AI280" s="13">
        <v>0</v>
      </c>
      <c r="AJ280" s="13"/>
      <c r="AK280" s="42">
        <v>47504.898956592013</v>
      </c>
      <c r="AN280" s="42" t="s">
        <v>235</v>
      </c>
      <c r="AO280" s="42">
        <v>0</v>
      </c>
      <c r="AP280" s="42" t="s">
        <v>252</v>
      </c>
      <c r="AR280" s="42">
        <v>47504.898956592013</v>
      </c>
      <c r="AS280" s="42">
        <v>11394.0614088</v>
      </c>
      <c r="AT280" s="42">
        <v>131856.32707906747</v>
      </c>
      <c r="AU280" s="13">
        <v>1</v>
      </c>
      <c r="AV280" s="13">
        <v>1</v>
      </c>
      <c r="AW280" s="13">
        <v>0</v>
      </c>
      <c r="AX280" s="13">
        <v>0</v>
      </c>
      <c r="AY280" s="13">
        <v>0</v>
      </c>
      <c r="AZ280" s="13">
        <v>0</v>
      </c>
      <c r="BA280" s="13">
        <v>0</v>
      </c>
      <c r="BB280" s="13">
        <v>0</v>
      </c>
      <c r="BC280" s="13">
        <v>0</v>
      </c>
      <c r="BD280" s="13">
        <v>0</v>
      </c>
      <c r="BE280" s="13">
        <v>0.2</v>
      </c>
      <c r="BF280" s="13">
        <v>0.2</v>
      </c>
      <c r="BG280" s="13">
        <v>0</v>
      </c>
      <c r="BH280" s="13">
        <v>0</v>
      </c>
      <c r="BI280" s="13">
        <v>0</v>
      </c>
      <c r="BJ280" s="13">
        <v>0</v>
      </c>
      <c r="BK280" s="13">
        <v>0</v>
      </c>
      <c r="BL280" s="13">
        <v>0</v>
      </c>
      <c r="BM280" s="13">
        <v>0</v>
      </c>
      <c r="BN280" s="13">
        <v>0</v>
      </c>
      <c r="BO280" s="13">
        <v>0</v>
      </c>
      <c r="BP280" s="13">
        <v>1</v>
      </c>
      <c r="BR280" s="42">
        <v>17</v>
      </c>
    </row>
    <row r="281" spans="1:70" s="42" customFormat="1" ht="14.25" x14ac:dyDescent="0.15">
      <c r="A281" s="164"/>
      <c r="B281" s="42" t="s">
        <v>2016</v>
      </c>
      <c r="C281" s="42" t="s">
        <v>937</v>
      </c>
      <c r="E281" s="42" t="s">
        <v>420</v>
      </c>
      <c r="G281" s="42">
        <v>1</v>
      </c>
      <c r="H281" s="42">
        <v>14</v>
      </c>
      <c r="I281" s="42" t="s">
        <v>400</v>
      </c>
      <c r="K281" s="42">
        <v>3</v>
      </c>
      <c r="L281" s="42">
        <v>1</v>
      </c>
      <c r="M281" s="42" t="s">
        <v>254</v>
      </c>
      <c r="N281" s="42" t="s">
        <v>396</v>
      </c>
      <c r="O281" s="42">
        <v>0</v>
      </c>
      <c r="P281" s="42" t="s">
        <v>2017</v>
      </c>
      <c r="Q281" s="42" t="s">
        <v>419</v>
      </c>
      <c r="S281" s="42" t="s">
        <v>418</v>
      </c>
      <c r="U281" s="42" t="s">
        <v>417</v>
      </c>
      <c r="Y281" s="42" t="s">
        <v>250</v>
      </c>
      <c r="Z281" s="42" t="s">
        <v>416</v>
      </c>
      <c r="AA281" s="13" t="s">
        <v>251</v>
      </c>
      <c r="AB281" s="13">
        <v>0.15</v>
      </c>
      <c r="AC281" s="13">
        <v>0</v>
      </c>
      <c r="AD281" s="42">
        <v>20</v>
      </c>
      <c r="AE281" s="42">
        <v>1</v>
      </c>
      <c r="AF281" s="13" t="s">
        <v>1021</v>
      </c>
      <c r="AH281" s="13" t="s">
        <v>399</v>
      </c>
      <c r="AI281" s="13">
        <v>0</v>
      </c>
      <c r="AJ281" s="13"/>
      <c r="AK281" s="42">
        <v>37350.289105919997</v>
      </c>
      <c r="AN281" s="42" t="s">
        <v>235</v>
      </c>
      <c r="AO281" s="42">
        <v>0</v>
      </c>
      <c r="AP281" s="42" t="s">
        <v>252</v>
      </c>
      <c r="AR281" s="42">
        <v>37350.289105919997</v>
      </c>
      <c r="AS281" s="42">
        <v>13444.992462384002</v>
      </c>
      <c r="AT281" s="42">
        <v>258415.60364237268</v>
      </c>
      <c r="AU281" s="13">
        <v>1</v>
      </c>
      <c r="AV281" s="13">
        <v>1</v>
      </c>
      <c r="AW281" s="13">
        <v>0</v>
      </c>
      <c r="AX281" s="13">
        <v>0</v>
      </c>
      <c r="AY281" s="13">
        <v>0</v>
      </c>
      <c r="AZ281" s="13">
        <v>0</v>
      </c>
      <c r="BA281" s="13">
        <v>0</v>
      </c>
      <c r="BB281" s="13">
        <v>0</v>
      </c>
      <c r="BC281" s="13">
        <v>0</v>
      </c>
      <c r="BD281" s="13">
        <v>0</v>
      </c>
      <c r="BE281" s="13">
        <v>0.4</v>
      </c>
      <c r="BF281" s="13">
        <v>0.4</v>
      </c>
      <c r="BG281" s="13">
        <v>0</v>
      </c>
      <c r="BH281" s="13">
        <v>0</v>
      </c>
      <c r="BI281" s="13">
        <v>0</v>
      </c>
      <c r="BJ281" s="13">
        <v>0</v>
      </c>
      <c r="BK281" s="13">
        <v>0</v>
      </c>
      <c r="BL281" s="13">
        <v>0</v>
      </c>
      <c r="BM281" s="13">
        <v>0</v>
      </c>
      <c r="BN281" s="13">
        <v>0</v>
      </c>
      <c r="BO281" s="13">
        <v>0</v>
      </c>
      <c r="BP281" s="13">
        <v>1</v>
      </c>
      <c r="BR281" s="42">
        <v>20</v>
      </c>
    </row>
    <row r="282" spans="1:70" s="42" customFormat="1" ht="14.25" x14ac:dyDescent="0.15">
      <c r="A282" s="164"/>
      <c r="B282" s="42" t="s">
        <v>2018</v>
      </c>
      <c r="C282" s="13" t="s">
        <v>937</v>
      </c>
      <c r="E282" s="42" t="s">
        <v>420</v>
      </c>
      <c r="G282" s="42">
        <v>1</v>
      </c>
      <c r="H282" s="42">
        <v>14</v>
      </c>
      <c r="I282" s="42" t="s">
        <v>400</v>
      </c>
      <c r="K282" s="42">
        <v>3</v>
      </c>
      <c r="L282" s="42">
        <v>1</v>
      </c>
      <c r="M282" s="42" t="s">
        <v>254</v>
      </c>
      <c r="N282" s="42" t="s">
        <v>396</v>
      </c>
      <c r="O282" s="42">
        <v>0</v>
      </c>
      <c r="P282" s="42" t="s">
        <v>2019</v>
      </c>
      <c r="Q282" s="42" t="s">
        <v>419</v>
      </c>
      <c r="S282" s="42" t="s">
        <v>418</v>
      </c>
      <c r="U282" s="42" t="s">
        <v>417</v>
      </c>
      <c r="Y282" s="42" t="s">
        <v>250</v>
      </c>
      <c r="Z282" s="42" t="s">
        <v>416</v>
      </c>
      <c r="AA282" s="13" t="s">
        <v>251</v>
      </c>
      <c r="AB282" s="13">
        <v>0.15</v>
      </c>
      <c r="AC282" s="13">
        <v>0</v>
      </c>
      <c r="AD282" s="42">
        <v>20</v>
      </c>
      <c r="AE282" s="42">
        <v>1</v>
      </c>
      <c r="AF282" s="13" t="s">
        <v>1021</v>
      </c>
      <c r="AH282" s="13" t="s">
        <v>399</v>
      </c>
      <c r="AI282" s="13">
        <v>0</v>
      </c>
      <c r="AJ282" s="13"/>
      <c r="AK282" s="42">
        <v>37350.289105919997</v>
      </c>
      <c r="AN282" s="42" t="s">
        <v>235</v>
      </c>
      <c r="AO282" s="42">
        <v>0</v>
      </c>
      <c r="AP282" s="42" t="s">
        <v>252</v>
      </c>
      <c r="AR282" s="42">
        <v>37350.289105919997</v>
      </c>
      <c r="AS282" s="42">
        <v>13444.992462384002</v>
      </c>
      <c r="AT282" s="42">
        <v>258415.60364237268</v>
      </c>
      <c r="AU282" s="13">
        <v>1</v>
      </c>
      <c r="AV282" s="13">
        <v>1</v>
      </c>
      <c r="AW282" s="13">
        <v>0</v>
      </c>
      <c r="AX282" s="13">
        <v>0</v>
      </c>
      <c r="AY282" s="13">
        <v>0</v>
      </c>
      <c r="AZ282" s="13">
        <v>0</v>
      </c>
      <c r="BA282" s="13">
        <v>0</v>
      </c>
      <c r="BB282" s="13">
        <v>0</v>
      </c>
      <c r="BC282" s="13">
        <v>0</v>
      </c>
      <c r="BD282" s="13">
        <v>0</v>
      </c>
      <c r="BE282" s="13">
        <v>0.4</v>
      </c>
      <c r="BF282" s="13">
        <v>0.4</v>
      </c>
      <c r="BG282" s="13">
        <v>0</v>
      </c>
      <c r="BH282" s="13">
        <v>0</v>
      </c>
      <c r="BI282" s="13">
        <v>0</v>
      </c>
      <c r="BJ282" s="13">
        <v>0</v>
      </c>
      <c r="BK282" s="13">
        <v>0</v>
      </c>
      <c r="BL282" s="13">
        <v>0</v>
      </c>
      <c r="BM282" s="13">
        <v>0</v>
      </c>
      <c r="BN282" s="13">
        <v>0</v>
      </c>
      <c r="BO282" s="13">
        <v>0</v>
      </c>
      <c r="BP282" s="13">
        <v>1</v>
      </c>
      <c r="BR282" s="42">
        <v>20</v>
      </c>
    </row>
    <row r="283" spans="1:70" s="42" customFormat="1" ht="14.25" x14ac:dyDescent="0.15">
      <c r="A283" s="164"/>
      <c r="B283" s="42" t="s">
        <v>2020</v>
      </c>
      <c r="C283" s="11" t="s">
        <v>1037</v>
      </c>
      <c r="E283" s="42" t="s">
        <v>1038</v>
      </c>
      <c r="G283" s="42">
        <v>0</v>
      </c>
      <c r="H283" s="42">
        <v>13</v>
      </c>
      <c r="I283" s="42" t="s">
        <v>400</v>
      </c>
      <c r="K283" s="42">
        <v>3</v>
      </c>
      <c r="L283" s="42">
        <v>1</v>
      </c>
      <c r="M283" s="42" t="s">
        <v>254</v>
      </c>
      <c r="N283" s="42" t="s">
        <v>396</v>
      </c>
      <c r="O283" s="42">
        <v>0</v>
      </c>
      <c r="P283" s="42" t="s">
        <v>2021</v>
      </c>
      <c r="Q283" s="42" t="s">
        <v>1039</v>
      </c>
      <c r="S283" s="42" t="s">
        <v>1040</v>
      </c>
      <c r="U283" s="42" t="s">
        <v>1041</v>
      </c>
      <c r="Y283" s="42" t="s">
        <v>250</v>
      </c>
      <c r="Z283" s="42" t="s">
        <v>1042</v>
      </c>
      <c r="AA283" s="13" t="s">
        <v>251</v>
      </c>
      <c r="AB283" s="13">
        <v>0.15</v>
      </c>
      <c r="AC283" s="13">
        <v>30</v>
      </c>
      <c r="AD283" s="42">
        <v>20</v>
      </c>
      <c r="AE283" s="42">
        <v>1</v>
      </c>
      <c r="AF283" s="13" t="s">
        <v>1105</v>
      </c>
      <c r="AH283" s="13" t="s">
        <v>399</v>
      </c>
      <c r="AI283" s="13">
        <v>0</v>
      </c>
      <c r="AJ283" s="13"/>
      <c r="AK283" s="42">
        <v>21593.135889360001</v>
      </c>
      <c r="AN283" s="42" t="s">
        <v>235</v>
      </c>
      <c r="AO283" s="42">
        <v>0</v>
      </c>
      <c r="AP283" s="42" t="s">
        <v>252</v>
      </c>
      <c r="AR283" s="42">
        <v>21593.135889360001</v>
      </c>
      <c r="AS283" s="42">
        <v>13444.992462384002</v>
      </c>
      <c r="AT283" s="42">
        <v>167024.71942738723</v>
      </c>
      <c r="AU283" s="13">
        <v>1</v>
      </c>
      <c r="AV283" s="13">
        <v>1</v>
      </c>
      <c r="AW283" s="13">
        <v>0</v>
      </c>
      <c r="AX283" s="13">
        <v>0</v>
      </c>
      <c r="AY283" s="13">
        <v>0</v>
      </c>
      <c r="AZ283" s="13">
        <v>0</v>
      </c>
      <c r="BA283" s="13">
        <v>0</v>
      </c>
      <c r="BB283" s="13">
        <v>0</v>
      </c>
      <c r="BC283" s="13">
        <v>0</v>
      </c>
      <c r="BD283" s="13">
        <v>0</v>
      </c>
      <c r="BE283" s="13">
        <v>0.4</v>
      </c>
      <c r="BF283" s="13">
        <v>0.4</v>
      </c>
      <c r="BG283" s="13">
        <v>0</v>
      </c>
      <c r="BH283" s="13">
        <v>0</v>
      </c>
      <c r="BI283" s="13">
        <v>0</v>
      </c>
      <c r="BJ283" s="13">
        <v>0</v>
      </c>
      <c r="BK283" s="13">
        <v>0</v>
      </c>
      <c r="BL283" s="13">
        <v>0</v>
      </c>
      <c r="BM283" s="13">
        <v>0</v>
      </c>
      <c r="BN283" s="13">
        <v>0</v>
      </c>
      <c r="BO283" s="13">
        <v>0</v>
      </c>
      <c r="BP283" s="13">
        <v>1</v>
      </c>
      <c r="BR283" s="42">
        <v>10</v>
      </c>
    </row>
    <row r="284" spans="1:70" s="42" customFormat="1" ht="14.25" x14ac:dyDescent="0.15">
      <c r="A284" s="164"/>
      <c r="B284" s="42" t="s">
        <v>2022</v>
      </c>
      <c r="C284" s="11" t="s">
        <v>881</v>
      </c>
      <c r="E284" s="42" t="s">
        <v>726</v>
      </c>
      <c r="G284" s="42">
        <v>0</v>
      </c>
      <c r="H284" s="42">
        <v>12</v>
      </c>
      <c r="I284" s="42" t="s">
        <v>400</v>
      </c>
      <c r="K284" s="42">
        <v>3</v>
      </c>
      <c r="L284" s="42">
        <v>1</v>
      </c>
      <c r="M284" s="42" t="s">
        <v>254</v>
      </c>
      <c r="N284" s="42" t="s">
        <v>396</v>
      </c>
      <c r="O284" s="42">
        <v>0</v>
      </c>
      <c r="P284" s="42" t="s">
        <v>2023</v>
      </c>
      <c r="Q284" s="42" t="s">
        <v>727</v>
      </c>
      <c r="S284" s="42" t="s">
        <v>728</v>
      </c>
      <c r="U284" s="42" t="s">
        <v>729</v>
      </c>
      <c r="Y284" s="42" t="s">
        <v>250</v>
      </c>
      <c r="Z284" s="42" t="s">
        <v>730</v>
      </c>
      <c r="AA284" s="13" t="s">
        <v>251</v>
      </c>
      <c r="AB284" s="13">
        <v>0.15</v>
      </c>
      <c r="AC284" s="13">
        <v>0</v>
      </c>
      <c r="AD284" s="42">
        <v>20</v>
      </c>
      <c r="AE284" s="42">
        <v>1</v>
      </c>
      <c r="AF284" s="13" t="s">
        <v>1009</v>
      </c>
      <c r="AH284" s="13" t="s">
        <v>399</v>
      </c>
      <c r="AI284" s="13">
        <v>0</v>
      </c>
      <c r="AJ284" s="13"/>
      <c r="AK284" s="42">
        <v>19550.541953880002</v>
      </c>
      <c r="AN284" s="42" t="s">
        <v>235</v>
      </c>
      <c r="AO284" s="42">
        <v>0</v>
      </c>
      <c r="AP284" s="42" t="s">
        <v>252</v>
      </c>
      <c r="AR284" s="42">
        <v>19550.541953880002</v>
      </c>
      <c r="AS284" s="42">
        <v>13444.992462384002</v>
      </c>
      <c r="AT284" s="42">
        <v>157045.25505908421</v>
      </c>
      <c r="AU284" s="13">
        <v>1</v>
      </c>
      <c r="AV284" s="13">
        <v>1</v>
      </c>
      <c r="AW284" s="13">
        <v>0</v>
      </c>
      <c r="AX284" s="13">
        <v>0</v>
      </c>
      <c r="AY284" s="13">
        <v>0</v>
      </c>
      <c r="AZ284" s="13">
        <v>0</v>
      </c>
      <c r="BA284" s="13">
        <v>0</v>
      </c>
      <c r="BB284" s="13">
        <v>0</v>
      </c>
      <c r="BC284" s="13">
        <v>0</v>
      </c>
      <c r="BD284" s="13">
        <v>0</v>
      </c>
      <c r="BE284" s="13">
        <v>0.4</v>
      </c>
      <c r="BF284" s="13">
        <v>0.4</v>
      </c>
      <c r="BG284" s="13">
        <v>0</v>
      </c>
      <c r="BH284" s="13">
        <v>0</v>
      </c>
      <c r="BI284" s="13">
        <v>0</v>
      </c>
      <c r="BJ284" s="13">
        <v>0</v>
      </c>
      <c r="BK284" s="13">
        <v>0</v>
      </c>
      <c r="BL284" s="13">
        <v>0</v>
      </c>
      <c r="BM284" s="13">
        <v>0</v>
      </c>
      <c r="BN284" s="13">
        <v>0</v>
      </c>
      <c r="BO284" s="13">
        <v>0</v>
      </c>
      <c r="BP284" s="13">
        <v>1</v>
      </c>
      <c r="BR284" s="42">
        <v>8</v>
      </c>
    </row>
    <row r="285" spans="1:70" s="42" customFormat="1" ht="14.25" x14ac:dyDescent="0.15">
      <c r="A285" s="164"/>
      <c r="B285" s="42" t="s">
        <v>2024</v>
      </c>
      <c r="C285" s="42" t="s">
        <v>1037</v>
      </c>
      <c r="E285" s="42" t="s">
        <v>1038</v>
      </c>
      <c r="G285" s="42">
        <v>0</v>
      </c>
      <c r="H285" s="42">
        <v>13</v>
      </c>
      <c r="I285" s="42" t="s">
        <v>400</v>
      </c>
      <c r="K285" s="42">
        <v>3</v>
      </c>
      <c r="L285" s="42">
        <v>1</v>
      </c>
      <c r="M285" s="42" t="s">
        <v>254</v>
      </c>
      <c r="N285" s="42" t="s">
        <v>396</v>
      </c>
      <c r="O285" s="42">
        <v>0</v>
      </c>
      <c r="P285" s="42" t="s">
        <v>2025</v>
      </c>
      <c r="Q285" s="42" t="s">
        <v>1039</v>
      </c>
      <c r="S285" s="42" t="s">
        <v>1040</v>
      </c>
      <c r="U285" s="42" t="s">
        <v>1041</v>
      </c>
      <c r="Y285" s="42" t="s">
        <v>250</v>
      </c>
      <c r="Z285" s="42" t="s">
        <v>1042</v>
      </c>
      <c r="AA285" s="13" t="s">
        <v>251</v>
      </c>
      <c r="AB285" s="13">
        <v>0.15</v>
      </c>
      <c r="AC285" s="13">
        <v>0</v>
      </c>
      <c r="AD285" s="42">
        <v>20</v>
      </c>
      <c r="AE285" s="42">
        <v>1</v>
      </c>
      <c r="AF285" s="13" t="s">
        <v>1105</v>
      </c>
      <c r="AH285" s="13" t="s">
        <v>399</v>
      </c>
      <c r="AI285" s="13">
        <v>0</v>
      </c>
      <c r="AJ285" s="13"/>
      <c r="AK285" s="42">
        <v>21593.135889360001</v>
      </c>
      <c r="AN285" s="42" t="s">
        <v>235</v>
      </c>
      <c r="AO285" s="42">
        <v>0</v>
      </c>
      <c r="AP285" s="42" t="s">
        <v>252</v>
      </c>
      <c r="AR285" s="42">
        <v>21593.135889360001</v>
      </c>
      <c r="AS285" s="42">
        <v>13444.992462384002</v>
      </c>
      <c r="AT285" s="42">
        <v>167024.71942738723</v>
      </c>
      <c r="AU285" s="13">
        <v>1</v>
      </c>
      <c r="AV285" s="13">
        <v>1</v>
      </c>
      <c r="AW285" s="13">
        <v>0</v>
      </c>
      <c r="AX285" s="13">
        <v>0</v>
      </c>
      <c r="AY285" s="13">
        <v>0</v>
      </c>
      <c r="AZ285" s="13">
        <v>0</v>
      </c>
      <c r="BA285" s="13">
        <v>0</v>
      </c>
      <c r="BB285" s="13">
        <v>0</v>
      </c>
      <c r="BC285" s="13">
        <v>0</v>
      </c>
      <c r="BD285" s="13">
        <v>0</v>
      </c>
      <c r="BE285" s="13">
        <v>0.4</v>
      </c>
      <c r="BF285" s="13">
        <v>0.4</v>
      </c>
      <c r="BG285" s="13">
        <v>0</v>
      </c>
      <c r="BH285" s="13">
        <v>0</v>
      </c>
      <c r="BI285" s="13">
        <v>0</v>
      </c>
      <c r="BJ285" s="13">
        <v>0</v>
      </c>
      <c r="BK285" s="13">
        <v>0</v>
      </c>
      <c r="BL285" s="13">
        <v>0</v>
      </c>
      <c r="BM285" s="13">
        <v>0</v>
      </c>
      <c r="BN285" s="13">
        <v>0</v>
      </c>
      <c r="BO285" s="13">
        <v>0</v>
      </c>
      <c r="BP285" s="13">
        <v>1</v>
      </c>
      <c r="BR285" s="42">
        <v>10</v>
      </c>
    </row>
    <row r="286" spans="1:70" s="42" customFormat="1" ht="14.25" x14ac:dyDescent="0.15">
      <c r="A286" s="164"/>
      <c r="B286" s="42" t="s">
        <v>2722</v>
      </c>
      <c r="C286" s="42" t="s">
        <v>882</v>
      </c>
      <c r="E286" s="42" t="s">
        <v>883</v>
      </c>
      <c r="G286" s="42">
        <v>1</v>
      </c>
      <c r="H286" s="42">
        <v>14</v>
      </c>
      <c r="I286" s="42" t="s">
        <v>400</v>
      </c>
      <c r="K286" s="42">
        <v>3</v>
      </c>
      <c r="L286" s="42">
        <v>1</v>
      </c>
      <c r="M286" s="42" t="s">
        <v>254</v>
      </c>
      <c r="N286" s="42" t="s">
        <v>396</v>
      </c>
      <c r="O286" s="42">
        <v>0</v>
      </c>
      <c r="P286" s="42" t="s">
        <v>2723</v>
      </c>
      <c r="Q286" s="42" t="s">
        <v>884</v>
      </c>
      <c r="S286" s="42" t="s">
        <v>885</v>
      </c>
      <c r="U286" s="42" t="s">
        <v>886</v>
      </c>
      <c r="Y286" s="42" t="s">
        <v>250</v>
      </c>
      <c r="Z286" s="42" t="s">
        <v>887</v>
      </c>
      <c r="AA286" s="13" t="s">
        <v>251</v>
      </c>
      <c r="AB286" s="13">
        <v>0.15</v>
      </c>
      <c r="AC286" s="13">
        <v>30</v>
      </c>
      <c r="AD286" s="42">
        <v>20</v>
      </c>
      <c r="AE286" s="42">
        <v>1</v>
      </c>
      <c r="AF286" s="13" t="s">
        <v>1010</v>
      </c>
      <c r="AH286" s="13" t="s">
        <v>399</v>
      </c>
      <c r="AI286" s="13">
        <v>0</v>
      </c>
      <c r="AJ286" s="13"/>
      <c r="AK286" s="42">
        <v>30930.708165840006</v>
      </c>
      <c r="AN286" s="42" t="s">
        <v>235</v>
      </c>
      <c r="AO286" s="42">
        <v>0</v>
      </c>
      <c r="AP286" s="42" t="s">
        <v>252</v>
      </c>
      <c r="AR286" s="42">
        <v>30930.708165840006</v>
      </c>
      <c r="AS286" s="42">
        <v>13444.992462384002</v>
      </c>
      <c r="AT286" s="42">
        <v>219548.21610266622</v>
      </c>
      <c r="AU286" s="13">
        <v>1</v>
      </c>
      <c r="AV286" s="13">
        <v>1</v>
      </c>
      <c r="AW286" s="13">
        <v>0</v>
      </c>
      <c r="AX286" s="13">
        <v>0</v>
      </c>
      <c r="AY286" s="13">
        <v>0</v>
      </c>
      <c r="AZ286" s="13">
        <v>0</v>
      </c>
      <c r="BA286" s="13">
        <v>0</v>
      </c>
      <c r="BB286" s="13">
        <v>0</v>
      </c>
      <c r="BC286" s="13">
        <v>0</v>
      </c>
      <c r="BD286" s="13">
        <v>0</v>
      </c>
      <c r="BE286" s="13">
        <v>0.4</v>
      </c>
      <c r="BF286" s="13">
        <v>0.4</v>
      </c>
      <c r="BG286" s="13">
        <v>0</v>
      </c>
      <c r="BH286" s="13">
        <v>0</v>
      </c>
      <c r="BI286" s="13">
        <v>0</v>
      </c>
      <c r="BJ286" s="13">
        <v>0</v>
      </c>
      <c r="BK286" s="13">
        <v>0</v>
      </c>
      <c r="BL286" s="13">
        <v>0</v>
      </c>
      <c r="BM286" s="13">
        <v>0</v>
      </c>
      <c r="BN286" s="13">
        <v>0</v>
      </c>
      <c r="BO286" s="13">
        <v>0</v>
      </c>
      <c r="BP286" s="13">
        <v>1</v>
      </c>
      <c r="BR286" s="42">
        <v>16</v>
      </c>
    </row>
    <row r="287" spans="1:70" s="42" customFormat="1" ht="14.25" x14ac:dyDescent="0.15">
      <c r="A287" s="164"/>
      <c r="B287" s="42" t="s">
        <v>2724</v>
      </c>
      <c r="C287" s="42" t="s">
        <v>938</v>
      </c>
      <c r="E287" s="42" t="s">
        <v>939</v>
      </c>
      <c r="G287" s="42">
        <v>0</v>
      </c>
      <c r="H287" s="42">
        <v>14</v>
      </c>
      <c r="I287" s="42" t="s">
        <v>400</v>
      </c>
      <c r="K287" s="42">
        <v>3</v>
      </c>
      <c r="L287" s="42">
        <v>1</v>
      </c>
      <c r="M287" s="42" t="s">
        <v>254</v>
      </c>
      <c r="N287" s="42" t="s">
        <v>396</v>
      </c>
      <c r="O287" s="42">
        <v>0</v>
      </c>
      <c r="P287" s="42" t="s">
        <v>2725</v>
      </c>
      <c r="Q287" s="42" t="s">
        <v>940</v>
      </c>
      <c r="S287" s="42" t="s">
        <v>941</v>
      </c>
      <c r="U287" s="42" t="s">
        <v>942</v>
      </c>
      <c r="Y287" s="42" t="s">
        <v>250</v>
      </c>
      <c r="Z287" s="42" t="s">
        <v>943</v>
      </c>
      <c r="AA287" s="13" t="s">
        <v>251</v>
      </c>
      <c r="AB287" s="13">
        <v>0.15</v>
      </c>
      <c r="AC287" s="13">
        <v>0</v>
      </c>
      <c r="AD287" s="42">
        <v>20</v>
      </c>
      <c r="AE287" s="42">
        <v>1</v>
      </c>
      <c r="AF287" s="13" t="s">
        <v>1022</v>
      </c>
      <c r="AH287" s="13" t="s">
        <v>399</v>
      </c>
      <c r="AI287" s="13">
        <v>0</v>
      </c>
      <c r="AJ287" s="13"/>
      <c r="AK287" s="42">
        <v>29179.913364</v>
      </c>
      <c r="AN287" s="42" t="s">
        <v>235</v>
      </c>
      <c r="AO287" s="42">
        <v>0</v>
      </c>
      <c r="AP287" s="42" t="s">
        <v>252</v>
      </c>
      <c r="AR287" s="42">
        <v>29179.913364</v>
      </c>
      <c r="AS287" s="42">
        <v>13444.992462384002</v>
      </c>
      <c r="AT287" s="42">
        <v>210093.98670111602</v>
      </c>
      <c r="AU287" s="13">
        <v>1</v>
      </c>
      <c r="AV287" s="13">
        <v>1</v>
      </c>
      <c r="AW287" s="13">
        <v>0</v>
      </c>
      <c r="AX287" s="13">
        <v>0</v>
      </c>
      <c r="AY287" s="13">
        <v>0</v>
      </c>
      <c r="AZ287" s="13">
        <v>0</v>
      </c>
      <c r="BA287" s="13">
        <v>0</v>
      </c>
      <c r="BB287" s="13">
        <v>0</v>
      </c>
      <c r="BC287" s="13">
        <v>0</v>
      </c>
      <c r="BD287" s="13">
        <v>0</v>
      </c>
      <c r="BE287" s="13">
        <v>0.4</v>
      </c>
      <c r="BF287" s="13">
        <v>0.4</v>
      </c>
      <c r="BG287" s="13">
        <v>0</v>
      </c>
      <c r="BH287" s="13">
        <v>0</v>
      </c>
      <c r="BI287" s="13">
        <v>0</v>
      </c>
      <c r="BJ287" s="13">
        <v>0</v>
      </c>
      <c r="BK287" s="13">
        <v>0</v>
      </c>
      <c r="BL287" s="13">
        <v>0</v>
      </c>
      <c r="BM287" s="13">
        <v>0</v>
      </c>
      <c r="BN287" s="13">
        <v>0</v>
      </c>
      <c r="BO287" s="13">
        <v>0</v>
      </c>
      <c r="BP287" s="13">
        <v>1</v>
      </c>
      <c r="BR287" s="42">
        <v>15</v>
      </c>
    </row>
    <row r="288" spans="1:70" s="42" customFormat="1" ht="14.25" x14ac:dyDescent="0.15">
      <c r="A288" s="164"/>
      <c r="B288" s="42" t="s">
        <v>2726</v>
      </c>
      <c r="C288" s="42" t="s">
        <v>882</v>
      </c>
      <c r="E288" s="42" t="s">
        <v>883</v>
      </c>
      <c r="G288" s="42">
        <v>1</v>
      </c>
      <c r="H288" s="42">
        <v>14</v>
      </c>
      <c r="I288" s="42" t="s">
        <v>400</v>
      </c>
      <c r="K288" s="42">
        <v>3</v>
      </c>
      <c r="L288" s="42">
        <v>1</v>
      </c>
      <c r="M288" s="42" t="s">
        <v>254</v>
      </c>
      <c r="N288" s="42" t="s">
        <v>396</v>
      </c>
      <c r="O288" s="42">
        <v>0</v>
      </c>
      <c r="P288" s="42" t="s">
        <v>2727</v>
      </c>
      <c r="Q288" s="42" t="s">
        <v>884</v>
      </c>
      <c r="S288" s="42" t="s">
        <v>885</v>
      </c>
      <c r="U288" s="42" t="s">
        <v>886</v>
      </c>
      <c r="Y288" s="42" t="s">
        <v>250</v>
      </c>
      <c r="Z288" s="42" t="s">
        <v>887</v>
      </c>
      <c r="AA288" s="13" t="s">
        <v>251</v>
      </c>
      <c r="AB288" s="13">
        <v>0.15</v>
      </c>
      <c r="AC288" s="13">
        <v>0</v>
      </c>
      <c r="AD288" s="42">
        <v>20</v>
      </c>
      <c r="AE288" s="42">
        <v>1</v>
      </c>
      <c r="AF288" s="13" t="s">
        <v>1010</v>
      </c>
      <c r="AH288" s="13" t="s">
        <v>399</v>
      </c>
      <c r="AI288" s="13">
        <v>0</v>
      </c>
      <c r="AJ288" s="13"/>
      <c r="AK288" s="42">
        <v>30930.708165840006</v>
      </c>
      <c r="AN288" s="42" t="s">
        <v>235</v>
      </c>
      <c r="AO288" s="42">
        <v>0</v>
      </c>
      <c r="AP288" s="42" t="s">
        <v>252</v>
      </c>
      <c r="AR288" s="42">
        <v>30930.708165840006</v>
      </c>
      <c r="AS288" s="42">
        <v>13444.992462384002</v>
      </c>
      <c r="AT288" s="42">
        <v>219548.21610266622</v>
      </c>
      <c r="AU288" s="13">
        <v>1</v>
      </c>
      <c r="AV288" s="13">
        <v>1</v>
      </c>
      <c r="AW288" s="13">
        <v>0</v>
      </c>
      <c r="AX288" s="13">
        <v>0</v>
      </c>
      <c r="AY288" s="13">
        <v>0</v>
      </c>
      <c r="AZ288" s="13">
        <v>0</v>
      </c>
      <c r="BA288" s="13">
        <v>0</v>
      </c>
      <c r="BB288" s="13">
        <v>0</v>
      </c>
      <c r="BC288" s="13">
        <v>0</v>
      </c>
      <c r="BD288" s="13">
        <v>0</v>
      </c>
      <c r="BE288" s="13">
        <v>0.4</v>
      </c>
      <c r="BF288" s="13">
        <v>0.4</v>
      </c>
      <c r="BG288" s="13">
        <v>0</v>
      </c>
      <c r="BH288" s="13">
        <v>0</v>
      </c>
      <c r="BI288" s="13">
        <v>0</v>
      </c>
      <c r="BJ288" s="13">
        <v>0</v>
      </c>
      <c r="BK288" s="13">
        <v>0</v>
      </c>
      <c r="BL288" s="13">
        <v>0</v>
      </c>
      <c r="BM288" s="13">
        <v>0</v>
      </c>
      <c r="BN288" s="13">
        <v>0</v>
      </c>
      <c r="BO288" s="13">
        <v>0</v>
      </c>
      <c r="BP288" s="13">
        <v>1</v>
      </c>
      <c r="BR288" s="42">
        <v>16</v>
      </c>
    </row>
    <row r="289" spans="1:70" s="42" customFormat="1" ht="14.25" x14ac:dyDescent="0.15">
      <c r="A289" s="164"/>
      <c r="B289" s="42" t="s">
        <v>2728</v>
      </c>
      <c r="C289" s="42" t="s">
        <v>2250</v>
      </c>
      <c r="E289" s="42" t="s">
        <v>2251</v>
      </c>
      <c r="G289" s="42">
        <v>1</v>
      </c>
      <c r="H289" s="42">
        <v>13</v>
      </c>
      <c r="I289" s="42" t="s">
        <v>296</v>
      </c>
      <c r="K289" s="42">
        <v>3</v>
      </c>
      <c r="L289" s="42">
        <v>1</v>
      </c>
      <c r="M289" s="42" t="s">
        <v>254</v>
      </c>
      <c r="N289" s="42" t="s">
        <v>396</v>
      </c>
      <c r="O289" s="42">
        <v>0</v>
      </c>
      <c r="P289" s="42" t="s">
        <v>2729</v>
      </c>
      <c r="Q289" s="42" t="s">
        <v>2252</v>
      </c>
      <c r="S289" s="42" t="s">
        <v>2301</v>
      </c>
      <c r="U289" s="42" t="s">
        <v>2253</v>
      </c>
      <c r="Y289" s="42" t="s">
        <v>250</v>
      </c>
      <c r="Z289" s="42" t="s">
        <v>2254</v>
      </c>
      <c r="AA289" s="13" t="s">
        <v>251</v>
      </c>
      <c r="AB289" s="13">
        <v>0.15</v>
      </c>
      <c r="AC289" s="13">
        <v>0</v>
      </c>
      <c r="AD289" s="42">
        <v>20</v>
      </c>
      <c r="AE289" s="42">
        <v>1</v>
      </c>
      <c r="AF289" s="13" t="s">
        <v>2913</v>
      </c>
      <c r="AH289" s="13" t="s">
        <v>3171</v>
      </c>
      <c r="AI289" s="13">
        <v>0</v>
      </c>
      <c r="AJ289" s="13"/>
      <c r="AK289" s="42">
        <v>31280.867126208002</v>
      </c>
      <c r="AN289" s="42" t="s">
        <v>235</v>
      </c>
      <c r="AO289" s="42">
        <v>0</v>
      </c>
      <c r="AP289" s="42" t="s">
        <v>252</v>
      </c>
      <c r="AR289" s="42">
        <v>31280.867126208002</v>
      </c>
      <c r="AS289" s="42">
        <v>9343.1303552160007</v>
      </c>
      <c r="AT289" s="42">
        <v>79079.525597127518</v>
      </c>
      <c r="AU289" s="13">
        <v>1</v>
      </c>
      <c r="AV289" s="13">
        <v>1</v>
      </c>
      <c r="AW289" s="13">
        <v>0</v>
      </c>
      <c r="AX289" s="13">
        <v>0</v>
      </c>
      <c r="AY289" s="13">
        <v>0</v>
      </c>
      <c r="AZ289" s="13">
        <v>0</v>
      </c>
      <c r="BA289" s="13">
        <v>0</v>
      </c>
      <c r="BB289" s="13">
        <v>0</v>
      </c>
      <c r="BC289" s="13">
        <v>0</v>
      </c>
      <c r="BD289" s="13">
        <v>0</v>
      </c>
      <c r="BE289" s="13">
        <v>0.4</v>
      </c>
      <c r="BF289" s="13">
        <v>0.4</v>
      </c>
      <c r="BG289" s="13">
        <v>0</v>
      </c>
      <c r="BH289" s="13">
        <v>0</v>
      </c>
      <c r="BI289" s="13">
        <v>0</v>
      </c>
      <c r="BJ289" s="13">
        <v>0</v>
      </c>
      <c r="BK289" s="13">
        <v>0</v>
      </c>
      <c r="BL289" s="13">
        <v>0</v>
      </c>
      <c r="BM289" s="13">
        <v>0</v>
      </c>
      <c r="BN289" s="13">
        <v>0</v>
      </c>
      <c r="BO289" s="13">
        <v>0</v>
      </c>
      <c r="BP289" s="13">
        <v>1</v>
      </c>
      <c r="BR289" s="42">
        <v>8</v>
      </c>
    </row>
    <row r="290" spans="1:70" s="42" customFormat="1" ht="14.25" x14ac:dyDescent="0.15">
      <c r="A290" s="164"/>
      <c r="B290" s="42" t="s">
        <v>2026</v>
      </c>
      <c r="C290" s="42" t="s">
        <v>931</v>
      </c>
      <c r="E290" s="42" t="s">
        <v>932</v>
      </c>
      <c r="G290" s="42">
        <v>0</v>
      </c>
      <c r="H290" s="42">
        <v>12</v>
      </c>
      <c r="I290" s="42" t="s">
        <v>296</v>
      </c>
      <c r="K290" s="42">
        <v>3</v>
      </c>
      <c r="L290" s="42">
        <v>1</v>
      </c>
      <c r="M290" s="42" t="s">
        <v>254</v>
      </c>
      <c r="N290" s="42" t="s">
        <v>396</v>
      </c>
      <c r="O290" s="42">
        <v>0</v>
      </c>
      <c r="P290" s="42" t="s">
        <v>2027</v>
      </c>
      <c r="Q290" s="42" t="s">
        <v>933</v>
      </c>
      <c r="S290" s="42" t="s">
        <v>934</v>
      </c>
      <c r="U290" s="42" t="s">
        <v>935</v>
      </c>
      <c r="Y290" s="42" t="s">
        <v>250</v>
      </c>
      <c r="Z290" s="42" t="s">
        <v>936</v>
      </c>
      <c r="AA290" s="13" t="s">
        <v>251</v>
      </c>
      <c r="AB290" s="13">
        <v>0.15</v>
      </c>
      <c r="AC290" s="13">
        <v>0</v>
      </c>
      <c r="AD290" s="42">
        <v>20</v>
      </c>
      <c r="AE290" s="42">
        <v>1</v>
      </c>
      <c r="AF290" s="13" t="s">
        <v>1020</v>
      </c>
      <c r="AH290" s="13" t="s">
        <v>399</v>
      </c>
      <c r="AI290" s="13">
        <v>800</v>
      </c>
      <c r="AJ290" s="13"/>
      <c r="AK290" s="42">
        <v>44353.468313279998</v>
      </c>
      <c r="AN290" s="42" t="s">
        <v>235</v>
      </c>
      <c r="AO290" s="42">
        <v>0</v>
      </c>
      <c r="AP290" s="42" t="s">
        <v>252</v>
      </c>
      <c r="AR290" s="42">
        <v>44353.468313279998</v>
      </c>
      <c r="AS290" s="42">
        <v>9343.1303552160007</v>
      </c>
      <c r="AT290" s="42">
        <v>101031.36715084518</v>
      </c>
      <c r="AU290" s="13">
        <v>1</v>
      </c>
      <c r="AV290" s="13">
        <v>1</v>
      </c>
      <c r="AW290" s="13">
        <v>0</v>
      </c>
      <c r="AX290" s="13">
        <v>0</v>
      </c>
      <c r="AY290" s="13">
        <v>0</v>
      </c>
      <c r="AZ290" s="13">
        <v>0</v>
      </c>
      <c r="BA290" s="13">
        <v>0</v>
      </c>
      <c r="BB290" s="13">
        <v>0</v>
      </c>
      <c r="BC290" s="13">
        <v>0</v>
      </c>
      <c r="BD290" s="13">
        <v>0</v>
      </c>
      <c r="BE290" s="13">
        <v>0.5</v>
      </c>
      <c r="BF290" s="13">
        <v>0.5</v>
      </c>
      <c r="BG290" s="13">
        <v>0</v>
      </c>
      <c r="BH290" s="13">
        <v>0</v>
      </c>
      <c r="BI290" s="13">
        <v>0</v>
      </c>
      <c r="BJ290" s="13">
        <v>0</v>
      </c>
      <c r="BK290" s="13">
        <v>0</v>
      </c>
      <c r="BL290" s="13">
        <v>0</v>
      </c>
      <c r="BM290" s="13">
        <v>0</v>
      </c>
      <c r="BN290" s="13">
        <v>0</v>
      </c>
      <c r="BO290" s="13">
        <v>0</v>
      </c>
      <c r="BP290" s="13">
        <v>1</v>
      </c>
      <c r="BR290" s="42">
        <v>14</v>
      </c>
    </row>
    <row r="291" spans="1:70" s="42" customFormat="1" ht="14.25" x14ac:dyDescent="0.15">
      <c r="A291" s="164"/>
      <c r="B291" s="42" t="s">
        <v>2028</v>
      </c>
      <c r="C291" s="42" t="s">
        <v>1037</v>
      </c>
      <c r="E291" s="42" t="s">
        <v>1038</v>
      </c>
      <c r="G291" s="42">
        <v>0</v>
      </c>
      <c r="H291" s="42">
        <v>13</v>
      </c>
      <c r="I291" s="42" t="s">
        <v>400</v>
      </c>
      <c r="K291" s="42">
        <v>3</v>
      </c>
      <c r="L291" s="42">
        <v>1</v>
      </c>
      <c r="M291" s="42" t="s">
        <v>254</v>
      </c>
      <c r="N291" s="42" t="s">
        <v>396</v>
      </c>
      <c r="O291" s="42">
        <v>0</v>
      </c>
      <c r="P291" s="42" t="s">
        <v>2029</v>
      </c>
      <c r="Q291" s="42" t="s">
        <v>1039</v>
      </c>
      <c r="S291" s="42" t="s">
        <v>1040</v>
      </c>
      <c r="U291" s="42" t="s">
        <v>1041</v>
      </c>
      <c r="Y291" s="42" t="s">
        <v>250</v>
      </c>
      <c r="Z291" s="42" t="s">
        <v>1042</v>
      </c>
      <c r="AA291" s="13" t="s">
        <v>251</v>
      </c>
      <c r="AB291" s="13">
        <v>0.15</v>
      </c>
      <c r="AC291" s="13">
        <v>0</v>
      </c>
      <c r="AD291" s="42">
        <v>20</v>
      </c>
      <c r="AE291" s="42">
        <v>1</v>
      </c>
      <c r="AF291" s="13" t="s">
        <v>1105</v>
      </c>
      <c r="AH291" s="13" t="s">
        <v>399</v>
      </c>
      <c r="AI291" s="13">
        <v>0</v>
      </c>
      <c r="AJ291" s="13"/>
      <c r="AK291" s="42">
        <v>21593.135889360001</v>
      </c>
      <c r="AN291" s="42" t="s">
        <v>235</v>
      </c>
      <c r="AO291" s="42">
        <v>0</v>
      </c>
      <c r="AP291" s="42" t="s">
        <v>252</v>
      </c>
      <c r="AR291" s="42">
        <v>21593.135889360001</v>
      </c>
      <c r="AS291" s="42">
        <v>13444.992462384002</v>
      </c>
      <c r="AT291" s="42">
        <v>167024.71942738723</v>
      </c>
      <c r="AU291" s="13">
        <v>1</v>
      </c>
      <c r="AV291" s="13">
        <v>1</v>
      </c>
      <c r="AW291" s="13">
        <v>0</v>
      </c>
      <c r="AX291" s="13">
        <v>0</v>
      </c>
      <c r="AY291" s="13">
        <v>0</v>
      </c>
      <c r="AZ291" s="13">
        <v>0</v>
      </c>
      <c r="BA291" s="13">
        <v>0</v>
      </c>
      <c r="BB291" s="13">
        <v>0</v>
      </c>
      <c r="BC291" s="13">
        <v>0</v>
      </c>
      <c r="BD291" s="13">
        <v>0</v>
      </c>
      <c r="BE291" s="13">
        <v>0.5</v>
      </c>
      <c r="BF291" s="13">
        <v>0.5</v>
      </c>
      <c r="BG291" s="13">
        <v>0</v>
      </c>
      <c r="BH291" s="13">
        <v>0</v>
      </c>
      <c r="BI291" s="13">
        <v>0</v>
      </c>
      <c r="BJ291" s="13">
        <v>0</v>
      </c>
      <c r="BK291" s="13">
        <v>0</v>
      </c>
      <c r="BL291" s="13">
        <v>0</v>
      </c>
      <c r="BM291" s="13">
        <v>0</v>
      </c>
      <c r="BN291" s="13">
        <v>0</v>
      </c>
      <c r="BO291" s="13">
        <v>0</v>
      </c>
      <c r="BP291" s="13">
        <v>1</v>
      </c>
      <c r="BR291" s="42">
        <v>10</v>
      </c>
    </row>
    <row r="292" spans="1:70" s="42" customFormat="1" ht="14.25" x14ac:dyDescent="0.15">
      <c r="A292" s="164"/>
      <c r="B292" s="42" t="s">
        <v>2030</v>
      </c>
      <c r="C292" s="42" t="s">
        <v>931</v>
      </c>
      <c r="E292" s="42" t="s">
        <v>932</v>
      </c>
      <c r="G292" s="42">
        <v>0</v>
      </c>
      <c r="H292" s="42">
        <v>12</v>
      </c>
      <c r="I292" s="42" t="s">
        <v>296</v>
      </c>
      <c r="K292" s="42">
        <v>3</v>
      </c>
      <c r="L292" s="42">
        <v>1</v>
      </c>
      <c r="M292" s="42" t="s">
        <v>254</v>
      </c>
      <c r="N292" s="42" t="s">
        <v>396</v>
      </c>
      <c r="O292" s="42">
        <v>0</v>
      </c>
      <c r="P292" s="42" t="s">
        <v>2031</v>
      </c>
      <c r="Q292" s="42" t="s">
        <v>933</v>
      </c>
      <c r="S292" s="42" t="s">
        <v>934</v>
      </c>
      <c r="U292" s="42" t="s">
        <v>935</v>
      </c>
      <c r="Y292" s="42" t="s">
        <v>250</v>
      </c>
      <c r="Z292" s="42" t="s">
        <v>936</v>
      </c>
      <c r="AA292" s="13" t="s">
        <v>251</v>
      </c>
      <c r="AB292" s="13">
        <v>0.15</v>
      </c>
      <c r="AC292" s="13">
        <v>0</v>
      </c>
      <c r="AD292" s="42">
        <v>20</v>
      </c>
      <c r="AE292" s="42">
        <v>1</v>
      </c>
      <c r="AF292" s="13" t="s">
        <v>1020</v>
      </c>
      <c r="AH292" s="13" t="s">
        <v>399</v>
      </c>
      <c r="AI292" s="13">
        <v>300</v>
      </c>
      <c r="AJ292" s="13"/>
      <c r="AK292" s="42">
        <v>44353.468313279998</v>
      </c>
      <c r="AN292" s="42" t="s">
        <v>235</v>
      </c>
      <c r="AO292" s="42">
        <v>0</v>
      </c>
      <c r="AP292" s="42" t="s">
        <v>252</v>
      </c>
      <c r="AR292" s="42">
        <v>44353.468313279998</v>
      </c>
      <c r="AS292" s="42">
        <v>9343.1303552160007</v>
      </c>
      <c r="AT292" s="42">
        <v>101031.36715084518</v>
      </c>
      <c r="AU292" s="13">
        <v>1</v>
      </c>
      <c r="AV292" s="13">
        <v>1</v>
      </c>
      <c r="AW292" s="13">
        <v>0</v>
      </c>
      <c r="AX292" s="13">
        <v>0</v>
      </c>
      <c r="AY292" s="13">
        <v>0</v>
      </c>
      <c r="AZ292" s="13">
        <v>0</v>
      </c>
      <c r="BA292" s="13">
        <v>0</v>
      </c>
      <c r="BB292" s="13">
        <v>0</v>
      </c>
      <c r="BC292" s="13">
        <v>0</v>
      </c>
      <c r="BD292" s="13">
        <v>0</v>
      </c>
      <c r="BE292" s="13">
        <v>0.5</v>
      </c>
      <c r="BF292" s="13">
        <v>0.5</v>
      </c>
      <c r="BG292" s="13">
        <v>0</v>
      </c>
      <c r="BH292" s="13">
        <v>0</v>
      </c>
      <c r="BI292" s="13">
        <v>0</v>
      </c>
      <c r="BJ292" s="13">
        <v>0</v>
      </c>
      <c r="BK292" s="13">
        <v>0</v>
      </c>
      <c r="BL292" s="13">
        <v>0</v>
      </c>
      <c r="BM292" s="13">
        <v>0</v>
      </c>
      <c r="BN292" s="13">
        <v>0</v>
      </c>
      <c r="BO292" s="13">
        <v>0</v>
      </c>
      <c r="BP292" s="13">
        <v>1</v>
      </c>
      <c r="BR292" s="42">
        <v>14</v>
      </c>
    </row>
    <row r="293" spans="1:70" s="42" customFormat="1" ht="14.25" x14ac:dyDescent="0.15">
      <c r="A293" s="164"/>
      <c r="B293" s="42" t="s">
        <v>2032</v>
      </c>
      <c r="C293" s="42" t="s">
        <v>868</v>
      </c>
      <c r="E293" s="42" t="s">
        <v>869</v>
      </c>
      <c r="G293" s="42">
        <v>0</v>
      </c>
      <c r="H293" s="42">
        <v>12</v>
      </c>
      <c r="I293" s="42" t="s">
        <v>401</v>
      </c>
      <c r="K293" s="42">
        <v>3</v>
      </c>
      <c r="L293" s="42">
        <v>1</v>
      </c>
      <c r="M293" s="42" t="s">
        <v>254</v>
      </c>
      <c r="N293" s="42" t="s">
        <v>396</v>
      </c>
      <c r="O293" s="42">
        <v>0</v>
      </c>
      <c r="P293" s="42" t="s">
        <v>2033</v>
      </c>
      <c r="Q293" s="42" t="s">
        <v>870</v>
      </c>
      <c r="S293" s="42" t="s">
        <v>871</v>
      </c>
      <c r="U293" s="42" t="s">
        <v>872</v>
      </c>
      <c r="Y293" s="42" t="s">
        <v>250</v>
      </c>
      <c r="Z293" s="42" t="s">
        <v>873</v>
      </c>
      <c r="AA293" s="13" t="s">
        <v>251</v>
      </c>
      <c r="AB293" s="13">
        <v>0.15</v>
      </c>
      <c r="AC293" s="13">
        <v>30</v>
      </c>
      <c r="AD293" s="42">
        <v>20</v>
      </c>
      <c r="AE293" s="42">
        <v>1</v>
      </c>
      <c r="AF293" s="13" t="s">
        <v>1006</v>
      </c>
      <c r="AH293" s="13" t="s">
        <v>399</v>
      </c>
      <c r="AI293" s="13">
        <v>1000</v>
      </c>
      <c r="AJ293" s="13"/>
      <c r="AK293" s="42">
        <v>35949.653264448003</v>
      </c>
      <c r="AN293" s="42" t="s">
        <v>235</v>
      </c>
      <c r="AO293" s="42">
        <v>0</v>
      </c>
      <c r="AP293" s="42" t="s">
        <v>252</v>
      </c>
      <c r="AR293" s="42">
        <v>35949.653264448003</v>
      </c>
      <c r="AS293" s="42">
        <v>11394.0614088</v>
      </c>
      <c r="AT293" s="42">
        <v>104097.10032557958</v>
      </c>
      <c r="AU293" s="13">
        <v>1</v>
      </c>
      <c r="AV293" s="13">
        <v>1</v>
      </c>
      <c r="AW293" s="13">
        <v>0</v>
      </c>
      <c r="AX293" s="13">
        <v>0</v>
      </c>
      <c r="AY293" s="13">
        <v>0</v>
      </c>
      <c r="AZ293" s="13">
        <v>0</v>
      </c>
      <c r="BA293" s="13">
        <v>0</v>
      </c>
      <c r="BB293" s="13">
        <v>0</v>
      </c>
      <c r="BC293" s="13">
        <v>0</v>
      </c>
      <c r="BD293" s="13">
        <v>0</v>
      </c>
      <c r="BE293" s="13">
        <v>0.5</v>
      </c>
      <c r="BF293" s="13">
        <v>0.5</v>
      </c>
      <c r="BG293" s="13">
        <v>0</v>
      </c>
      <c r="BH293" s="13">
        <v>0</v>
      </c>
      <c r="BI293" s="13">
        <v>0</v>
      </c>
      <c r="BJ293" s="13">
        <v>0</v>
      </c>
      <c r="BK293" s="13">
        <v>0</v>
      </c>
      <c r="BL293" s="13">
        <v>0</v>
      </c>
      <c r="BM293" s="13">
        <v>0</v>
      </c>
      <c r="BN293" s="13">
        <v>0</v>
      </c>
      <c r="BO293" s="13">
        <v>0</v>
      </c>
      <c r="BP293" s="13">
        <v>1</v>
      </c>
      <c r="BR293" s="42">
        <v>12</v>
      </c>
    </row>
    <row r="294" spans="1:70" s="42" customFormat="1" ht="14.25" x14ac:dyDescent="0.15">
      <c r="A294" s="164"/>
      <c r="B294" s="42" t="s">
        <v>2034</v>
      </c>
      <c r="C294" s="42" t="s">
        <v>2245</v>
      </c>
      <c r="E294" s="42" t="s">
        <v>2246</v>
      </c>
      <c r="G294" s="42">
        <v>1</v>
      </c>
      <c r="H294" s="42">
        <v>14</v>
      </c>
      <c r="I294" s="42" t="s">
        <v>296</v>
      </c>
      <c r="K294" s="42">
        <v>3</v>
      </c>
      <c r="L294" s="42">
        <v>1</v>
      </c>
      <c r="M294" s="42" t="s">
        <v>254</v>
      </c>
      <c r="N294" s="42" t="s">
        <v>396</v>
      </c>
      <c r="O294" s="42">
        <v>0</v>
      </c>
      <c r="P294" s="42" t="s">
        <v>2035</v>
      </c>
      <c r="Q294" s="42" t="s">
        <v>2247</v>
      </c>
      <c r="S294" s="42" t="s">
        <v>2270</v>
      </c>
      <c r="U294" s="42" t="s">
        <v>2248</v>
      </c>
      <c r="Y294" s="42" t="s">
        <v>250</v>
      </c>
      <c r="Z294" s="162" t="s">
        <v>3183</v>
      </c>
      <c r="AA294" s="13" t="s">
        <v>251</v>
      </c>
      <c r="AB294" s="13">
        <v>0.15</v>
      </c>
      <c r="AC294" s="13">
        <v>0</v>
      </c>
      <c r="AD294" s="42">
        <v>20</v>
      </c>
      <c r="AE294" s="42">
        <v>1</v>
      </c>
      <c r="AF294" s="13" t="s">
        <v>2271</v>
      </c>
      <c r="AH294" s="13" t="s">
        <v>399</v>
      </c>
      <c r="AI294" s="13">
        <v>0</v>
      </c>
      <c r="AJ294" s="13"/>
      <c r="AK294" s="42">
        <v>46687.861382399999</v>
      </c>
      <c r="AN294" s="42" t="s">
        <v>235</v>
      </c>
      <c r="AO294" s="42">
        <v>0</v>
      </c>
      <c r="AP294" s="42" t="s">
        <v>252</v>
      </c>
      <c r="AR294" s="42">
        <v>46687.861382399999</v>
      </c>
      <c r="AS294" s="42">
        <v>9343.1303552160007</v>
      </c>
      <c r="AT294" s="42">
        <v>105792.00748779601</v>
      </c>
      <c r="AU294" s="13">
        <v>1</v>
      </c>
      <c r="AV294" s="13">
        <v>1</v>
      </c>
      <c r="AW294" s="13">
        <v>0</v>
      </c>
      <c r="AX294" s="13">
        <v>0</v>
      </c>
      <c r="AY294" s="13">
        <v>0</v>
      </c>
      <c r="AZ294" s="13">
        <v>0</v>
      </c>
      <c r="BA294" s="13">
        <v>0</v>
      </c>
      <c r="BB294" s="13">
        <v>0</v>
      </c>
      <c r="BC294" s="13">
        <v>0</v>
      </c>
      <c r="BD294" s="13">
        <v>0</v>
      </c>
      <c r="BE294" s="13">
        <v>0.5</v>
      </c>
      <c r="BF294" s="13">
        <v>0.5</v>
      </c>
      <c r="BG294" s="13">
        <v>0</v>
      </c>
      <c r="BH294" s="13">
        <v>0</v>
      </c>
      <c r="BI294" s="13">
        <v>0</v>
      </c>
      <c r="BJ294" s="13">
        <v>0</v>
      </c>
      <c r="BK294" s="13">
        <v>0</v>
      </c>
      <c r="BL294" s="13">
        <v>0</v>
      </c>
      <c r="BM294" s="13">
        <v>0</v>
      </c>
      <c r="BN294" s="13">
        <v>0</v>
      </c>
      <c r="BO294" s="13">
        <v>0</v>
      </c>
      <c r="BP294" s="13">
        <v>1</v>
      </c>
      <c r="BR294" s="42">
        <v>15</v>
      </c>
    </row>
    <row r="295" spans="1:70" s="42" customFormat="1" ht="14.25" x14ac:dyDescent="0.15">
      <c r="A295" s="164"/>
      <c r="B295" s="42" t="s">
        <v>2730</v>
      </c>
      <c r="C295" s="11" t="s">
        <v>895</v>
      </c>
      <c r="E295" s="42" t="s">
        <v>854</v>
      </c>
      <c r="G295" s="42">
        <v>0</v>
      </c>
      <c r="H295" s="42">
        <v>13</v>
      </c>
      <c r="I295" s="42" t="s">
        <v>890</v>
      </c>
      <c r="K295" s="42">
        <v>3</v>
      </c>
      <c r="L295" s="42">
        <v>1</v>
      </c>
      <c r="M295" s="42" t="s">
        <v>254</v>
      </c>
      <c r="N295" s="42" t="s">
        <v>396</v>
      </c>
      <c r="O295" s="42">
        <v>0</v>
      </c>
      <c r="P295" s="42" t="s">
        <v>2731</v>
      </c>
      <c r="Q295" s="42" t="s">
        <v>896</v>
      </c>
      <c r="S295" s="42" t="s">
        <v>897</v>
      </c>
      <c r="U295" s="42" t="s">
        <v>898</v>
      </c>
      <c r="Y295" s="42" t="s">
        <v>250</v>
      </c>
      <c r="Z295" s="42" t="s">
        <v>899</v>
      </c>
      <c r="AA295" s="13" t="s">
        <v>251</v>
      </c>
      <c r="AB295" s="13">
        <v>0.15</v>
      </c>
      <c r="AC295" s="13">
        <v>0</v>
      </c>
      <c r="AD295" s="42">
        <v>20</v>
      </c>
      <c r="AE295" s="42">
        <v>1</v>
      </c>
      <c r="AF295" s="13" t="s">
        <v>1012</v>
      </c>
      <c r="AH295" s="13" t="s">
        <v>399</v>
      </c>
      <c r="AI295" s="13">
        <v>680</v>
      </c>
      <c r="AJ295" s="13"/>
      <c r="AK295" s="42">
        <v>34315.578116064004</v>
      </c>
      <c r="AN295" s="42" t="s">
        <v>235</v>
      </c>
      <c r="AO295" s="42">
        <v>0</v>
      </c>
      <c r="AP295" s="42" t="s">
        <v>252</v>
      </c>
      <c r="AR295" s="42">
        <v>34315.578116064004</v>
      </c>
      <c r="AS295" s="42">
        <v>11394.0614088</v>
      </c>
      <c r="AT295" s="42">
        <v>133655.53622049725</v>
      </c>
      <c r="AU295" s="13">
        <v>1</v>
      </c>
      <c r="AV295" s="13">
        <v>1</v>
      </c>
      <c r="AW295" s="13">
        <v>0</v>
      </c>
      <c r="AX295" s="13">
        <v>0</v>
      </c>
      <c r="AY295" s="13">
        <v>0</v>
      </c>
      <c r="AZ295" s="13">
        <v>0</v>
      </c>
      <c r="BA295" s="13">
        <v>0</v>
      </c>
      <c r="BB295" s="13">
        <v>0</v>
      </c>
      <c r="BC295" s="13">
        <v>0</v>
      </c>
      <c r="BD295" s="13">
        <v>0</v>
      </c>
      <c r="BE295" s="13">
        <v>0.5</v>
      </c>
      <c r="BF295" s="13">
        <v>0.5</v>
      </c>
      <c r="BG295" s="13">
        <v>0</v>
      </c>
      <c r="BH295" s="13">
        <v>0</v>
      </c>
      <c r="BI295" s="13">
        <v>0</v>
      </c>
      <c r="BJ295" s="13">
        <v>0</v>
      </c>
      <c r="BK295" s="13">
        <v>0</v>
      </c>
      <c r="BL295" s="13">
        <v>0</v>
      </c>
      <c r="BM295" s="13">
        <v>0</v>
      </c>
      <c r="BN295" s="13">
        <v>0</v>
      </c>
      <c r="BO295" s="13">
        <v>0</v>
      </c>
      <c r="BP295" s="13">
        <v>1</v>
      </c>
      <c r="BR295" s="42">
        <v>12</v>
      </c>
    </row>
    <row r="296" spans="1:70" s="42" customFormat="1" ht="14.25" x14ac:dyDescent="0.15">
      <c r="A296" s="164"/>
      <c r="B296" s="42" t="s">
        <v>2036</v>
      </c>
      <c r="C296" s="11" t="s">
        <v>856</v>
      </c>
      <c r="E296" s="42" t="s">
        <v>857</v>
      </c>
      <c r="G296" s="42">
        <v>0</v>
      </c>
      <c r="H296" s="42">
        <v>12</v>
      </c>
      <c r="I296" s="42" t="s">
        <v>400</v>
      </c>
      <c r="K296" s="42">
        <v>3</v>
      </c>
      <c r="L296" s="42">
        <v>1</v>
      </c>
      <c r="M296" s="42" t="s">
        <v>254</v>
      </c>
      <c r="N296" s="42" t="s">
        <v>396</v>
      </c>
      <c r="O296" s="42">
        <v>0</v>
      </c>
      <c r="P296" s="42" t="s">
        <v>2037</v>
      </c>
      <c r="Q296" s="42" t="s">
        <v>858</v>
      </c>
      <c r="S296" s="42" t="s">
        <v>859</v>
      </c>
      <c r="U296" s="42" t="s">
        <v>860</v>
      </c>
      <c r="Y296" s="42" t="s">
        <v>250</v>
      </c>
      <c r="Z296" s="42" t="s">
        <v>861</v>
      </c>
      <c r="AA296" s="13" t="s">
        <v>251</v>
      </c>
      <c r="AB296" s="13">
        <v>0.15</v>
      </c>
      <c r="AC296" s="13">
        <v>30</v>
      </c>
      <c r="AD296" s="42">
        <v>20</v>
      </c>
      <c r="AE296" s="42">
        <v>1</v>
      </c>
      <c r="AF296" s="13" t="s">
        <v>1004</v>
      </c>
      <c r="AH296" s="13" t="s">
        <v>399</v>
      </c>
      <c r="AI296" s="13">
        <v>1000</v>
      </c>
      <c r="AJ296" s="13"/>
      <c r="AK296" s="42">
        <v>27720.917695799999</v>
      </c>
      <c r="AN296" s="42" t="s">
        <v>235</v>
      </c>
      <c r="AO296" s="42">
        <v>0</v>
      </c>
      <c r="AP296" s="42" t="s">
        <v>252</v>
      </c>
      <c r="AR296" s="42">
        <v>27720.917695799999</v>
      </c>
      <c r="AS296" s="42">
        <v>13444.992462384002</v>
      </c>
      <c r="AT296" s="42">
        <v>200639.75729956577</v>
      </c>
      <c r="AU296" s="13">
        <v>1</v>
      </c>
      <c r="AV296" s="13">
        <v>1</v>
      </c>
      <c r="AW296" s="13">
        <v>0</v>
      </c>
      <c r="AX296" s="13">
        <v>0</v>
      </c>
      <c r="AY296" s="13">
        <v>0</v>
      </c>
      <c r="AZ296" s="13">
        <v>0</v>
      </c>
      <c r="BA296" s="13">
        <v>0</v>
      </c>
      <c r="BB296" s="13">
        <v>0</v>
      </c>
      <c r="BC296" s="13">
        <v>0</v>
      </c>
      <c r="BD296" s="13">
        <v>0</v>
      </c>
      <c r="BE296" s="13">
        <v>0.5</v>
      </c>
      <c r="BF296" s="13">
        <v>0.5</v>
      </c>
      <c r="BG296" s="13">
        <v>0</v>
      </c>
      <c r="BH296" s="13">
        <v>0</v>
      </c>
      <c r="BI296" s="13">
        <v>0</v>
      </c>
      <c r="BJ296" s="13">
        <v>0</v>
      </c>
      <c r="BK296" s="13">
        <v>0</v>
      </c>
      <c r="BL296" s="13">
        <v>0</v>
      </c>
      <c r="BM296" s="13">
        <v>0</v>
      </c>
      <c r="BN296" s="13">
        <v>0</v>
      </c>
      <c r="BO296" s="13">
        <v>0</v>
      </c>
      <c r="BP296" s="13">
        <v>1</v>
      </c>
      <c r="BR296" s="42">
        <v>14</v>
      </c>
    </row>
    <row r="297" spans="1:70" s="42" customFormat="1" ht="14.25" x14ac:dyDescent="0.15">
      <c r="A297" s="164"/>
      <c r="B297" s="42" t="s">
        <v>2038</v>
      </c>
      <c r="C297" s="42" t="s">
        <v>956</v>
      </c>
      <c r="E297" s="42" t="s">
        <v>957</v>
      </c>
      <c r="G297" s="42">
        <v>0</v>
      </c>
      <c r="H297" s="42">
        <v>13</v>
      </c>
      <c r="I297" s="42" t="s">
        <v>401</v>
      </c>
      <c r="K297" s="42">
        <v>3</v>
      </c>
      <c r="L297" s="42">
        <v>1</v>
      </c>
      <c r="M297" s="42" t="s">
        <v>254</v>
      </c>
      <c r="N297" s="42" t="s">
        <v>396</v>
      </c>
      <c r="O297" s="42">
        <v>0</v>
      </c>
      <c r="P297" s="42" t="s">
        <v>2039</v>
      </c>
      <c r="Q297" s="42" t="s">
        <v>958</v>
      </c>
      <c r="S297" s="42" t="s">
        <v>959</v>
      </c>
      <c r="U297" s="42" t="s">
        <v>960</v>
      </c>
      <c r="Y297" s="42" t="s">
        <v>250</v>
      </c>
      <c r="Z297" s="42" t="s">
        <v>961</v>
      </c>
      <c r="AA297" s="13" t="s">
        <v>251</v>
      </c>
      <c r="AB297" s="13">
        <v>0.15</v>
      </c>
      <c r="AC297" s="13">
        <v>0</v>
      </c>
      <c r="AD297" s="42">
        <v>20</v>
      </c>
      <c r="AE297" s="42">
        <v>1</v>
      </c>
      <c r="AF297" s="13" t="s">
        <v>1025</v>
      </c>
      <c r="AH297" s="13" t="s">
        <v>399</v>
      </c>
      <c r="AI297" s="13">
        <v>680</v>
      </c>
      <c r="AJ297" s="13"/>
      <c r="AK297" s="42">
        <v>45365.038643232008</v>
      </c>
      <c r="AN297" s="42" t="s">
        <v>235</v>
      </c>
      <c r="AO297" s="42">
        <v>0</v>
      </c>
      <c r="AP297" s="42" t="s">
        <v>252</v>
      </c>
      <c r="AR297" s="42">
        <v>45365.038643232008</v>
      </c>
      <c r="AS297" s="42">
        <v>11394.0614088</v>
      </c>
      <c r="AT297" s="42">
        <v>126123.44329302103</v>
      </c>
      <c r="AU297" s="13">
        <v>1</v>
      </c>
      <c r="AV297" s="13">
        <v>1</v>
      </c>
      <c r="AW297" s="13">
        <v>0</v>
      </c>
      <c r="AX297" s="13">
        <v>0</v>
      </c>
      <c r="AY297" s="13">
        <v>0</v>
      </c>
      <c r="AZ297" s="13">
        <v>0</v>
      </c>
      <c r="BA297" s="13">
        <v>0</v>
      </c>
      <c r="BB297" s="13">
        <v>0</v>
      </c>
      <c r="BC297" s="13">
        <v>0</v>
      </c>
      <c r="BD297" s="13">
        <v>0</v>
      </c>
      <c r="BE297" s="13">
        <v>0.5</v>
      </c>
      <c r="BF297" s="13">
        <v>0.5</v>
      </c>
      <c r="BG297" s="13">
        <v>0</v>
      </c>
      <c r="BH297" s="13">
        <v>0</v>
      </c>
      <c r="BI297" s="13">
        <v>0</v>
      </c>
      <c r="BJ297" s="13">
        <v>0</v>
      </c>
      <c r="BK297" s="13">
        <v>0</v>
      </c>
      <c r="BL297" s="13">
        <v>0</v>
      </c>
      <c r="BM297" s="13">
        <v>0</v>
      </c>
      <c r="BN297" s="13">
        <v>0</v>
      </c>
      <c r="BO297" s="13">
        <v>0</v>
      </c>
      <c r="BP297" s="13">
        <v>1</v>
      </c>
      <c r="BR297" s="42">
        <v>16</v>
      </c>
    </row>
    <row r="298" spans="1:70" s="42" customFormat="1" ht="14.25" x14ac:dyDescent="0.15">
      <c r="A298" s="164"/>
      <c r="B298" s="42" t="s">
        <v>2040</v>
      </c>
      <c r="C298" s="42" t="s">
        <v>868</v>
      </c>
      <c r="E298" s="42" t="s">
        <v>869</v>
      </c>
      <c r="G298" s="42">
        <v>0</v>
      </c>
      <c r="H298" s="42">
        <v>12</v>
      </c>
      <c r="I298" s="42" t="s">
        <v>401</v>
      </c>
      <c r="K298" s="42">
        <v>3</v>
      </c>
      <c r="L298" s="42">
        <v>1</v>
      </c>
      <c r="M298" s="42" t="s">
        <v>254</v>
      </c>
      <c r="N298" s="42" t="s">
        <v>396</v>
      </c>
      <c r="O298" s="42">
        <v>0</v>
      </c>
      <c r="P298" s="42" t="s">
        <v>2041</v>
      </c>
      <c r="Q298" s="42" t="s">
        <v>870</v>
      </c>
      <c r="S298" s="42" t="s">
        <v>871</v>
      </c>
      <c r="U298" s="42" t="s">
        <v>872</v>
      </c>
      <c r="Y298" s="42" t="s">
        <v>250</v>
      </c>
      <c r="Z298" s="42" t="s">
        <v>873</v>
      </c>
      <c r="AA298" s="13" t="s">
        <v>251</v>
      </c>
      <c r="AB298" s="13">
        <v>0.15</v>
      </c>
      <c r="AC298" s="13">
        <v>0</v>
      </c>
      <c r="AD298" s="42">
        <v>20</v>
      </c>
      <c r="AE298" s="42">
        <v>1</v>
      </c>
      <c r="AF298" s="13" t="s">
        <v>1006</v>
      </c>
      <c r="AH298" s="13" t="s">
        <v>399</v>
      </c>
      <c r="AI298" s="13">
        <v>0</v>
      </c>
      <c r="AJ298" s="13"/>
      <c r="AK298" s="42">
        <v>35949.653264448003</v>
      </c>
      <c r="AN298" s="42" t="s">
        <v>235</v>
      </c>
      <c r="AO298" s="42">
        <v>0</v>
      </c>
      <c r="AP298" s="42" t="s">
        <v>252</v>
      </c>
      <c r="AR298" s="42">
        <v>35949.653264448003</v>
      </c>
      <c r="AS298" s="42">
        <v>11394.0614088</v>
      </c>
      <c r="AT298" s="42">
        <v>104097.10032557958</v>
      </c>
      <c r="AU298" s="13">
        <v>1</v>
      </c>
      <c r="AV298" s="13">
        <v>1</v>
      </c>
      <c r="AW298" s="13">
        <v>0</v>
      </c>
      <c r="AX298" s="13">
        <v>0</v>
      </c>
      <c r="AY298" s="13">
        <v>0</v>
      </c>
      <c r="AZ298" s="13">
        <v>0</v>
      </c>
      <c r="BA298" s="13">
        <v>0</v>
      </c>
      <c r="BB298" s="13">
        <v>0</v>
      </c>
      <c r="BC298" s="13">
        <v>0</v>
      </c>
      <c r="BD298" s="13">
        <v>0</v>
      </c>
      <c r="BE298" s="13">
        <v>0.5</v>
      </c>
      <c r="BF298" s="13">
        <v>0.5</v>
      </c>
      <c r="BG298" s="13">
        <v>0</v>
      </c>
      <c r="BH298" s="13">
        <v>0</v>
      </c>
      <c r="BI298" s="13">
        <v>0</v>
      </c>
      <c r="BJ298" s="13">
        <v>0</v>
      </c>
      <c r="BK298" s="13">
        <v>0</v>
      </c>
      <c r="BL298" s="13">
        <v>0</v>
      </c>
      <c r="BM298" s="13">
        <v>0</v>
      </c>
      <c r="BN298" s="13">
        <v>0</v>
      </c>
      <c r="BO298" s="13">
        <v>0</v>
      </c>
      <c r="BP298" s="13">
        <v>1</v>
      </c>
      <c r="BR298" s="42">
        <v>12</v>
      </c>
    </row>
    <row r="299" spans="1:70" s="42" customFormat="1" ht="14.25" x14ac:dyDescent="0.15">
      <c r="A299" s="164"/>
      <c r="B299" s="42" t="s">
        <v>2732</v>
      </c>
      <c r="C299" s="13" t="s">
        <v>2245</v>
      </c>
      <c r="E299" s="42" t="s">
        <v>2246</v>
      </c>
      <c r="G299" s="42">
        <v>1</v>
      </c>
      <c r="H299" s="42">
        <v>14</v>
      </c>
      <c r="I299" s="42" t="s">
        <v>296</v>
      </c>
      <c r="K299" s="42">
        <v>3</v>
      </c>
      <c r="L299" s="42">
        <v>1</v>
      </c>
      <c r="M299" s="42" t="s">
        <v>254</v>
      </c>
      <c r="N299" s="42" t="s">
        <v>396</v>
      </c>
      <c r="O299" s="42">
        <v>0</v>
      </c>
      <c r="P299" s="42" t="s">
        <v>2733</v>
      </c>
      <c r="Q299" s="42" t="s">
        <v>2247</v>
      </c>
      <c r="S299" s="42" t="s">
        <v>2270</v>
      </c>
      <c r="U299" s="42" t="s">
        <v>2248</v>
      </c>
      <c r="Y299" s="42" t="s">
        <v>250</v>
      </c>
      <c r="Z299" s="162" t="s">
        <v>3183</v>
      </c>
      <c r="AA299" s="13" t="s">
        <v>251</v>
      </c>
      <c r="AB299" s="13">
        <v>0.15</v>
      </c>
      <c r="AC299" s="13">
        <v>0</v>
      </c>
      <c r="AD299" s="42">
        <v>20</v>
      </c>
      <c r="AE299" s="42">
        <v>1</v>
      </c>
      <c r="AF299" s="13" t="s">
        <v>2271</v>
      </c>
      <c r="AH299" s="13" t="s">
        <v>399</v>
      </c>
      <c r="AI299" s="13">
        <v>300</v>
      </c>
      <c r="AJ299" s="13"/>
      <c r="AK299" s="42">
        <v>46687.861382399999</v>
      </c>
      <c r="AN299" s="42" t="s">
        <v>235</v>
      </c>
      <c r="AO299" s="42">
        <v>0</v>
      </c>
      <c r="AP299" s="42" t="s">
        <v>252</v>
      </c>
      <c r="AR299" s="42">
        <v>46687.861382399999</v>
      </c>
      <c r="AS299" s="42">
        <v>9343.1303552160007</v>
      </c>
      <c r="AT299" s="42">
        <v>105792.00748779601</v>
      </c>
      <c r="AU299" s="13">
        <v>1</v>
      </c>
      <c r="AV299" s="13">
        <v>1</v>
      </c>
      <c r="AW299" s="13">
        <v>0</v>
      </c>
      <c r="AX299" s="13">
        <v>0</v>
      </c>
      <c r="AY299" s="13">
        <v>0</v>
      </c>
      <c r="AZ299" s="13">
        <v>0</v>
      </c>
      <c r="BA299" s="13">
        <v>0</v>
      </c>
      <c r="BB299" s="13">
        <v>0</v>
      </c>
      <c r="BC299" s="13">
        <v>0</v>
      </c>
      <c r="BD299" s="13">
        <v>0</v>
      </c>
      <c r="BE299" s="13">
        <v>0.5</v>
      </c>
      <c r="BF299" s="13">
        <v>0.5</v>
      </c>
      <c r="BG299" s="13">
        <v>0</v>
      </c>
      <c r="BH299" s="13">
        <v>0</v>
      </c>
      <c r="BI299" s="13">
        <v>0</v>
      </c>
      <c r="BJ299" s="13">
        <v>0</v>
      </c>
      <c r="BK299" s="13">
        <v>0</v>
      </c>
      <c r="BL299" s="13">
        <v>0</v>
      </c>
      <c r="BM299" s="13">
        <v>0</v>
      </c>
      <c r="BN299" s="13">
        <v>0</v>
      </c>
      <c r="BO299" s="13">
        <v>0</v>
      </c>
      <c r="BP299" s="13">
        <v>1</v>
      </c>
      <c r="BR299" s="42">
        <v>15</v>
      </c>
    </row>
    <row r="300" spans="1:70" s="42" customFormat="1" ht="14.25" x14ac:dyDescent="0.15">
      <c r="A300" s="164"/>
      <c r="B300" s="42" t="s">
        <v>2734</v>
      </c>
      <c r="C300" s="42" t="s">
        <v>2250</v>
      </c>
      <c r="E300" s="42" t="s">
        <v>2251</v>
      </c>
      <c r="G300" s="42">
        <v>1</v>
      </c>
      <c r="H300" s="42">
        <v>13</v>
      </c>
      <c r="I300" s="42" t="s">
        <v>296</v>
      </c>
      <c r="K300" s="42">
        <v>3</v>
      </c>
      <c r="L300" s="42">
        <v>1</v>
      </c>
      <c r="M300" s="42" t="s">
        <v>254</v>
      </c>
      <c r="N300" s="42" t="s">
        <v>396</v>
      </c>
      <c r="O300" s="42">
        <v>0</v>
      </c>
      <c r="P300" s="42" t="s">
        <v>2735</v>
      </c>
      <c r="Q300" s="42" t="s">
        <v>2252</v>
      </c>
      <c r="S300" s="42" t="s">
        <v>2301</v>
      </c>
      <c r="U300" s="42" t="s">
        <v>2253</v>
      </c>
      <c r="Y300" s="42" t="s">
        <v>250</v>
      </c>
      <c r="Z300" s="42" t="s">
        <v>2254</v>
      </c>
      <c r="AA300" s="13" t="s">
        <v>251</v>
      </c>
      <c r="AB300" s="13">
        <v>0.15</v>
      </c>
      <c r="AC300" s="13">
        <v>0</v>
      </c>
      <c r="AD300" s="42">
        <v>20</v>
      </c>
      <c r="AE300" s="42">
        <v>1</v>
      </c>
      <c r="AF300" s="13" t="s">
        <v>2302</v>
      </c>
      <c r="AH300" s="13" t="s">
        <v>399</v>
      </c>
      <c r="AI300" s="13">
        <v>0</v>
      </c>
      <c r="AJ300" s="13"/>
      <c r="AK300" s="42">
        <v>32771.732641433271</v>
      </c>
      <c r="AN300" s="42" t="s">
        <v>235</v>
      </c>
      <c r="AO300" s="42">
        <v>0</v>
      </c>
      <c r="AP300" s="42" t="s">
        <v>252</v>
      </c>
      <c r="AR300" s="42">
        <v>32771.732641433271</v>
      </c>
      <c r="AS300" s="42">
        <v>9846.3982104576007</v>
      </c>
      <c r="AT300" s="42">
        <v>82249.48026186091</v>
      </c>
      <c r="AU300" s="13">
        <v>1</v>
      </c>
      <c r="AV300" s="13">
        <v>1</v>
      </c>
      <c r="AW300" s="13">
        <v>0</v>
      </c>
      <c r="AX300" s="13">
        <v>0</v>
      </c>
      <c r="AY300" s="13">
        <v>0</v>
      </c>
      <c r="AZ300" s="13">
        <v>0</v>
      </c>
      <c r="BA300" s="13">
        <v>0</v>
      </c>
      <c r="BB300" s="13">
        <v>0</v>
      </c>
      <c r="BC300" s="13">
        <v>0</v>
      </c>
      <c r="BD300" s="13">
        <v>0</v>
      </c>
      <c r="BE300" s="13">
        <v>0.6</v>
      </c>
      <c r="BF300" s="13">
        <v>0.6</v>
      </c>
      <c r="BG300" s="13">
        <v>0</v>
      </c>
      <c r="BH300" s="13">
        <v>0</v>
      </c>
      <c r="BI300" s="13">
        <v>0</v>
      </c>
      <c r="BJ300" s="13">
        <v>0</v>
      </c>
      <c r="BK300" s="13">
        <v>0</v>
      </c>
      <c r="BL300" s="13">
        <v>0</v>
      </c>
      <c r="BM300" s="13">
        <v>0</v>
      </c>
      <c r="BN300" s="13">
        <v>0</v>
      </c>
      <c r="BO300" s="13">
        <v>0</v>
      </c>
      <c r="BP300" s="13">
        <v>1</v>
      </c>
      <c r="BR300" s="42">
        <v>8</v>
      </c>
    </row>
    <row r="301" spans="1:70" s="42" customFormat="1" ht="14.25" x14ac:dyDescent="0.15">
      <c r="A301" s="164"/>
      <c r="B301" s="42" t="s">
        <v>2042</v>
      </c>
      <c r="C301" s="11" t="s">
        <v>2250</v>
      </c>
      <c r="E301" s="42" t="s">
        <v>2251</v>
      </c>
      <c r="G301" s="42">
        <v>1</v>
      </c>
      <c r="H301" s="42">
        <v>13</v>
      </c>
      <c r="I301" s="42" t="s">
        <v>296</v>
      </c>
      <c r="K301" s="42">
        <v>3</v>
      </c>
      <c r="L301" s="42">
        <v>1</v>
      </c>
      <c r="M301" s="42" t="s">
        <v>254</v>
      </c>
      <c r="N301" s="42" t="s">
        <v>396</v>
      </c>
      <c r="O301" s="42">
        <v>0</v>
      </c>
      <c r="P301" s="42" t="s">
        <v>2043</v>
      </c>
      <c r="Q301" s="42" t="s">
        <v>2252</v>
      </c>
      <c r="S301" s="42" t="s">
        <v>2301</v>
      </c>
      <c r="U301" s="42" t="s">
        <v>2253</v>
      </c>
      <c r="Y301" s="42" t="s">
        <v>250</v>
      </c>
      <c r="Z301" s="42" t="s">
        <v>2254</v>
      </c>
      <c r="AA301" s="13" t="s">
        <v>251</v>
      </c>
      <c r="AB301" s="13">
        <v>0.15</v>
      </c>
      <c r="AC301" s="13">
        <v>0</v>
      </c>
      <c r="AD301" s="42">
        <v>20</v>
      </c>
      <c r="AE301" s="42">
        <v>1</v>
      </c>
      <c r="AF301" s="13" t="s">
        <v>2302</v>
      </c>
      <c r="AH301" s="13" t="s">
        <v>399</v>
      </c>
      <c r="AI301" s="13">
        <v>680</v>
      </c>
      <c r="AJ301" s="13"/>
      <c r="AK301" s="42">
        <v>32771.732641433271</v>
      </c>
      <c r="AN301" s="42" t="s">
        <v>235</v>
      </c>
      <c r="AO301" s="42">
        <v>0</v>
      </c>
      <c r="AP301" s="42" t="s">
        <v>252</v>
      </c>
      <c r="AR301" s="42">
        <v>32771.732641433271</v>
      </c>
      <c r="AS301" s="42">
        <v>9846.3982104576007</v>
      </c>
      <c r="AT301" s="42">
        <v>82249.48026186091</v>
      </c>
      <c r="AU301" s="13">
        <v>1</v>
      </c>
      <c r="AV301" s="13">
        <v>1</v>
      </c>
      <c r="AW301" s="13">
        <v>0</v>
      </c>
      <c r="AX301" s="13">
        <v>0</v>
      </c>
      <c r="AY301" s="13">
        <v>0</v>
      </c>
      <c r="AZ301" s="13">
        <v>0</v>
      </c>
      <c r="BA301" s="13">
        <v>0</v>
      </c>
      <c r="BB301" s="13">
        <v>0</v>
      </c>
      <c r="BC301" s="13">
        <v>0</v>
      </c>
      <c r="BD301" s="13">
        <v>0</v>
      </c>
      <c r="BE301" s="13">
        <v>0.6</v>
      </c>
      <c r="BF301" s="13">
        <v>0.6</v>
      </c>
      <c r="BG301" s="13">
        <v>0</v>
      </c>
      <c r="BH301" s="13">
        <v>0</v>
      </c>
      <c r="BI301" s="13">
        <v>0</v>
      </c>
      <c r="BJ301" s="13">
        <v>0</v>
      </c>
      <c r="BK301" s="13">
        <v>0</v>
      </c>
      <c r="BL301" s="13">
        <v>0</v>
      </c>
      <c r="BM301" s="13">
        <v>0</v>
      </c>
      <c r="BN301" s="13">
        <v>0</v>
      </c>
      <c r="BO301" s="13">
        <v>0</v>
      </c>
      <c r="BP301" s="13">
        <v>1</v>
      </c>
      <c r="BR301" s="42">
        <v>8</v>
      </c>
    </row>
    <row r="302" spans="1:70" s="42" customFormat="1" ht="14.25" x14ac:dyDescent="0.15">
      <c r="A302" s="164"/>
      <c r="B302" s="42" t="s">
        <v>2736</v>
      </c>
      <c r="C302" s="42" t="s">
        <v>2250</v>
      </c>
      <c r="E302" s="42" t="s">
        <v>2251</v>
      </c>
      <c r="G302" s="42">
        <v>1</v>
      </c>
      <c r="H302" s="42">
        <v>13</v>
      </c>
      <c r="I302" s="42" t="s">
        <v>296</v>
      </c>
      <c r="K302" s="42">
        <v>3</v>
      </c>
      <c r="L302" s="42">
        <v>1</v>
      </c>
      <c r="M302" s="42" t="s">
        <v>254</v>
      </c>
      <c r="N302" s="42" t="s">
        <v>396</v>
      </c>
      <c r="O302" s="42">
        <v>0</v>
      </c>
      <c r="P302" s="42" t="s">
        <v>2737</v>
      </c>
      <c r="Q302" s="42" t="s">
        <v>2252</v>
      </c>
      <c r="S302" s="42" t="s">
        <v>2301</v>
      </c>
      <c r="U302" s="42" t="s">
        <v>2253</v>
      </c>
      <c r="Y302" s="42" t="s">
        <v>250</v>
      </c>
      <c r="Z302" s="42" t="s">
        <v>2254</v>
      </c>
      <c r="AA302" s="13" t="s">
        <v>251</v>
      </c>
      <c r="AB302" s="13">
        <v>0.15</v>
      </c>
      <c r="AC302" s="13">
        <v>0</v>
      </c>
      <c r="AD302" s="42">
        <v>20</v>
      </c>
      <c r="AE302" s="42">
        <v>1</v>
      </c>
      <c r="AF302" s="13" t="s">
        <v>2302</v>
      </c>
      <c r="AH302" s="13" t="s">
        <v>399</v>
      </c>
      <c r="AI302" s="13">
        <v>800</v>
      </c>
      <c r="AJ302" s="13"/>
      <c r="AK302" s="42">
        <v>32771.732641433271</v>
      </c>
      <c r="AN302" s="42" t="s">
        <v>235</v>
      </c>
      <c r="AO302" s="42">
        <v>0</v>
      </c>
      <c r="AP302" s="42" t="s">
        <v>252</v>
      </c>
      <c r="AR302" s="42">
        <v>32771.732641433271</v>
      </c>
      <c r="AS302" s="42">
        <v>9846.3982104576007</v>
      </c>
      <c r="AT302" s="42">
        <v>82249.48026186091</v>
      </c>
      <c r="AU302" s="13">
        <v>1</v>
      </c>
      <c r="AV302" s="13">
        <v>1</v>
      </c>
      <c r="AW302" s="13">
        <v>0</v>
      </c>
      <c r="AX302" s="13">
        <v>0</v>
      </c>
      <c r="AY302" s="13">
        <v>0</v>
      </c>
      <c r="AZ302" s="13">
        <v>0</v>
      </c>
      <c r="BA302" s="13">
        <v>0</v>
      </c>
      <c r="BB302" s="13">
        <v>0</v>
      </c>
      <c r="BC302" s="13">
        <v>0</v>
      </c>
      <c r="BD302" s="13">
        <v>0</v>
      </c>
      <c r="BE302" s="13">
        <v>0.6</v>
      </c>
      <c r="BF302" s="13">
        <v>0.6</v>
      </c>
      <c r="BG302" s="13">
        <v>0</v>
      </c>
      <c r="BH302" s="13">
        <v>0</v>
      </c>
      <c r="BI302" s="13">
        <v>0</v>
      </c>
      <c r="BJ302" s="13">
        <v>0</v>
      </c>
      <c r="BK302" s="13">
        <v>0</v>
      </c>
      <c r="BL302" s="13">
        <v>0</v>
      </c>
      <c r="BM302" s="13">
        <v>0</v>
      </c>
      <c r="BN302" s="13">
        <v>0</v>
      </c>
      <c r="BO302" s="13">
        <v>0</v>
      </c>
      <c r="BP302" s="13">
        <v>1</v>
      </c>
      <c r="BR302" s="42">
        <v>8</v>
      </c>
    </row>
    <row r="303" spans="1:70" s="42" customFormat="1" ht="14.25" x14ac:dyDescent="0.15">
      <c r="A303" s="164"/>
      <c r="B303" s="42" t="s">
        <v>2044</v>
      </c>
      <c r="C303" s="42" t="s">
        <v>2250</v>
      </c>
      <c r="E303" s="42" t="s">
        <v>2251</v>
      </c>
      <c r="G303" s="42">
        <v>1</v>
      </c>
      <c r="H303" s="42">
        <v>13</v>
      </c>
      <c r="I303" s="42" t="s">
        <v>296</v>
      </c>
      <c r="K303" s="42">
        <v>3</v>
      </c>
      <c r="L303" s="42">
        <v>1</v>
      </c>
      <c r="M303" s="42" t="s">
        <v>254</v>
      </c>
      <c r="N303" s="42" t="s">
        <v>396</v>
      </c>
      <c r="O303" s="42">
        <v>0</v>
      </c>
      <c r="P303" s="42" t="s">
        <v>2045</v>
      </c>
      <c r="Q303" s="42" t="s">
        <v>2252</v>
      </c>
      <c r="S303" s="42" t="s">
        <v>2301</v>
      </c>
      <c r="U303" s="42" t="s">
        <v>2253</v>
      </c>
      <c r="Y303" s="42" t="s">
        <v>250</v>
      </c>
      <c r="Z303" s="42" t="s">
        <v>2254</v>
      </c>
      <c r="AA303" s="13" t="s">
        <v>251</v>
      </c>
      <c r="AB303" s="13">
        <v>0.15</v>
      </c>
      <c r="AC303" s="13">
        <v>30</v>
      </c>
      <c r="AD303" s="42">
        <v>20</v>
      </c>
      <c r="AE303" s="42">
        <v>1</v>
      </c>
      <c r="AF303" s="13" t="s">
        <v>2302</v>
      </c>
      <c r="AH303" s="13" t="s">
        <v>399</v>
      </c>
      <c r="AI303" s="13">
        <v>0</v>
      </c>
      <c r="AJ303" s="13"/>
      <c r="AK303" s="42">
        <v>32771.732641433271</v>
      </c>
      <c r="AN303" s="42" t="s">
        <v>235</v>
      </c>
      <c r="AO303" s="42">
        <v>0</v>
      </c>
      <c r="AP303" s="42" t="s">
        <v>252</v>
      </c>
      <c r="AR303" s="42">
        <v>32771.732641433271</v>
      </c>
      <c r="AS303" s="42">
        <v>9846.3982104576007</v>
      </c>
      <c r="AT303" s="42">
        <v>82249.48026186091</v>
      </c>
      <c r="AU303" s="13">
        <v>1</v>
      </c>
      <c r="AV303" s="13">
        <v>1</v>
      </c>
      <c r="AW303" s="13">
        <v>0</v>
      </c>
      <c r="AX303" s="13">
        <v>0</v>
      </c>
      <c r="AY303" s="13">
        <v>0</v>
      </c>
      <c r="AZ303" s="13">
        <v>0</v>
      </c>
      <c r="BA303" s="13">
        <v>0</v>
      </c>
      <c r="BB303" s="13">
        <v>0</v>
      </c>
      <c r="BC303" s="13">
        <v>0</v>
      </c>
      <c r="BD303" s="13">
        <v>0</v>
      </c>
      <c r="BE303" s="13">
        <v>0.6</v>
      </c>
      <c r="BF303" s="13">
        <v>0.6</v>
      </c>
      <c r="BG303" s="13">
        <v>0</v>
      </c>
      <c r="BH303" s="13">
        <v>0</v>
      </c>
      <c r="BI303" s="13">
        <v>0</v>
      </c>
      <c r="BJ303" s="13">
        <v>0</v>
      </c>
      <c r="BK303" s="13">
        <v>0</v>
      </c>
      <c r="BL303" s="13">
        <v>0</v>
      </c>
      <c r="BM303" s="13">
        <v>0</v>
      </c>
      <c r="BN303" s="13">
        <v>0</v>
      </c>
      <c r="BO303" s="13">
        <v>0</v>
      </c>
      <c r="BP303" s="13">
        <v>1</v>
      </c>
      <c r="BR303" s="42">
        <v>8</v>
      </c>
    </row>
    <row r="304" spans="1:70" s="42" customFormat="1" ht="14.25" x14ac:dyDescent="0.15">
      <c r="A304" s="164"/>
      <c r="B304" s="42" t="s">
        <v>2738</v>
      </c>
      <c r="C304" s="42" t="s">
        <v>2250</v>
      </c>
      <c r="E304" s="42" t="s">
        <v>2251</v>
      </c>
      <c r="G304" s="42">
        <v>1</v>
      </c>
      <c r="H304" s="42">
        <v>13</v>
      </c>
      <c r="I304" s="42" t="s">
        <v>296</v>
      </c>
      <c r="K304" s="42">
        <v>3</v>
      </c>
      <c r="L304" s="42">
        <v>1</v>
      </c>
      <c r="M304" s="42" t="s">
        <v>254</v>
      </c>
      <c r="N304" s="42" t="s">
        <v>396</v>
      </c>
      <c r="O304" s="42">
        <v>0</v>
      </c>
      <c r="P304" s="42" t="s">
        <v>2739</v>
      </c>
      <c r="Q304" s="42" t="s">
        <v>2252</v>
      </c>
      <c r="S304" s="42" t="s">
        <v>2301</v>
      </c>
      <c r="U304" s="42" t="s">
        <v>2253</v>
      </c>
      <c r="Y304" s="42" t="s">
        <v>250</v>
      </c>
      <c r="Z304" s="42" t="s">
        <v>2254</v>
      </c>
      <c r="AA304" s="13" t="s">
        <v>251</v>
      </c>
      <c r="AB304" s="13">
        <v>0.15</v>
      </c>
      <c r="AC304" s="13">
        <v>0</v>
      </c>
      <c r="AD304" s="42">
        <v>20</v>
      </c>
      <c r="AE304" s="42">
        <v>1</v>
      </c>
      <c r="AF304" s="13" t="s">
        <v>2302</v>
      </c>
      <c r="AH304" s="13" t="s">
        <v>399</v>
      </c>
      <c r="AI304" s="13">
        <v>1000</v>
      </c>
      <c r="AJ304" s="13"/>
      <c r="AK304" s="42">
        <v>32771.732641433271</v>
      </c>
      <c r="AN304" s="42" t="s">
        <v>235</v>
      </c>
      <c r="AO304" s="42">
        <v>0</v>
      </c>
      <c r="AP304" s="42" t="s">
        <v>252</v>
      </c>
      <c r="AR304" s="42">
        <v>32771.732641433271</v>
      </c>
      <c r="AS304" s="42">
        <v>9846.3982104576007</v>
      </c>
      <c r="AT304" s="42">
        <v>82249.48026186091</v>
      </c>
      <c r="AU304" s="13">
        <v>1</v>
      </c>
      <c r="AV304" s="13">
        <v>1</v>
      </c>
      <c r="AW304" s="13">
        <v>0</v>
      </c>
      <c r="AX304" s="13">
        <v>0</v>
      </c>
      <c r="AY304" s="13">
        <v>0</v>
      </c>
      <c r="AZ304" s="13">
        <v>0</v>
      </c>
      <c r="BA304" s="13">
        <v>0</v>
      </c>
      <c r="BB304" s="13">
        <v>0</v>
      </c>
      <c r="BC304" s="13">
        <v>0</v>
      </c>
      <c r="BD304" s="13">
        <v>0</v>
      </c>
      <c r="BE304" s="13">
        <v>0.6</v>
      </c>
      <c r="BF304" s="13">
        <v>0.6</v>
      </c>
      <c r="BG304" s="13">
        <v>0</v>
      </c>
      <c r="BH304" s="13">
        <v>0</v>
      </c>
      <c r="BI304" s="13">
        <v>0</v>
      </c>
      <c r="BJ304" s="13">
        <v>0</v>
      </c>
      <c r="BK304" s="13">
        <v>0</v>
      </c>
      <c r="BL304" s="13">
        <v>0</v>
      </c>
      <c r="BM304" s="13">
        <v>0</v>
      </c>
      <c r="BN304" s="13">
        <v>0</v>
      </c>
      <c r="BO304" s="13">
        <v>0</v>
      </c>
      <c r="BP304" s="13">
        <v>1</v>
      </c>
      <c r="BR304" s="42">
        <v>8</v>
      </c>
    </row>
    <row r="305" spans="1:70" s="42" customFormat="1" ht="14.25" x14ac:dyDescent="0.15">
      <c r="A305" s="164"/>
      <c r="B305" s="42" t="s">
        <v>2046</v>
      </c>
      <c r="C305" s="42" t="s">
        <v>2250</v>
      </c>
      <c r="E305" s="42" t="s">
        <v>2251</v>
      </c>
      <c r="G305" s="42">
        <v>1</v>
      </c>
      <c r="H305" s="42">
        <v>13</v>
      </c>
      <c r="I305" s="42" t="s">
        <v>296</v>
      </c>
      <c r="K305" s="42">
        <v>3</v>
      </c>
      <c r="L305" s="42">
        <v>1</v>
      </c>
      <c r="M305" s="42" t="s">
        <v>254</v>
      </c>
      <c r="N305" s="42" t="s">
        <v>396</v>
      </c>
      <c r="O305" s="42">
        <v>0</v>
      </c>
      <c r="P305" s="42" t="s">
        <v>2047</v>
      </c>
      <c r="Q305" s="42" t="s">
        <v>2252</v>
      </c>
      <c r="S305" s="42" t="s">
        <v>2301</v>
      </c>
      <c r="U305" s="42" t="s">
        <v>2253</v>
      </c>
      <c r="Y305" s="42" t="s">
        <v>250</v>
      </c>
      <c r="Z305" s="42" t="s">
        <v>2254</v>
      </c>
      <c r="AA305" s="13" t="s">
        <v>251</v>
      </c>
      <c r="AB305" s="13">
        <v>0.15</v>
      </c>
      <c r="AC305" s="13">
        <v>0</v>
      </c>
      <c r="AD305" s="42">
        <v>20</v>
      </c>
      <c r="AE305" s="42">
        <v>1</v>
      </c>
      <c r="AF305" s="13" t="s">
        <v>2302</v>
      </c>
      <c r="AH305" s="13" t="s">
        <v>399</v>
      </c>
      <c r="AI305" s="13">
        <v>680</v>
      </c>
      <c r="AJ305" s="13"/>
      <c r="AK305" s="42">
        <v>32771.732641433271</v>
      </c>
      <c r="AN305" s="42" t="s">
        <v>235</v>
      </c>
      <c r="AO305" s="42">
        <v>0</v>
      </c>
      <c r="AP305" s="42" t="s">
        <v>252</v>
      </c>
      <c r="AR305" s="42">
        <v>32771.732641433271</v>
      </c>
      <c r="AS305" s="42">
        <v>9846.3982104576007</v>
      </c>
      <c r="AT305" s="42">
        <v>82249.48026186091</v>
      </c>
      <c r="AU305" s="13">
        <v>1</v>
      </c>
      <c r="AV305" s="13">
        <v>1</v>
      </c>
      <c r="AW305" s="13">
        <v>0</v>
      </c>
      <c r="AX305" s="13">
        <v>0</v>
      </c>
      <c r="AY305" s="13">
        <v>0</v>
      </c>
      <c r="AZ305" s="13">
        <v>0</v>
      </c>
      <c r="BA305" s="13">
        <v>0</v>
      </c>
      <c r="BB305" s="13">
        <v>0</v>
      </c>
      <c r="BC305" s="13">
        <v>0</v>
      </c>
      <c r="BD305" s="13">
        <v>0</v>
      </c>
      <c r="BE305" s="13">
        <v>0.6</v>
      </c>
      <c r="BF305" s="13">
        <v>0.6</v>
      </c>
      <c r="BG305" s="13">
        <v>0</v>
      </c>
      <c r="BH305" s="13">
        <v>0</v>
      </c>
      <c r="BI305" s="13">
        <v>0</v>
      </c>
      <c r="BJ305" s="13">
        <v>0</v>
      </c>
      <c r="BK305" s="13">
        <v>0</v>
      </c>
      <c r="BL305" s="13">
        <v>0</v>
      </c>
      <c r="BM305" s="13">
        <v>0</v>
      </c>
      <c r="BN305" s="13">
        <v>0</v>
      </c>
      <c r="BO305" s="13">
        <v>0</v>
      </c>
      <c r="BP305" s="13">
        <v>1</v>
      </c>
      <c r="BR305" s="42">
        <v>8</v>
      </c>
    </row>
    <row r="306" spans="1:70" s="42" customFormat="1" ht="14.25" x14ac:dyDescent="0.15">
      <c r="A306" s="164"/>
      <c r="B306" s="42" t="s">
        <v>2740</v>
      </c>
      <c r="C306" s="11" t="s">
        <v>2250</v>
      </c>
      <c r="E306" s="42" t="s">
        <v>2251</v>
      </c>
      <c r="G306" s="42">
        <v>1</v>
      </c>
      <c r="H306" s="42">
        <v>13</v>
      </c>
      <c r="I306" s="42" t="s">
        <v>296</v>
      </c>
      <c r="K306" s="42">
        <v>3</v>
      </c>
      <c r="L306" s="42">
        <v>1</v>
      </c>
      <c r="M306" s="42" t="s">
        <v>254</v>
      </c>
      <c r="N306" s="42" t="s">
        <v>396</v>
      </c>
      <c r="O306" s="42">
        <v>0</v>
      </c>
      <c r="P306" s="42" t="s">
        <v>2741</v>
      </c>
      <c r="Q306" s="42" t="s">
        <v>2252</v>
      </c>
      <c r="S306" s="42" t="s">
        <v>2301</v>
      </c>
      <c r="U306" s="42" t="s">
        <v>2253</v>
      </c>
      <c r="Y306" s="42" t="s">
        <v>250</v>
      </c>
      <c r="Z306" s="42" t="s">
        <v>2254</v>
      </c>
      <c r="AA306" s="13" t="s">
        <v>251</v>
      </c>
      <c r="AB306" s="13">
        <v>0.15</v>
      </c>
      <c r="AC306" s="13">
        <v>30</v>
      </c>
      <c r="AD306" s="42">
        <v>20</v>
      </c>
      <c r="AE306" s="42">
        <v>1</v>
      </c>
      <c r="AF306" s="13" t="s">
        <v>2302</v>
      </c>
      <c r="AH306" s="13" t="s">
        <v>399</v>
      </c>
      <c r="AI306" s="13">
        <v>300</v>
      </c>
      <c r="AJ306" s="13"/>
      <c r="AK306" s="42">
        <v>32771.732641433271</v>
      </c>
      <c r="AN306" s="42" t="s">
        <v>235</v>
      </c>
      <c r="AO306" s="42">
        <v>0</v>
      </c>
      <c r="AP306" s="42" t="s">
        <v>252</v>
      </c>
      <c r="AR306" s="42">
        <v>32771.732641433271</v>
      </c>
      <c r="AS306" s="42">
        <v>9846.3982104576007</v>
      </c>
      <c r="AT306" s="42">
        <v>82249.48026186091</v>
      </c>
      <c r="AU306" s="13">
        <v>1</v>
      </c>
      <c r="AV306" s="13">
        <v>1</v>
      </c>
      <c r="AW306" s="13">
        <v>0</v>
      </c>
      <c r="AX306" s="13">
        <v>0</v>
      </c>
      <c r="AY306" s="13">
        <v>0</v>
      </c>
      <c r="AZ306" s="13">
        <v>0</v>
      </c>
      <c r="BA306" s="13">
        <v>0</v>
      </c>
      <c r="BB306" s="13">
        <v>0</v>
      </c>
      <c r="BC306" s="13">
        <v>0</v>
      </c>
      <c r="BD306" s="13">
        <v>0</v>
      </c>
      <c r="BE306" s="13">
        <v>0.6</v>
      </c>
      <c r="BF306" s="13">
        <v>0.6</v>
      </c>
      <c r="BG306" s="13">
        <v>0</v>
      </c>
      <c r="BH306" s="13">
        <v>0</v>
      </c>
      <c r="BI306" s="13">
        <v>0</v>
      </c>
      <c r="BJ306" s="13">
        <v>0</v>
      </c>
      <c r="BK306" s="13">
        <v>0</v>
      </c>
      <c r="BL306" s="13">
        <v>0</v>
      </c>
      <c r="BM306" s="13">
        <v>0</v>
      </c>
      <c r="BN306" s="13">
        <v>0</v>
      </c>
      <c r="BO306" s="13">
        <v>0</v>
      </c>
      <c r="BP306" s="13">
        <v>1</v>
      </c>
      <c r="BR306" s="42">
        <v>8</v>
      </c>
    </row>
    <row r="307" spans="1:70" s="42" customFormat="1" ht="14.25" x14ac:dyDescent="0.15">
      <c r="A307" s="164"/>
      <c r="B307" s="42" t="s">
        <v>2048</v>
      </c>
      <c r="C307" s="42" t="s">
        <v>2250</v>
      </c>
      <c r="E307" s="42" t="s">
        <v>2251</v>
      </c>
      <c r="G307" s="42">
        <v>1</v>
      </c>
      <c r="H307" s="42">
        <v>13</v>
      </c>
      <c r="I307" s="42" t="s">
        <v>296</v>
      </c>
      <c r="K307" s="42">
        <v>3</v>
      </c>
      <c r="L307" s="42">
        <v>1</v>
      </c>
      <c r="M307" s="42" t="s">
        <v>254</v>
      </c>
      <c r="N307" s="42" t="s">
        <v>396</v>
      </c>
      <c r="O307" s="42">
        <v>0</v>
      </c>
      <c r="P307" s="42" t="s">
        <v>2049</v>
      </c>
      <c r="Q307" s="42" t="s">
        <v>2252</v>
      </c>
      <c r="S307" s="42" t="s">
        <v>2301</v>
      </c>
      <c r="U307" s="42" t="s">
        <v>2253</v>
      </c>
      <c r="Y307" s="42" t="s">
        <v>250</v>
      </c>
      <c r="Z307" s="42" t="s">
        <v>2254</v>
      </c>
      <c r="AA307" s="13" t="s">
        <v>251</v>
      </c>
      <c r="AB307" s="13">
        <v>0.15</v>
      </c>
      <c r="AC307" s="13">
        <v>0</v>
      </c>
      <c r="AD307" s="42">
        <v>20</v>
      </c>
      <c r="AE307" s="42">
        <v>1</v>
      </c>
      <c r="AF307" s="13" t="s">
        <v>2302</v>
      </c>
      <c r="AH307" s="13" t="s">
        <v>399</v>
      </c>
      <c r="AI307" s="13">
        <v>0</v>
      </c>
      <c r="AJ307" s="13"/>
      <c r="AK307" s="42">
        <v>32771.732641433271</v>
      </c>
      <c r="AN307" s="42" t="s">
        <v>235</v>
      </c>
      <c r="AO307" s="42">
        <v>0</v>
      </c>
      <c r="AP307" s="42" t="s">
        <v>252</v>
      </c>
      <c r="AR307" s="42">
        <v>32771.732641433271</v>
      </c>
      <c r="AS307" s="42">
        <v>9846.3982104576007</v>
      </c>
      <c r="AT307" s="42">
        <v>82249.48026186091</v>
      </c>
      <c r="AU307" s="13">
        <v>1</v>
      </c>
      <c r="AV307" s="13">
        <v>1</v>
      </c>
      <c r="AW307" s="13">
        <v>0</v>
      </c>
      <c r="AX307" s="13">
        <v>0</v>
      </c>
      <c r="AY307" s="13">
        <v>0</v>
      </c>
      <c r="AZ307" s="13">
        <v>0</v>
      </c>
      <c r="BA307" s="13">
        <v>0</v>
      </c>
      <c r="BB307" s="13">
        <v>0</v>
      </c>
      <c r="BC307" s="13">
        <v>0</v>
      </c>
      <c r="BD307" s="13">
        <v>0</v>
      </c>
      <c r="BE307" s="13">
        <v>0.6</v>
      </c>
      <c r="BF307" s="13">
        <v>0.6</v>
      </c>
      <c r="BG307" s="13">
        <v>0</v>
      </c>
      <c r="BH307" s="13">
        <v>0</v>
      </c>
      <c r="BI307" s="13">
        <v>0</v>
      </c>
      <c r="BJ307" s="13">
        <v>0</v>
      </c>
      <c r="BK307" s="13">
        <v>0</v>
      </c>
      <c r="BL307" s="13">
        <v>0</v>
      </c>
      <c r="BM307" s="13">
        <v>0</v>
      </c>
      <c r="BN307" s="13">
        <v>0</v>
      </c>
      <c r="BO307" s="13">
        <v>0</v>
      </c>
      <c r="BP307" s="13">
        <v>1</v>
      </c>
      <c r="BR307" s="42">
        <v>8</v>
      </c>
    </row>
    <row r="308" spans="1:70" s="42" customFormat="1" ht="14.25" x14ac:dyDescent="0.15">
      <c r="A308" s="164"/>
      <c r="B308" s="42" t="s">
        <v>2050</v>
      </c>
      <c r="C308" s="42" t="s">
        <v>900</v>
      </c>
      <c r="E308" s="42" t="s">
        <v>901</v>
      </c>
      <c r="G308" s="42">
        <v>1</v>
      </c>
      <c r="H308" s="42">
        <v>14</v>
      </c>
      <c r="I308" s="42" t="s">
        <v>421</v>
      </c>
      <c r="K308" s="42">
        <v>3</v>
      </c>
      <c r="L308" s="42">
        <v>1</v>
      </c>
      <c r="M308" s="42" t="s">
        <v>254</v>
      </c>
      <c r="N308" s="42" t="s">
        <v>396</v>
      </c>
      <c r="O308" s="42">
        <v>0</v>
      </c>
      <c r="P308" s="42" t="s">
        <v>2051</v>
      </c>
      <c r="Q308" s="42" t="s">
        <v>902</v>
      </c>
      <c r="S308" s="42" t="s">
        <v>903</v>
      </c>
      <c r="U308" s="42" t="s">
        <v>904</v>
      </c>
      <c r="Y308" s="42" t="s">
        <v>250</v>
      </c>
      <c r="Z308" s="42" t="s">
        <v>905</v>
      </c>
      <c r="AA308" s="13" t="s">
        <v>251</v>
      </c>
      <c r="AB308" s="13">
        <v>0.15</v>
      </c>
      <c r="AC308" s="13">
        <v>0</v>
      </c>
      <c r="AD308" s="42">
        <v>20</v>
      </c>
      <c r="AE308" s="42">
        <v>1</v>
      </c>
      <c r="AF308" s="13" t="s">
        <v>2461</v>
      </c>
      <c r="AH308" s="13" t="s">
        <v>399</v>
      </c>
      <c r="AI308" s="13">
        <v>1000</v>
      </c>
      <c r="AJ308" s="13"/>
      <c r="AK308" s="42">
        <v>43206.513183979194</v>
      </c>
      <c r="AN308" s="42" t="s">
        <v>235</v>
      </c>
      <c r="AO308" s="42">
        <v>0</v>
      </c>
      <c r="AP308" s="42" t="s">
        <v>252</v>
      </c>
      <c r="AR308" s="42">
        <v>43206.513183979194</v>
      </c>
      <c r="AS308" s="42">
        <v>12007.80269568</v>
      </c>
      <c r="AT308" s="42">
        <v>182871.33017852157</v>
      </c>
      <c r="AU308" s="13">
        <v>1</v>
      </c>
      <c r="AV308" s="13">
        <v>1</v>
      </c>
      <c r="AW308" s="13">
        <v>0</v>
      </c>
      <c r="AX308" s="13">
        <v>0</v>
      </c>
      <c r="AY308" s="13">
        <v>0</v>
      </c>
      <c r="AZ308" s="13">
        <v>0</v>
      </c>
      <c r="BA308" s="13">
        <v>0</v>
      </c>
      <c r="BB308" s="13">
        <v>0</v>
      </c>
      <c r="BC308" s="13">
        <v>0</v>
      </c>
      <c r="BD308" s="13">
        <v>0</v>
      </c>
      <c r="BE308" s="13">
        <v>0.6</v>
      </c>
      <c r="BF308" s="13">
        <v>0.6</v>
      </c>
      <c r="BG308" s="13">
        <v>0</v>
      </c>
      <c r="BH308" s="13">
        <v>0</v>
      </c>
      <c r="BI308" s="13">
        <v>0</v>
      </c>
      <c r="BJ308" s="13">
        <v>0</v>
      </c>
      <c r="BK308" s="13">
        <v>0</v>
      </c>
      <c r="BL308" s="13">
        <v>0</v>
      </c>
      <c r="BM308" s="13">
        <v>0</v>
      </c>
      <c r="BN308" s="13">
        <v>0</v>
      </c>
      <c r="BO308" s="13">
        <v>0</v>
      </c>
      <c r="BP308" s="13">
        <v>1</v>
      </c>
      <c r="BR308" s="42">
        <v>18</v>
      </c>
    </row>
    <row r="309" spans="1:70" s="42" customFormat="1" ht="14.25" x14ac:dyDescent="0.15">
      <c r="A309" s="164"/>
      <c r="B309" s="42" t="s">
        <v>2052</v>
      </c>
      <c r="C309" s="11" t="s">
        <v>2250</v>
      </c>
      <c r="E309" s="42" t="s">
        <v>2251</v>
      </c>
      <c r="G309" s="42">
        <v>1</v>
      </c>
      <c r="H309" s="42">
        <v>13</v>
      </c>
      <c r="I309" s="42" t="s">
        <v>296</v>
      </c>
      <c r="K309" s="42">
        <v>3</v>
      </c>
      <c r="L309" s="42">
        <v>1</v>
      </c>
      <c r="M309" s="42" t="s">
        <v>254</v>
      </c>
      <c r="N309" s="42" t="s">
        <v>396</v>
      </c>
      <c r="O309" s="42">
        <v>0</v>
      </c>
      <c r="P309" s="42" t="s">
        <v>2053</v>
      </c>
      <c r="Q309" s="42" t="s">
        <v>2252</v>
      </c>
      <c r="S309" s="42" t="s">
        <v>2301</v>
      </c>
      <c r="U309" s="42" t="s">
        <v>2253</v>
      </c>
      <c r="Y309" s="42" t="s">
        <v>250</v>
      </c>
      <c r="Z309" s="42" t="s">
        <v>2254</v>
      </c>
      <c r="AA309" s="13" t="s">
        <v>251</v>
      </c>
      <c r="AB309" s="13">
        <v>0.15</v>
      </c>
      <c r="AC309" s="13">
        <v>0</v>
      </c>
      <c r="AD309" s="42">
        <v>20</v>
      </c>
      <c r="AE309" s="42">
        <v>1</v>
      </c>
      <c r="AF309" s="13" t="s">
        <v>2302</v>
      </c>
      <c r="AH309" s="13" t="s">
        <v>399</v>
      </c>
      <c r="AI309" s="13">
        <v>1000</v>
      </c>
      <c r="AJ309" s="13"/>
      <c r="AK309" s="42">
        <v>32771.732641433271</v>
      </c>
      <c r="AN309" s="42" t="s">
        <v>235</v>
      </c>
      <c r="AO309" s="42">
        <v>0</v>
      </c>
      <c r="AP309" s="42" t="s">
        <v>252</v>
      </c>
      <c r="AR309" s="42">
        <v>32771.732641433271</v>
      </c>
      <c r="AS309" s="42">
        <v>9846.3982104576007</v>
      </c>
      <c r="AT309" s="42">
        <v>82249.48026186091</v>
      </c>
      <c r="AU309" s="13">
        <v>1</v>
      </c>
      <c r="AV309" s="13">
        <v>1</v>
      </c>
      <c r="AW309" s="13">
        <v>0</v>
      </c>
      <c r="AX309" s="13">
        <v>0</v>
      </c>
      <c r="AY309" s="13">
        <v>0</v>
      </c>
      <c r="AZ309" s="13">
        <v>0</v>
      </c>
      <c r="BA309" s="13">
        <v>0</v>
      </c>
      <c r="BB309" s="13">
        <v>0</v>
      </c>
      <c r="BC309" s="13">
        <v>0</v>
      </c>
      <c r="BD309" s="13">
        <v>0</v>
      </c>
      <c r="BE309" s="13">
        <v>0.6</v>
      </c>
      <c r="BF309" s="13">
        <v>0.6</v>
      </c>
      <c r="BG309" s="13">
        <v>0</v>
      </c>
      <c r="BH309" s="13">
        <v>0</v>
      </c>
      <c r="BI309" s="13">
        <v>0</v>
      </c>
      <c r="BJ309" s="13">
        <v>0</v>
      </c>
      <c r="BK309" s="13">
        <v>0</v>
      </c>
      <c r="BL309" s="13">
        <v>0</v>
      </c>
      <c r="BM309" s="13">
        <v>0</v>
      </c>
      <c r="BN309" s="13">
        <v>0</v>
      </c>
      <c r="BO309" s="13">
        <v>0</v>
      </c>
      <c r="BP309" s="13">
        <v>1</v>
      </c>
      <c r="BR309" s="42">
        <v>8</v>
      </c>
    </row>
    <row r="310" spans="1:70" s="42" customFormat="1" ht="14.25" x14ac:dyDescent="0.15">
      <c r="A310" s="164"/>
      <c r="B310" s="42" t="s">
        <v>2742</v>
      </c>
      <c r="C310" s="42" t="s">
        <v>2250</v>
      </c>
      <c r="E310" s="42" t="s">
        <v>2251</v>
      </c>
      <c r="G310" s="42">
        <v>1</v>
      </c>
      <c r="H310" s="42">
        <v>13</v>
      </c>
      <c r="I310" s="42" t="s">
        <v>296</v>
      </c>
      <c r="K310" s="42">
        <v>3</v>
      </c>
      <c r="L310" s="42">
        <v>1</v>
      </c>
      <c r="M310" s="42" t="s">
        <v>254</v>
      </c>
      <c r="N310" s="42" t="s">
        <v>396</v>
      </c>
      <c r="O310" s="42">
        <v>0</v>
      </c>
      <c r="P310" s="42" t="s">
        <v>2743</v>
      </c>
      <c r="Q310" s="42" t="s">
        <v>2252</v>
      </c>
      <c r="S310" s="42" t="s">
        <v>2301</v>
      </c>
      <c r="U310" s="42" t="s">
        <v>2253</v>
      </c>
      <c r="Y310" s="42" t="s">
        <v>250</v>
      </c>
      <c r="Z310" s="42" t="s">
        <v>2254</v>
      </c>
      <c r="AA310" s="13" t="s">
        <v>251</v>
      </c>
      <c r="AB310" s="13">
        <v>0.15</v>
      </c>
      <c r="AC310" s="13">
        <v>30</v>
      </c>
      <c r="AD310" s="42">
        <v>20</v>
      </c>
      <c r="AE310" s="42">
        <v>1</v>
      </c>
      <c r="AF310" s="13" t="s">
        <v>2302</v>
      </c>
      <c r="AH310" s="13" t="s">
        <v>399</v>
      </c>
      <c r="AI310" s="13">
        <v>680</v>
      </c>
      <c r="AJ310" s="13"/>
      <c r="AK310" s="42">
        <v>32771.732641433271</v>
      </c>
      <c r="AN310" s="42" t="s">
        <v>235</v>
      </c>
      <c r="AO310" s="42">
        <v>0</v>
      </c>
      <c r="AP310" s="42" t="s">
        <v>252</v>
      </c>
      <c r="AR310" s="42">
        <v>32771.732641433271</v>
      </c>
      <c r="AS310" s="42">
        <v>9846.3982104576007</v>
      </c>
      <c r="AT310" s="42">
        <v>82249.48026186091</v>
      </c>
      <c r="AU310" s="13">
        <v>1</v>
      </c>
      <c r="AV310" s="13">
        <v>1</v>
      </c>
      <c r="AW310" s="13">
        <v>0</v>
      </c>
      <c r="AX310" s="13">
        <v>0</v>
      </c>
      <c r="AY310" s="13">
        <v>0</v>
      </c>
      <c r="AZ310" s="13">
        <v>0</v>
      </c>
      <c r="BA310" s="13">
        <v>0</v>
      </c>
      <c r="BB310" s="13">
        <v>0</v>
      </c>
      <c r="BC310" s="13">
        <v>0</v>
      </c>
      <c r="BD310" s="13">
        <v>0</v>
      </c>
      <c r="BE310" s="13">
        <v>0.6</v>
      </c>
      <c r="BF310" s="13">
        <v>0.6</v>
      </c>
      <c r="BG310" s="13">
        <v>0</v>
      </c>
      <c r="BH310" s="13">
        <v>0</v>
      </c>
      <c r="BI310" s="13">
        <v>0</v>
      </c>
      <c r="BJ310" s="13">
        <v>0</v>
      </c>
      <c r="BK310" s="13">
        <v>0</v>
      </c>
      <c r="BL310" s="13">
        <v>0</v>
      </c>
      <c r="BM310" s="13">
        <v>0</v>
      </c>
      <c r="BN310" s="13">
        <v>0</v>
      </c>
      <c r="BO310" s="13">
        <v>0</v>
      </c>
      <c r="BP310" s="13">
        <v>1</v>
      </c>
      <c r="BR310" s="42">
        <v>8</v>
      </c>
    </row>
    <row r="311" spans="1:70" s="13" customFormat="1" x14ac:dyDescent="0.15">
      <c r="B311" s="13" t="s">
        <v>2744</v>
      </c>
      <c r="C311" s="13" t="s">
        <v>2250</v>
      </c>
      <c r="E311" s="13" t="s">
        <v>2251</v>
      </c>
      <c r="G311" s="13">
        <v>1</v>
      </c>
      <c r="H311" s="13">
        <v>13</v>
      </c>
      <c r="I311" s="13" t="s">
        <v>296</v>
      </c>
      <c r="K311" s="13">
        <v>3</v>
      </c>
      <c r="L311" s="13">
        <v>1</v>
      </c>
      <c r="M311" s="13" t="s">
        <v>254</v>
      </c>
      <c r="N311" s="13" t="s">
        <v>396</v>
      </c>
      <c r="O311" s="13">
        <v>0</v>
      </c>
      <c r="P311" s="13" t="s">
        <v>2745</v>
      </c>
      <c r="Q311" s="13" t="s">
        <v>2252</v>
      </c>
      <c r="S311" s="13" t="s">
        <v>2301</v>
      </c>
      <c r="U311" s="13" t="s">
        <v>2253</v>
      </c>
      <c r="Y311" s="13" t="s">
        <v>250</v>
      </c>
      <c r="Z311" s="13" t="s">
        <v>2254</v>
      </c>
      <c r="AA311" s="13" t="s">
        <v>251</v>
      </c>
      <c r="AB311" s="13">
        <v>0.15</v>
      </c>
      <c r="AC311" s="13">
        <v>0</v>
      </c>
      <c r="AD311" s="13">
        <v>20</v>
      </c>
      <c r="AE311" s="13">
        <v>1</v>
      </c>
      <c r="AF311" s="13" t="s">
        <v>2302</v>
      </c>
      <c r="AH311" s="13" t="s">
        <v>399</v>
      </c>
      <c r="AI311" s="13">
        <v>1000</v>
      </c>
      <c r="AK311" s="13">
        <v>32771.732641433271</v>
      </c>
      <c r="AN311" s="163" t="s">
        <v>235</v>
      </c>
      <c r="AO311" s="163">
        <v>0</v>
      </c>
      <c r="AP311" s="163" t="s">
        <v>252</v>
      </c>
      <c r="AR311" s="13">
        <v>32771.732641433271</v>
      </c>
      <c r="AS311" s="13">
        <v>9846.3982104576007</v>
      </c>
      <c r="AT311" s="13">
        <v>82249.48026186091</v>
      </c>
      <c r="AU311" s="13">
        <v>1</v>
      </c>
      <c r="AV311" s="13">
        <v>1</v>
      </c>
      <c r="AW311" s="13">
        <v>0</v>
      </c>
      <c r="AX311" s="13">
        <v>0</v>
      </c>
      <c r="AY311" s="13">
        <v>0</v>
      </c>
      <c r="AZ311" s="13">
        <v>0</v>
      </c>
      <c r="BA311" s="13">
        <v>0</v>
      </c>
      <c r="BB311" s="13">
        <v>0</v>
      </c>
      <c r="BC311" s="13">
        <v>0</v>
      </c>
      <c r="BD311" s="13">
        <v>0</v>
      </c>
      <c r="BE311" s="13">
        <v>0.6</v>
      </c>
      <c r="BF311" s="13">
        <v>0.6</v>
      </c>
      <c r="BG311" s="13">
        <v>0</v>
      </c>
      <c r="BH311" s="13">
        <v>0</v>
      </c>
      <c r="BI311" s="13">
        <v>0</v>
      </c>
      <c r="BJ311" s="13">
        <v>0</v>
      </c>
      <c r="BK311" s="13">
        <v>0</v>
      </c>
      <c r="BL311" s="13">
        <v>0</v>
      </c>
      <c r="BM311" s="13">
        <v>0</v>
      </c>
      <c r="BN311" s="13">
        <v>0</v>
      </c>
      <c r="BO311" s="13">
        <v>0</v>
      </c>
      <c r="BP311" s="13">
        <v>1</v>
      </c>
      <c r="BR311" s="13">
        <v>8</v>
      </c>
    </row>
    <row r="312" spans="1:70" s="13" customFormat="1" x14ac:dyDescent="0.15">
      <c r="B312" s="13" t="s">
        <v>2746</v>
      </c>
      <c r="C312" s="13" t="s">
        <v>2250</v>
      </c>
      <c r="E312" s="13" t="s">
        <v>2251</v>
      </c>
      <c r="G312" s="13">
        <v>1</v>
      </c>
      <c r="H312" s="13">
        <v>13</v>
      </c>
      <c r="I312" s="13" t="s">
        <v>296</v>
      </c>
      <c r="K312" s="13">
        <v>3</v>
      </c>
      <c r="L312" s="13">
        <v>1</v>
      </c>
      <c r="M312" s="13" t="s">
        <v>254</v>
      </c>
      <c r="N312" s="13" t="s">
        <v>396</v>
      </c>
      <c r="O312" s="13">
        <v>0</v>
      </c>
      <c r="P312" s="13" t="s">
        <v>2747</v>
      </c>
      <c r="Q312" s="13" t="s">
        <v>2252</v>
      </c>
      <c r="S312" s="13" t="s">
        <v>2301</v>
      </c>
      <c r="U312" s="13" t="s">
        <v>2253</v>
      </c>
      <c r="Y312" s="13" t="s">
        <v>250</v>
      </c>
      <c r="Z312" s="13" t="s">
        <v>2254</v>
      </c>
      <c r="AA312" s="13" t="s">
        <v>251</v>
      </c>
      <c r="AB312" s="13">
        <v>0.15</v>
      </c>
      <c r="AC312" s="13">
        <v>0</v>
      </c>
      <c r="AD312" s="13">
        <v>20</v>
      </c>
      <c r="AE312" s="13">
        <v>1</v>
      </c>
      <c r="AF312" s="13" t="s">
        <v>2302</v>
      </c>
      <c r="AH312" s="13" t="s">
        <v>399</v>
      </c>
      <c r="AI312" s="13">
        <v>0</v>
      </c>
      <c r="AK312" s="13">
        <v>32771.732641433271</v>
      </c>
      <c r="AN312" s="163" t="s">
        <v>235</v>
      </c>
      <c r="AO312" s="163">
        <v>0</v>
      </c>
      <c r="AP312" s="163" t="s">
        <v>252</v>
      </c>
      <c r="AR312" s="13">
        <v>32771.732641433271</v>
      </c>
      <c r="AS312" s="13">
        <v>9846.3982104576007</v>
      </c>
      <c r="AT312" s="13">
        <v>82249.48026186091</v>
      </c>
      <c r="AU312" s="13">
        <v>1</v>
      </c>
      <c r="AV312" s="13">
        <v>1</v>
      </c>
      <c r="AW312" s="13">
        <v>0</v>
      </c>
      <c r="AX312" s="13">
        <v>0</v>
      </c>
      <c r="AY312" s="13">
        <v>0</v>
      </c>
      <c r="AZ312" s="13">
        <v>0</v>
      </c>
      <c r="BA312" s="13">
        <v>0</v>
      </c>
      <c r="BB312" s="13">
        <v>0</v>
      </c>
      <c r="BC312" s="13">
        <v>0</v>
      </c>
      <c r="BD312" s="13">
        <v>0</v>
      </c>
      <c r="BE312" s="13">
        <v>0.6</v>
      </c>
      <c r="BF312" s="13">
        <v>0.6</v>
      </c>
      <c r="BG312" s="13">
        <v>0</v>
      </c>
      <c r="BH312" s="13">
        <v>0</v>
      </c>
      <c r="BI312" s="13">
        <v>0</v>
      </c>
      <c r="BJ312" s="13">
        <v>0</v>
      </c>
      <c r="BK312" s="13">
        <v>0</v>
      </c>
      <c r="BL312" s="13">
        <v>0</v>
      </c>
      <c r="BM312" s="13">
        <v>0</v>
      </c>
      <c r="BN312" s="13">
        <v>0</v>
      </c>
      <c r="BO312" s="13">
        <v>0</v>
      </c>
      <c r="BP312" s="13">
        <v>1</v>
      </c>
      <c r="BR312" s="13">
        <v>8</v>
      </c>
    </row>
    <row r="313" spans="1:70" s="13" customFormat="1" x14ac:dyDescent="0.15">
      <c r="B313" s="13" t="s">
        <v>2748</v>
      </c>
      <c r="C313" s="13" t="s">
        <v>2469</v>
      </c>
      <c r="E313" s="13" t="s">
        <v>2470</v>
      </c>
      <c r="G313" s="13">
        <v>0</v>
      </c>
      <c r="H313" s="13">
        <v>13</v>
      </c>
      <c r="I313" s="13" t="s">
        <v>397</v>
      </c>
      <c r="K313" s="13">
        <v>3</v>
      </c>
      <c r="L313" s="13">
        <v>1</v>
      </c>
      <c r="M313" s="13" t="s">
        <v>254</v>
      </c>
      <c r="N313" s="13" t="s">
        <v>396</v>
      </c>
      <c r="O313" s="13">
        <v>0</v>
      </c>
      <c r="P313" s="13" t="s">
        <v>2749</v>
      </c>
      <c r="Q313" s="13" t="s">
        <v>2472</v>
      </c>
      <c r="S313" s="13" t="s">
        <v>2473</v>
      </c>
      <c r="U313" s="13" t="s">
        <v>2474</v>
      </c>
      <c r="Y313" s="13" t="s">
        <v>250</v>
      </c>
      <c r="Z313" s="13" t="s">
        <v>2475</v>
      </c>
      <c r="AA313" s="13" t="s">
        <v>251</v>
      </c>
      <c r="AB313" s="13">
        <v>0.15</v>
      </c>
      <c r="AC313" s="13">
        <v>0</v>
      </c>
      <c r="AD313" s="13">
        <v>20</v>
      </c>
      <c r="AE313" s="13">
        <v>1</v>
      </c>
      <c r="AF313" s="13" t="s">
        <v>2476</v>
      </c>
      <c r="AH313" s="13" t="s">
        <v>399</v>
      </c>
      <c r="AI313" s="13">
        <v>1000</v>
      </c>
      <c r="AK313" s="13">
        <v>37728.253399142588</v>
      </c>
      <c r="AN313" s="163" t="s">
        <v>235</v>
      </c>
      <c r="AO313" s="163">
        <v>0</v>
      </c>
      <c r="AP313" s="163" t="s">
        <v>252</v>
      </c>
      <c r="AR313" s="13">
        <v>37728.253399142588</v>
      </c>
      <c r="AS313" s="13">
        <v>12007.80269568</v>
      </c>
      <c r="AT313" s="13">
        <v>161736.51860810135</v>
      </c>
      <c r="AU313" s="13">
        <v>1</v>
      </c>
      <c r="AV313" s="13">
        <v>1</v>
      </c>
      <c r="AW313" s="13">
        <v>0</v>
      </c>
      <c r="AX313" s="13">
        <v>0</v>
      </c>
      <c r="AY313" s="13">
        <v>0</v>
      </c>
      <c r="AZ313" s="13">
        <v>0</v>
      </c>
      <c r="BA313" s="13">
        <v>0</v>
      </c>
      <c r="BB313" s="13">
        <v>0</v>
      </c>
      <c r="BC313" s="13">
        <v>0</v>
      </c>
      <c r="BD313" s="13">
        <v>0</v>
      </c>
      <c r="BE313" s="13">
        <v>0.6</v>
      </c>
      <c r="BF313" s="13">
        <v>0.6</v>
      </c>
      <c r="BG313" s="13">
        <v>0</v>
      </c>
      <c r="BH313" s="13">
        <v>0</v>
      </c>
      <c r="BI313" s="13">
        <v>0</v>
      </c>
      <c r="BJ313" s="13">
        <v>0</v>
      </c>
      <c r="BK313" s="13">
        <v>0</v>
      </c>
      <c r="BL313" s="13">
        <v>0</v>
      </c>
      <c r="BM313" s="13">
        <v>0</v>
      </c>
      <c r="BN313" s="13">
        <v>0</v>
      </c>
      <c r="BO313" s="13">
        <v>0</v>
      </c>
      <c r="BP313" s="13">
        <v>1</v>
      </c>
      <c r="BR313" s="13">
        <v>13</v>
      </c>
    </row>
    <row r="314" spans="1:70" s="13" customFormat="1" x14ac:dyDescent="0.15">
      <c r="B314" s="13" t="s">
        <v>2750</v>
      </c>
      <c r="C314" s="13" t="s">
        <v>2447</v>
      </c>
      <c r="E314" s="13" t="s">
        <v>2448</v>
      </c>
      <c r="G314" s="13">
        <v>0</v>
      </c>
      <c r="H314" s="13">
        <v>13</v>
      </c>
      <c r="I314" s="13" t="s">
        <v>397</v>
      </c>
      <c r="K314" s="13">
        <v>3</v>
      </c>
      <c r="L314" s="13">
        <v>1</v>
      </c>
      <c r="M314" s="13" t="s">
        <v>254</v>
      </c>
      <c r="N314" s="13" t="s">
        <v>396</v>
      </c>
      <c r="O314" s="13">
        <v>0</v>
      </c>
      <c r="P314" s="13" t="s">
        <v>2751</v>
      </c>
      <c r="Q314" s="13" t="s">
        <v>2450</v>
      </c>
      <c r="S314" s="13" t="s">
        <v>2451</v>
      </c>
      <c r="U314" s="13" t="s">
        <v>2452</v>
      </c>
      <c r="Y314" s="13" t="s">
        <v>250</v>
      </c>
      <c r="Z314" s="13" t="s">
        <v>2453</v>
      </c>
      <c r="AA314" s="13" t="s">
        <v>251</v>
      </c>
      <c r="AB314" s="13">
        <v>0.15</v>
      </c>
      <c r="AC314" s="13">
        <v>0</v>
      </c>
      <c r="AD314" s="13">
        <v>20</v>
      </c>
      <c r="AE314" s="13">
        <v>1</v>
      </c>
      <c r="AF314" s="13" t="s">
        <v>2454</v>
      </c>
      <c r="AH314" s="13" t="s">
        <v>399</v>
      </c>
      <c r="AI314" s="13">
        <v>0</v>
      </c>
      <c r="AK314" s="13">
        <v>44934.77371133837</v>
      </c>
      <c r="AN314" s="163" t="s">
        <v>235</v>
      </c>
      <c r="AO314" s="163">
        <v>0</v>
      </c>
      <c r="AP314" s="163" t="s">
        <v>252</v>
      </c>
      <c r="AR314" s="13">
        <v>44934.77371133837</v>
      </c>
      <c r="AS314" s="13">
        <v>12007.80269568</v>
      </c>
      <c r="AT314" s="13">
        <v>186242.05173054093</v>
      </c>
      <c r="AU314" s="13">
        <v>1</v>
      </c>
      <c r="AV314" s="13">
        <v>1</v>
      </c>
      <c r="AW314" s="13">
        <v>0</v>
      </c>
      <c r="AX314" s="13">
        <v>0</v>
      </c>
      <c r="AY314" s="13">
        <v>0</v>
      </c>
      <c r="AZ314" s="13">
        <v>0</v>
      </c>
      <c r="BA314" s="13">
        <v>0</v>
      </c>
      <c r="BB314" s="13">
        <v>0</v>
      </c>
      <c r="BC314" s="13">
        <v>0</v>
      </c>
      <c r="BD314" s="13">
        <v>0</v>
      </c>
      <c r="BE314" s="13">
        <v>0.3</v>
      </c>
      <c r="BF314" s="13">
        <v>0.3</v>
      </c>
      <c r="BG314" s="13">
        <v>0</v>
      </c>
      <c r="BH314" s="13">
        <v>0</v>
      </c>
      <c r="BI314" s="13">
        <v>0</v>
      </c>
      <c r="BJ314" s="13">
        <v>0</v>
      </c>
      <c r="BK314" s="13">
        <v>0</v>
      </c>
      <c r="BL314" s="13">
        <v>0</v>
      </c>
      <c r="BM314" s="13">
        <v>0</v>
      </c>
      <c r="BN314" s="13">
        <v>0</v>
      </c>
      <c r="BO314" s="13">
        <v>0</v>
      </c>
      <c r="BP314" s="13">
        <v>1</v>
      </c>
      <c r="BR314" s="13">
        <v>16</v>
      </c>
    </row>
    <row r="315" spans="1:70" s="13" customFormat="1" x14ac:dyDescent="0.15">
      <c r="B315" s="13" t="s">
        <v>2752</v>
      </c>
      <c r="C315" s="13" t="s">
        <v>1163</v>
      </c>
      <c r="E315" s="13" t="s">
        <v>1164</v>
      </c>
      <c r="G315" s="13">
        <v>0</v>
      </c>
      <c r="H315" s="13">
        <v>13</v>
      </c>
      <c r="I315" s="13" t="s">
        <v>296</v>
      </c>
      <c r="K315" s="13">
        <v>3</v>
      </c>
      <c r="L315" s="13">
        <v>1</v>
      </c>
      <c r="M315" s="13" t="s">
        <v>254</v>
      </c>
      <c r="N315" s="13" t="s">
        <v>396</v>
      </c>
      <c r="O315" s="13">
        <v>0</v>
      </c>
      <c r="P315" s="13" t="s">
        <v>2753</v>
      </c>
      <c r="Q315" s="13" t="s">
        <v>1165</v>
      </c>
      <c r="S315" s="13" t="s">
        <v>1166</v>
      </c>
      <c r="U315" s="13" t="s">
        <v>1167</v>
      </c>
      <c r="Y315" s="13" t="s">
        <v>3303</v>
      </c>
      <c r="Z315" s="13" t="s">
        <v>444</v>
      </c>
      <c r="AA315" s="13" t="s">
        <v>251</v>
      </c>
      <c r="AB315" s="13">
        <v>0.15</v>
      </c>
      <c r="AC315" s="13">
        <v>0</v>
      </c>
      <c r="AD315" s="13">
        <v>20</v>
      </c>
      <c r="AE315" s="13">
        <v>1</v>
      </c>
      <c r="AF315" s="13" t="s">
        <v>1169</v>
      </c>
      <c r="AH315" s="13" t="s">
        <v>399</v>
      </c>
      <c r="AI315" s="13">
        <v>300</v>
      </c>
      <c r="AK315" s="13">
        <v>54293.467510434231</v>
      </c>
      <c r="AN315" s="163" t="s">
        <v>235</v>
      </c>
      <c r="AO315" s="163">
        <v>0</v>
      </c>
      <c r="AP315" s="163" t="s">
        <v>252</v>
      </c>
      <c r="AR315" s="13">
        <v>54293.467510434231</v>
      </c>
      <c r="AS315" s="13">
        <v>9846.3982104576007</v>
      </c>
      <c r="AT315" s="13">
        <v>120210.77884425824</v>
      </c>
      <c r="AU315" s="13">
        <v>1</v>
      </c>
      <c r="AV315" s="13">
        <v>1</v>
      </c>
      <c r="AW315" s="13">
        <v>0</v>
      </c>
      <c r="AX315" s="13">
        <v>0</v>
      </c>
      <c r="AY315" s="13">
        <v>0</v>
      </c>
      <c r="AZ315" s="13">
        <v>0</v>
      </c>
      <c r="BA315" s="13">
        <v>0</v>
      </c>
      <c r="BB315" s="13">
        <v>0</v>
      </c>
      <c r="BC315" s="13">
        <v>0</v>
      </c>
      <c r="BD315" s="13">
        <v>0</v>
      </c>
      <c r="BE315" s="13">
        <v>0.3</v>
      </c>
      <c r="BF315" s="13">
        <v>0.3</v>
      </c>
      <c r="BG315" s="13">
        <v>0</v>
      </c>
      <c r="BH315" s="13">
        <v>0</v>
      </c>
      <c r="BI315" s="13">
        <v>0</v>
      </c>
      <c r="BJ315" s="13">
        <v>0</v>
      </c>
      <c r="BK315" s="13">
        <v>0</v>
      </c>
      <c r="BL315" s="13">
        <v>0</v>
      </c>
      <c r="BM315" s="13">
        <v>0</v>
      </c>
      <c r="BN315" s="13">
        <v>0</v>
      </c>
      <c r="BO315" s="13">
        <v>0</v>
      </c>
      <c r="BP315" s="13">
        <v>1</v>
      </c>
      <c r="BQ315" s="11" t="s">
        <v>2337</v>
      </c>
      <c r="BR315" s="13">
        <v>17</v>
      </c>
    </row>
    <row r="316" spans="1:70" s="13" customFormat="1" x14ac:dyDescent="0.15">
      <c r="B316" s="13" t="s">
        <v>2754</v>
      </c>
      <c r="C316" s="13" t="s">
        <v>2447</v>
      </c>
      <c r="E316" s="13" t="s">
        <v>2448</v>
      </c>
      <c r="G316" s="13">
        <v>0</v>
      </c>
      <c r="H316" s="13">
        <v>13</v>
      </c>
      <c r="I316" s="13" t="s">
        <v>397</v>
      </c>
      <c r="K316" s="13">
        <v>3</v>
      </c>
      <c r="L316" s="13">
        <v>1</v>
      </c>
      <c r="M316" s="13" t="s">
        <v>254</v>
      </c>
      <c r="N316" s="13" t="s">
        <v>396</v>
      </c>
      <c r="O316" s="13">
        <v>0</v>
      </c>
      <c r="P316" s="13" t="s">
        <v>2755</v>
      </c>
      <c r="Q316" s="13" t="s">
        <v>2450</v>
      </c>
      <c r="S316" s="13" t="s">
        <v>2451</v>
      </c>
      <c r="U316" s="13" t="s">
        <v>2452</v>
      </c>
      <c r="Y316" s="13" t="s">
        <v>250</v>
      </c>
      <c r="Z316" s="13" t="s">
        <v>2453</v>
      </c>
      <c r="AA316" s="13" t="s">
        <v>251</v>
      </c>
      <c r="AB316" s="13">
        <v>0.15</v>
      </c>
      <c r="AC316" s="13">
        <v>0</v>
      </c>
      <c r="AD316" s="13">
        <v>20</v>
      </c>
      <c r="AE316" s="13">
        <v>1</v>
      </c>
      <c r="AF316" s="13" t="s">
        <v>2454</v>
      </c>
      <c r="AH316" s="13" t="s">
        <v>399</v>
      </c>
      <c r="AI316" s="13">
        <v>680</v>
      </c>
      <c r="AK316" s="13">
        <v>44934.77371133837</v>
      </c>
      <c r="AN316" s="163" t="s">
        <v>235</v>
      </c>
      <c r="AO316" s="163">
        <v>0</v>
      </c>
      <c r="AP316" s="163" t="s">
        <v>252</v>
      </c>
      <c r="AR316" s="13">
        <v>44934.77371133837</v>
      </c>
      <c r="AS316" s="13">
        <v>12007.80269568</v>
      </c>
      <c r="AT316" s="13">
        <v>186242.05173054093</v>
      </c>
      <c r="AU316" s="13">
        <v>1</v>
      </c>
      <c r="AV316" s="13">
        <v>1</v>
      </c>
      <c r="AW316" s="13">
        <v>0</v>
      </c>
      <c r="AX316" s="13">
        <v>0</v>
      </c>
      <c r="AY316" s="13">
        <v>0</v>
      </c>
      <c r="AZ316" s="13">
        <v>0</v>
      </c>
      <c r="BA316" s="13">
        <v>0</v>
      </c>
      <c r="BB316" s="13">
        <v>0</v>
      </c>
      <c r="BC316" s="13">
        <v>0</v>
      </c>
      <c r="BD316" s="13">
        <v>0</v>
      </c>
      <c r="BE316" s="13">
        <v>0.3</v>
      </c>
      <c r="BF316" s="13">
        <v>0.3</v>
      </c>
      <c r="BG316" s="13">
        <v>0</v>
      </c>
      <c r="BH316" s="13">
        <v>0</v>
      </c>
      <c r="BI316" s="13">
        <v>0</v>
      </c>
      <c r="BJ316" s="13">
        <v>0</v>
      </c>
      <c r="BK316" s="13">
        <v>0</v>
      </c>
      <c r="BL316" s="13">
        <v>0</v>
      </c>
      <c r="BM316" s="13">
        <v>0</v>
      </c>
      <c r="BN316" s="13">
        <v>0</v>
      </c>
      <c r="BO316" s="13">
        <v>0</v>
      </c>
      <c r="BP316" s="13">
        <v>1</v>
      </c>
      <c r="BR316" s="13">
        <v>16</v>
      </c>
    </row>
    <row r="317" spans="1:70" s="13" customFormat="1" x14ac:dyDescent="0.15">
      <c r="B317" s="13" t="s">
        <v>2054</v>
      </c>
      <c r="C317" s="13" t="s">
        <v>2380</v>
      </c>
      <c r="E317" s="13" t="s">
        <v>2381</v>
      </c>
      <c r="G317" s="13">
        <v>0</v>
      </c>
      <c r="H317" s="13">
        <v>14</v>
      </c>
      <c r="I317" s="13" t="s">
        <v>401</v>
      </c>
      <c r="K317" s="13">
        <v>3</v>
      </c>
      <c r="L317" s="13">
        <v>1</v>
      </c>
      <c r="M317" s="13" t="s">
        <v>254</v>
      </c>
      <c r="N317" s="13" t="s">
        <v>396</v>
      </c>
      <c r="O317" s="13">
        <v>0</v>
      </c>
      <c r="P317" s="13" t="s">
        <v>2055</v>
      </c>
      <c r="Q317" s="13" t="s">
        <v>2383</v>
      </c>
      <c r="S317" s="13" t="s">
        <v>2384</v>
      </c>
      <c r="U317" s="13" t="s">
        <v>2385</v>
      </c>
      <c r="Y317" s="13" t="s">
        <v>250</v>
      </c>
      <c r="Z317" s="13" t="s">
        <v>2386</v>
      </c>
      <c r="AA317" s="13" t="s">
        <v>251</v>
      </c>
      <c r="AB317" s="13">
        <v>0.15</v>
      </c>
      <c r="AC317" s="13">
        <v>0</v>
      </c>
      <c r="AD317" s="13">
        <v>20</v>
      </c>
      <c r="AE317" s="13">
        <v>1</v>
      </c>
      <c r="AF317" s="13" t="s">
        <v>2387</v>
      </c>
      <c r="AH317" s="13" t="s">
        <v>399</v>
      </c>
      <c r="AI317" s="13">
        <v>800</v>
      </c>
      <c r="AK317" s="13">
        <v>57391.292984002561</v>
      </c>
      <c r="AN317" s="163" t="s">
        <v>235</v>
      </c>
      <c r="AO317" s="163">
        <v>0</v>
      </c>
      <c r="AP317" s="163" t="s">
        <v>252</v>
      </c>
      <c r="AR317" s="13">
        <v>57391.292984002561</v>
      </c>
      <c r="AS317" s="13">
        <v>12007.80269568</v>
      </c>
      <c r="AT317" s="13">
        <v>154402.29343801786</v>
      </c>
      <c r="AU317" s="13">
        <v>1</v>
      </c>
      <c r="AV317" s="13">
        <v>1</v>
      </c>
      <c r="AW317" s="13">
        <v>0</v>
      </c>
      <c r="AX317" s="13">
        <v>0</v>
      </c>
      <c r="AY317" s="13">
        <v>0</v>
      </c>
      <c r="AZ317" s="13">
        <v>0</v>
      </c>
      <c r="BA317" s="13">
        <v>0</v>
      </c>
      <c r="BB317" s="13">
        <v>0</v>
      </c>
      <c r="BC317" s="13">
        <v>0</v>
      </c>
      <c r="BD317" s="13">
        <v>0</v>
      </c>
      <c r="BE317" s="13">
        <v>0.3</v>
      </c>
      <c r="BF317" s="13">
        <v>0.3</v>
      </c>
      <c r="BG317" s="13">
        <v>0</v>
      </c>
      <c r="BH317" s="13">
        <v>0</v>
      </c>
      <c r="BI317" s="13">
        <v>0</v>
      </c>
      <c r="BJ317" s="13">
        <v>0</v>
      </c>
      <c r="BK317" s="13">
        <v>0</v>
      </c>
      <c r="BL317" s="13">
        <v>0</v>
      </c>
      <c r="BM317" s="13">
        <v>0</v>
      </c>
      <c r="BN317" s="13">
        <v>0</v>
      </c>
      <c r="BO317" s="13">
        <v>0</v>
      </c>
      <c r="BP317" s="13">
        <v>1</v>
      </c>
      <c r="BR317" s="13">
        <v>20</v>
      </c>
    </row>
    <row r="318" spans="1:70" s="13" customFormat="1" x14ac:dyDescent="0.15">
      <c r="B318" s="13" t="s">
        <v>2756</v>
      </c>
      <c r="C318" s="13" t="s">
        <v>862</v>
      </c>
      <c r="E318" s="13" t="s">
        <v>863</v>
      </c>
      <c r="G318" s="13">
        <v>0</v>
      </c>
      <c r="H318" s="13">
        <v>13</v>
      </c>
      <c r="I318" s="13" t="s">
        <v>296</v>
      </c>
      <c r="K318" s="13">
        <v>3</v>
      </c>
      <c r="L318" s="13">
        <v>1</v>
      </c>
      <c r="M318" s="13" t="s">
        <v>254</v>
      </c>
      <c r="N318" s="13" t="s">
        <v>396</v>
      </c>
      <c r="O318" s="13">
        <v>0</v>
      </c>
      <c r="P318" s="13" t="s">
        <v>2757</v>
      </c>
      <c r="Q318" s="13" t="s">
        <v>864</v>
      </c>
      <c r="S318" s="13" t="s">
        <v>865</v>
      </c>
      <c r="U318" s="13" t="s">
        <v>866</v>
      </c>
      <c r="Y318" s="13" t="s">
        <v>250</v>
      </c>
      <c r="Z318" s="13" t="s">
        <v>867</v>
      </c>
      <c r="AA318" s="13" t="s">
        <v>251</v>
      </c>
      <c r="AB318" s="13">
        <v>0.15</v>
      </c>
      <c r="AC318" s="13">
        <v>40</v>
      </c>
      <c r="AD318" s="13">
        <v>20</v>
      </c>
      <c r="AE318" s="13">
        <v>1</v>
      </c>
      <c r="AF318" s="13" t="s">
        <v>1005</v>
      </c>
      <c r="AH318" s="13" t="s">
        <v>399</v>
      </c>
      <c r="AI318" s="13">
        <v>0</v>
      </c>
      <c r="AK318" s="13">
        <v>46467.382103524789</v>
      </c>
      <c r="AN318" s="163" t="s">
        <v>235</v>
      </c>
      <c r="AO318" s="163">
        <v>0</v>
      </c>
      <c r="AP318" s="163" t="s">
        <v>252</v>
      </c>
      <c r="AR318" s="13">
        <v>46467.382103524789</v>
      </c>
      <c r="AS318" s="13">
        <v>9846.3982104576007</v>
      </c>
      <c r="AT318" s="13">
        <v>105081.2757860564</v>
      </c>
      <c r="AU318" s="13">
        <v>1</v>
      </c>
      <c r="AV318" s="13">
        <v>1</v>
      </c>
      <c r="AW318" s="13">
        <v>0</v>
      </c>
      <c r="AX318" s="13">
        <v>0</v>
      </c>
      <c r="AY318" s="13">
        <v>0</v>
      </c>
      <c r="AZ318" s="13">
        <v>0</v>
      </c>
      <c r="BA318" s="13">
        <v>0</v>
      </c>
      <c r="BB318" s="13">
        <v>0</v>
      </c>
      <c r="BC318" s="13">
        <v>0</v>
      </c>
      <c r="BD318" s="13">
        <v>0</v>
      </c>
      <c r="BE318" s="13">
        <v>0.3</v>
      </c>
      <c r="BF318" s="13">
        <v>0.3</v>
      </c>
      <c r="BG318" s="13">
        <v>0</v>
      </c>
      <c r="BH318" s="13">
        <v>0</v>
      </c>
      <c r="BI318" s="13">
        <v>0</v>
      </c>
      <c r="BJ318" s="13">
        <v>0</v>
      </c>
      <c r="BK318" s="13">
        <v>0</v>
      </c>
      <c r="BL318" s="13">
        <v>0</v>
      </c>
      <c r="BM318" s="13">
        <v>0</v>
      </c>
      <c r="BN318" s="13">
        <v>0</v>
      </c>
      <c r="BO318" s="13">
        <v>0</v>
      </c>
      <c r="BP318" s="13">
        <v>1</v>
      </c>
      <c r="BR318" s="13">
        <v>14</v>
      </c>
    </row>
    <row r="319" spans="1:70" s="13" customFormat="1" x14ac:dyDescent="0.15">
      <c r="B319" s="13" t="s">
        <v>2758</v>
      </c>
      <c r="C319" s="13" t="s">
        <v>931</v>
      </c>
      <c r="E319" s="13" t="s">
        <v>932</v>
      </c>
      <c r="G319" s="13">
        <v>0</v>
      </c>
      <c r="H319" s="13">
        <v>12</v>
      </c>
      <c r="I319" s="13" t="s">
        <v>296</v>
      </c>
      <c r="K319" s="13">
        <v>3</v>
      </c>
      <c r="L319" s="13">
        <v>1</v>
      </c>
      <c r="M319" s="13" t="s">
        <v>254</v>
      </c>
      <c r="N319" s="13" t="s">
        <v>396</v>
      </c>
      <c r="O319" s="13">
        <v>0</v>
      </c>
      <c r="P319" s="13" t="s">
        <v>2759</v>
      </c>
      <c r="Q319" s="13" t="s">
        <v>933</v>
      </c>
      <c r="S319" s="13" t="s">
        <v>934</v>
      </c>
      <c r="U319" s="13" t="s">
        <v>935</v>
      </c>
      <c r="Y319" s="13" t="s">
        <v>250</v>
      </c>
      <c r="Z319" s="13" t="s">
        <v>936</v>
      </c>
      <c r="AA319" s="13" t="s">
        <v>251</v>
      </c>
      <c r="AB319" s="13">
        <v>0.15</v>
      </c>
      <c r="AC319" s="13">
        <v>0</v>
      </c>
      <c r="AD319" s="13">
        <v>20</v>
      </c>
      <c r="AE319" s="13">
        <v>1</v>
      </c>
      <c r="AF319" s="13" t="s">
        <v>1020</v>
      </c>
      <c r="AH319" s="13" t="s">
        <v>399</v>
      </c>
      <c r="AI319" s="13">
        <v>0</v>
      </c>
      <c r="AK319" s="13">
        <v>46467.382103524789</v>
      </c>
      <c r="AN319" s="163" t="s">
        <v>235</v>
      </c>
      <c r="AO319" s="163">
        <v>0</v>
      </c>
      <c r="AP319" s="163" t="s">
        <v>252</v>
      </c>
      <c r="AR319" s="13">
        <v>46467.382103524789</v>
      </c>
      <c r="AS319" s="13">
        <v>9846.3982104576007</v>
      </c>
      <c r="AT319" s="13">
        <v>105081.2757860564</v>
      </c>
      <c r="AU319" s="13">
        <v>1</v>
      </c>
      <c r="AV319" s="13">
        <v>1</v>
      </c>
      <c r="AW319" s="13">
        <v>0</v>
      </c>
      <c r="AX319" s="13">
        <v>0</v>
      </c>
      <c r="AY319" s="13">
        <v>0</v>
      </c>
      <c r="AZ319" s="13">
        <v>0</v>
      </c>
      <c r="BA319" s="13">
        <v>0</v>
      </c>
      <c r="BB319" s="13">
        <v>0</v>
      </c>
      <c r="BC319" s="13">
        <v>0</v>
      </c>
      <c r="BD319" s="13">
        <v>0</v>
      </c>
      <c r="BE319" s="13">
        <v>0.3</v>
      </c>
      <c r="BF319" s="13">
        <v>0.3</v>
      </c>
      <c r="BG319" s="13">
        <v>0</v>
      </c>
      <c r="BH319" s="13">
        <v>0</v>
      </c>
      <c r="BI319" s="13">
        <v>0</v>
      </c>
      <c r="BJ319" s="13">
        <v>0</v>
      </c>
      <c r="BK319" s="13">
        <v>0</v>
      </c>
      <c r="BL319" s="13">
        <v>0</v>
      </c>
      <c r="BM319" s="13">
        <v>0</v>
      </c>
      <c r="BN319" s="13">
        <v>0</v>
      </c>
      <c r="BO319" s="13">
        <v>0</v>
      </c>
      <c r="BP319" s="13">
        <v>1</v>
      </c>
      <c r="BR319" s="13">
        <v>14</v>
      </c>
    </row>
    <row r="320" spans="1:70" s="13" customFormat="1" x14ac:dyDescent="0.15">
      <c r="B320" s="13" t="s">
        <v>2760</v>
      </c>
      <c r="C320" s="13" t="s">
        <v>862</v>
      </c>
      <c r="E320" s="13" t="s">
        <v>863</v>
      </c>
      <c r="G320" s="13">
        <v>0</v>
      </c>
      <c r="H320" s="13">
        <v>13</v>
      </c>
      <c r="I320" s="13" t="s">
        <v>296</v>
      </c>
      <c r="K320" s="13">
        <v>3</v>
      </c>
      <c r="L320" s="13">
        <v>1</v>
      </c>
      <c r="M320" s="13" t="s">
        <v>254</v>
      </c>
      <c r="N320" s="13" t="s">
        <v>396</v>
      </c>
      <c r="O320" s="13">
        <v>0</v>
      </c>
      <c r="P320" s="13" t="s">
        <v>2761</v>
      </c>
      <c r="Q320" s="13" t="s">
        <v>864</v>
      </c>
      <c r="S320" s="13" t="s">
        <v>865</v>
      </c>
      <c r="U320" s="13" t="s">
        <v>866</v>
      </c>
      <c r="Y320" s="13" t="s">
        <v>250</v>
      </c>
      <c r="Z320" s="13" t="s">
        <v>867</v>
      </c>
      <c r="AA320" s="13" t="s">
        <v>251</v>
      </c>
      <c r="AB320" s="13">
        <v>0.15</v>
      </c>
      <c r="AC320" s="13">
        <v>0</v>
      </c>
      <c r="AD320" s="13">
        <v>20</v>
      </c>
      <c r="AE320" s="13">
        <v>1</v>
      </c>
      <c r="AF320" s="13" t="s">
        <v>1005</v>
      </c>
      <c r="AH320" s="13" t="s">
        <v>399</v>
      </c>
      <c r="AI320" s="13">
        <v>1000</v>
      </c>
      <c r="AK320" s="13">
        <v>46467.382103524789</v>
      </c>
      <c r="AN320" s="163" t="s">
        <v>235</v>
      </c>
      <c r="AO320" s="163">
        <v>0</v>
      </c>
      <c r="AP320" s="163" t="s">
        <v>252</v>
      </c>
      <c r="AR320" s="13">
        <v>46467.382103524789</v>
      </c>
      <c r="AS320" s="13">
        <v>9846.3982104576007</v>
      </c>
      <c r="AT320" s="13">
        <v>105081.2757860564</v>
      </c>
      <c r="AU320" s="13">
        <v>1</v>
      </c>
      <c r="AV320" s="13">
        <v>1</v>
      </c>
      <c r="AW320" s="13">
        <v>0</v>
      </c>
      <c r="AX320" s="13">
        <v>0</v>
      </c>
      <c r="AY320" s="13">
        <v>0</v>
      </c>
      <c r="AZ320" s="13">
        <v>0</v>
      </c>
      <c r="BA320" s="13">
        <v>0</v>
      </c>
      <c r="BB320" s="13">
        <v>0</v>
      </c>
      <c r="BC320" s="13">
        <v>0</v>
      </c>
      <c r="BD320" s="13">
        <v>0</v>
      </c>
      <c r="BE320" s="13">
        <v>0.3</v>
      </c>
      <c r="BF320" s="13">
        <v>0.3</v>
      </c>
      <c r="BG320" s="13">
        <v>0</v>
      </c>
      <c r="BH320" s="13">
        <v>0</v>
      </c>
      <c r="BI320" s="13">
        <v>0</v>
      </c>
      <c r="BJ320" s="13">
        <v>0</v>
      </c>
      <c r="BK320" s="13">
        <v>0</v>
      </c>
      <c r="BL320" s="13">
        <v>0</v>
      </c>
      <c r="BM320" s="13">
        <v>0</v>
      </c>
      <c r="BN320" s="13">
        <v>0</v>
      </c>
      <c r="BO320" s="13">
        <v>0</v>
      </c>
      <c r="BP320" s="13">
        <v>1</v>
      </c>
      <c r="BR320" s="13">
        <v>14</v>
      </c>
    </row>
    <row r="321" spans="1:70" s="13" customFormat="1" x14ac:dyDescent="0.15">
      <c r="B321" s="13" t="s">
        <v>2056</v>
      </c>
      <c r="C321" s="13" t="s">
        <v>924</v>
      </c>
      <c r="E321" s="13" t="s">
        <v>925</v>
      </c>
      <c r="G321" s="13">
        <v>0</v>
      </c>
      <c r="H321" s="13">
        <v>13</v>
      </c>
      <c r="I321" s="13" t="s">
        <v>296</v>
      </c>
      <c r="K321" s="13">
        <v>3</v>
      </c>
      <c r="L321" s="13">
        <v>1</v>
      </c>
      <c r="M321" s="13" t="s">
        <v>254</v>
      </c>
      <c r="N321" s="13" t="s">
        <v>396</v>
      </c>
      <c r="O321" s="13">
        <v>0</v>
      </c>
      <c r="P321" s="13" t="s">
        <v>2057</v>
      </c>
      <c r="Q321" s="13" t="s">
        <v>926</v>
      </c>
      <c r="S321" s="13" t="s">
        <v>927</v>
      </c>
      <c r="U321" s="13" t="s">
        <v>928</v>
      </c>
      <c r="Y321" s="13" t="s">
        <v>250</v>
      </c>
      <c r="Z321" s="13" t="s">
        <v>929</v>
      </c>
      <c r="AA321" s="13" t="s">
        <v>251</v>
      </c>
      <c r="AB321" s="13">
        <v>0.15</v>
      </c>
      <c r="AC321" s="13">
        <v>0</v>
      </c>
      <c r="AD321" s="13">
        <v>20</v>
      </c>
      <c r="AE321" s="13">
        <v>1</v>
      </c>
      <c r="AF321" s="13" t="s">
        <v>1018</v>
      </c>
      <c r="AH321" s="13" t="s">
        <v>399</v>
      </c>
      <c r="AI321" s="13">
        <v>1000</v>
      </c>
      <c r="AK321" s="13">
        <v>51847.815820775031</v>
      </c>
      <c r="AN321" s="163" t="s">
        <v>235</v>
      </c>
      <c r="AO321" s="163">
        <v>0</v>
      </c>
      <c r="AP321" s="163" t="s">
        <v>252</v>
      </c>
      <c r="AR321" s="13">
        <v>51847.815820775031</v>
      </c>
      <c r="AS321" s="13">
        <v>9846.3982104576007</v>
      </c>
      <c r="AT321" s="13">
        <v>114984.22324233396</v>
      </c>
      <c r="AU321" s="13">
        <v>1</v>
      </c>
      <c r="AV321" s="13">
        <v>1</v>
      </c>
      <c r="AW321" s="13">
        <v>0</v>
      </c>
      <c r="AX321" s="13">
        <v>0</v>
      </c>
      <c r="AY321" s="13">
        <v>0</v>
      </c>
      <c r="AZ321" s="13">
        <v>0</v>
      </c>
      <c r="BA321" s="13">
        <v>0</v>
      </c>
      <c r="BB321" s="13">
        <v>0</v>
      </c>
      <c r="BC321" s="13">
        <v>0</v>
      </c>
      <c r="BD321" s="13">
        <v>0</v>
      </c>
      <c r="BE321" s="13">
        <v>0.3</v>
      </c>
      <c r="BF321" s="13">
        <v>0.3</v>
      </c>
      <c r="BG321" s="13">
        <v>0</v>
      </c>
      <c r="BH321" s="13">
        <v>0</v>
      </c>
      <c r="BI321" s="13">
        <v>0</v>
      </c>
      <c r="BJ321" s="13">
        <v>0</v>
      </c>
      <c r="BK321" s="13">
        <v>0</v>
      </c>
      <c r="BL321" s="13">
        <v>0</v>
      </c>
      <c r="BM321" s="13">
        <v>0</v>
      </c>
      <c r="BN321" s="13">
        <v>0</v>
      </c>
      <c r="BO321" s="13">
        <v>0</v>
      </c>
      <c r="BP321" s="13">
        <v>1</v>
      </c>
      <c r="BR321" s="13">
        <v>16</v>
      </c>
    </row>
    <row r="322" spans="1:70" s="13" customFormat="1" x14ac:dyDescent="0.15">
      <c r="B322" s="13" t="s">
        <v>2058</v>
      </c>
      <c r="C322" s="13" t="s">
        <v>881</v>
      </c>
      <c r="E322" s="13" t="s">
        <v>726</v>
      </c>
      <c r="G322" s="13">
        <v>0</v>
      </c>
      <c r="H322" s="13">
        <v>12</v>
      </c>
      <c r="I322" s="13" t="s">
        <v>400</v>
      </c>
      <c r="K322" s="13">
        <v>3</v>
      </c>
      <c r="L322" s="13">
        <v>1</v>
      </c>
      <c r="M322" s="13" t="s">
        <v>254</v>
      </c>
      <c r="N322" s="13" t="s">
        <v>396</v>
      </c>
      <c r="O322" s="13">
        <v>0</v>
      </c>
      <c r="P322" s="13" t="s">
        <v>2059</v>
      </c>
      <c r="Q322" s="13" t="s">
        <v>727</v>
      </c>
      <c r="S322" s="13" t="s">
        <v>728</v>
      </c>
      <c r="U322" s="13" t="s">
        <v>729</v>
      </c>
      <c r="Y322" s="13" t="s">
        <v>250</v>
      </c>
      <c r="Z322" s="13" t="s">
        <v>730</v>
      </c>
      <c r="AA322" s="13" t="s">
        <v>251</v>
      </c>
      <c r="AB322" s="13">
        <v>0.15</v>
      </c>
      <c r="AC322" s="13">
        <v>40</v>
      </c>
      <c r="AD322" s="13">
        <v>20</v>
      </c>
      <c r="AE322" s="13">
        <v>1</v>
      </c>
      <c r="AF322" s="13" t="s">
        <v>1009</v>
      </c>
      <c r="AH322" s="13" t="s">
        <v>399</v>
      </c>
      <c r="AI322" s="13">
        <v>0</v>
      </c>
      <c r="AK322" s="13">
        <v>20482.332900895799</v>
      </c>
      <c r="AN322" s="163" t="s">
        <v>235</v>
      </c>
      <c r="AO322" s="163">
        <v>0</v>
      </c>
      <c r="AP322" s="163" t="s">
        <v>252</v>
      </c>
      <c r="AR322" s="13">
        <v>20482.332900895799</v>
      </c>
      <c r="AS322" s="13">
        <v>14169.2071809024</v>
      </c>
      <c r="AT322" s="13">
        <v>163340.51713975196</v>
      </c>
      <c r="AU322" s="13">
        <v>1</v>
      </c>
      <c r="AV322" s="13">
        <v>1</v>
      </c>
      <c r="AW322" s="13">
        <v>0</v>
      </c>
      <c r="AX322" s="13">
        <v>0</v>
      </c>
      <c r="AY322" s="13">
        <v>0</v>
      </c>
      <c r="AZ322" s="13">
        <v>0</v>
      </c>
      <c r="BA322" s="13">
        <v>0</v>
      </c>
      <c r="BB322" s="13">
        <v>0</v>
      </c>
      <c r="BC322" s="13">
        <v>0</v>
      </c>
      <c r="BD322" s="13">
        <v>0</v>
      </c>
      <c r="BE322" s="13">
        <v>0.3</v>
      </c>
      <c r="BF322" s="13">
        <v>0.3</v>
      </c>
      <c r="BG322" s="13">
        <v>0</v>
      </c>
      <c r="BH322" s="13">
        <v>0</v>
      </c>
      <c r="BI322" s="13">
        <v>0</v>
      </c>
      <c r="BJ322" s="13">
        <v>0</v>
      </c>
      <c r="BK322" s="13">
        <v>0</v>
      </c>
      <c r="BL322" s="13">
        <v>0</v>
      </c>
      <c r="BM322" s="13">
        <v>0</v>
      </c>
      <c r="BN322" s="13">
        <v>0</v>
      </c>
      <c r="BO322" s="13">
        <v>0</v>
      </c>
      <c r="BP322" s="13">
        <v>1</v>
      </c>
      <c r="BR322" s="13">
        <v>8</v>
      </c>
    </row>
    <row r="323" spans="1:70" s="13" customFormat="1" x14ac:dyDescent="0.15">
      <c r="B323" s="13" t="s">
        <v>2060</v>
      </c>
      <c r="C323" s="13" t="s">
        <v>2762</v>
      </c>
      <c r="E323" s="13" t="s">
        <v>2763</v>
      </c>
      <c r="G323" s="13">
        <v>0</v>
      </c>
      <c r="H323" s="13">
        <v>14</v>
      </c>
      <c r="I323" s="13" t="s">
        <v>890</v>
      </c>
      <c r="K323" s="13">
        <v>3</v>
      </c>
      <c r="L323" s="13">
        <v>1</v>
      </c>
      <c r="M323" s="13" t="s">
        <v>254</v>
      </c>
      <c r="N323" s="13" t="s">
        <v>396</v>
      </c>
      <c r="O323" s="13">
        <v>0</v>
      </c>
      <c r="P323" s="13" t="s">
        <v>2061</v>
      </c>
      <c r="Q323" s="13" t="s">
        <v>2764</v>
      </c>
      <c r="S323" s="13" t="s">
        <v>2765</v>
      </c>
      <c r="U323" s="13" t="s">
        <v>2766</v>
      </c>
      <c r="Y323" s="13" t="s">
        <v>250</v>
      </c>
      <c r="Z323" s="13" t="s">
        <v>2767</v>
      </c>
      <c r="AA323" s="13" t="s">
        <v>251</v>
      </c>
      <c r="AB323" s="13">
        <v>0.15</v>
      </c>
      <c r="AC323" s="13">
        <v>0</v>
      </c>
      <c r="AD323" s="13">
        <v>20</v>
      </c>
      <c r="AE323" s="13">
        <v>1</v>
      </c>
      <c r="AF323" s="13" t="s">
        <v>2768</v>
      </c>
      <c r="AH323" s="13" t="s">
        <v>399</v>
      </c>
      <c r="AI323" s="13">
        <v>0</v>
      </c>
      <c r="AK323" s="13">
        <v>54782.597848366073</v>
      </c>
      <c r="AN323" s="163" t="s">
        <v>235</v>
      </c>
      <c r="AO323" s="163">
        <v>0</v>
      </c>
      <c r="AP323" s="163" t="s">
        <v>252</v>
      </c>
      <c r="AR323" s="13">
        <v>54782.597848366073</v>
      </c>
      <c r="AS323" s="13">
        <v>12007.80269568</v>
      </c>
      <c r="AT323" s="13">
        <v>198244.91996980069</v>
      </c>
      <c r="AU323" s="13">
        <v>1</v>
      </c>
      <c r="AV323" s="13">
        <v>1</v>
      </c>
      <c r="AW323" s="13">
        <v>0</v>
      </c>
      <c r="AX323" s="13">
        <v>0</v>
      </c>
      <c r="AY323" s="13">
        <v>0</v>
      </c>
      <c r="AZ323" s="13">
        <v>0</v>
      </c>
      <c r="BA323" s="13">
        <v>0</v>
      </c>
      <c r="BB323" s="13">
        <v>0</v>
      </c>
      <c r="BC323" s="13">
        <v>0</v>
      </c>
      <c r="BD323" s="13">
        <v>0</v>
      </c>
      <c r="BE323" s="13">
        <v>0.3</v>
      </c>
      <c r="BF323" s="13">
        <v>0.3</v>
      </c>
      <c r="BG323" s="13">
        <v>0</v>
      </c>
      <c r="BH323" s="13">
        <v>0</v>
      </c>
      <c r="BI323" s="13">
        <v>0</v>
      </c>
      <c r="BJ323" s="13">
        <v>0</v>
      </c>
      <c r="BK323" s="13">
        <v>0</v>
      </c>
      <c r="BL323" s="13">
        <v>0</v>
      </c>
      <c r="BM323" s="13">
        <v>0</v>
      </c>
      <c r="BN323" s="13">
        <v>0</v>
      </c>
      <c r="BO323" s="13">
        <v>0</v>
      </c>
      <c r="BP323" s="13">
        <v>1</v>
      </c>
      <c r="BR323" s="13">
        <v>20</v>
      </c>
    </row>
    <row r="324" spans="1:70" s="13" customFormat="1" x14ac:dyDescent="0.15">
      <c r="B324" s="13" t="s">
        <v>2769</v>
      </c>
      <c r="C324" s="13" t="s">
        <v>975</v>
      </c>
      <c r="E324" s="13" t="s">
        <v>976</v>
      </c>
      <c r="G324" s="13">
        <v>0</v>
      </c>
      <c r="H324" s="13">
        <v>12</v>
      </c>
      <c r="I324" s="13" t="s">
        <v>296</v>
      </c>
      <c r="K324" s="13">
        <v>3</v>
      </c>
      <c r="L324" s="13">
        <v>1</v>
      </c>
      <c r="M324" s="13" t="s">
        <v>254</v>
      </c>
      <c r="N324" s="13" t="s">
        <v>396</v>
      </c>
      <c r="O324" s="13">
        <v>0</v>
      </c>
      <c r="P324" s="13" t="s">
        <v>2770</v>
      </c>
      <c r="Q324" s="13" t="s">
        <v>977</v>
      </c>
      <c r="S324" s="13" t="s">
        <v>978</v>
      </c>
      <c r="U324" s="13" t="s">
        <v>979</v>
      </c>
      <c r="Y324" s="13" t="s">
        <v>250</v>
      </c>
      <c r="Z324" s="13" t="s">
        <v>980</v>
      </c>
      <c r="AA324" s="13" t="s">
        <v>251</v>
      </c>
      <c r="AB324" s="13">
        <v>0.15</v>
      </c>
      <c r="AC324" s="13">
        <v>0</v>
      </c>
      <c r="AD324" s="13">
        <v>20</v>
      </c>
      <c r="AE324" s="13">
        <v>1</v>
      </c>
      <c r="AF324" s="13" t="s">
        <v>1029</v>
      </c>
      <c r="AH324" s="13" t="s">
        <v>399</v>
      </c>
      <c r="AI324" s="13">
        <v>680</v>
      </c>
      <c r="AK324" s="13">
        <v>36195.645006956147</v>
      </c>
      <c r="AN324" s="163" t="s">
        <v>235</v>
      </c>
      <c r="AO324" s="163">
        <v>0</v>
      </c>
      <c r="AP324" s="163" t="s">
        <v>252</v>
      </c>
      <c r="AR324" s="13">
        <v>36195.645006956147</v>
      </c>
      <c r="AS324" s="13">
        <v>9846.3982104576007</v>
      </c>
      <c r="AT324" s="13">
        <v>87476.03586378516</v>
      </c>
      <c r="AU324" s="13">
        <v>1</v>
      </c>
      <c r="AV324" s="13">
        <v>1</v>
      </c>
      <c r="AW324" s="13">
        <v>0</v>
      </c>
      <c r="AX324" s="13">
        <v>0</v>
      </c>
      <c r="AY324" s="13">
        <v>0</v>
      </c>
      <c r="AZ324" s="13">
        <v>0</v>
      </c>
      <c r="BA324" s="13">
        <v>0</v>
      </c>
      <c r="BB324" s="13">
        <v>0</v>
      </c>
      <c r="BC324" s="13">
        <v>0</v>
      </c>
      <c r="BD324" s="13">
        <v>0</v>
      </c>
      <c r="BE324" s="13">
        <v>0.3</v>
      </c>
      <c r="BF324" s="13">
        <v>0.3</v>
      </c>
      <c r="BG324" s="13">
        <v>0</v>
      </c>
      <c r="BH324" s="13">
        <v>0</v>
      </c>
      <c r="BI324" s="13">
        <v>0</v>
      </c>
      <c r="BJ324" s="13">
        <v>0</v>
      </c>
      <c r="BK324" s="13">
        <v>0</v>
      </c>
      <c r="BL324" s="13">
        <v>0</v>
      </c>
      <c r="BM324" s="13">
        <v>0</v>
      </c>
      <c r="BN324" s="13">
        <v>0</v>
      </c>
      <c r="BO324" s="13">
        <v>0</v>
      </c>
      <c r="BP324" s="13">
        <v>1</v>
      </c>
      <c r="BR324" s="13">
        <v>10</v>
      </c>
    </row>
    <row r="325" spans="1:70" s="13" customFormat="1" x14ac:dyDescent="0.15">
      <c r="B325" s="13" t="s">
        <v>2062</v>
      </c>
      <c r="C325" s="13" t="s">
        <v>975</v>
      </c>
      <c r="E325" s="13" t="s">
        <v>976</v>
      </c>
      <c r="G325" s="13">
        <v>0</v>
      </c>
      <c r="H325" s="13">
        <v>12</v>
      </c>
      <c r="I325" s="13" t="s">
        <v>296</v>
      </c>
      <c r="K325" s="13">
        <v>3</v>
      </c>
      <c r="L325" s="13">
        <v>1</v>
      </c>
      <c r="M325" s="13" t="s">
        <v>254</v>
      </c>
      <c r="N325" s="13" t="s">
        <v>396</v>
      </c>
      <c r="O325" s="13">
        <v>0</v>
      </c>
      <c r="P325" s="13" t="s">
        <v>2063</v>
      </c>
      <c r="Q325" s="13" t="s">
        <v>977</v>
      </c>
      <c r="S325" s="13" t="s">
        <v>978</v>
      </c>
      <c r="U325" s="13" t="s">
        <v>979</v>
      </c>
      <c r="Y325" s="13" t="s">
        <v>250</v>
      </c>
      <c r="Z325" s="13" t="s">
        <v>980</v>
      </c>
      <c r="AA325" s="13" t="s">
        <v>251</v>
      </c>
      <c r="AB325" s="13">
        <v>0.15</v>
      </c>
      <c r="AC325" s="13">
        <v>0</v>
      </c>
      <c r="AD325" s="13">
        <v>20</v>
      </c>
      <c r="AE325" s="13">
        <v>1</v>
      </c>
      <c r="AF325" s="13" t="s">
        <v>1029</v>
      </c>
      <c r="AH325" s="13" t="s">
        <v>399</v>
      </c>
      <c r="AI325" s="13">
        <v>1000</v>
      </c>
      <c r="AK325" s="13">
        <v>36195.645006956147</v>
      </c>
      <c r="AN325" s="163" t="s">
        <v>235</v>
      </c>
      <c r="AO325" s="163">
        <v>0</v>
      </c>
      <c r="AP325" s="163" t="s">
        <v>252</v>
      </c>
      <c r="AR325" s="13">
        <v>36195.645006956147</v>
      </c>
      <c r="AS325" s="13">
        <v>9846.3982104576007</v>
      </c>
      <c r="AT325" s="13">
        <v>87476.03586378516</v>
      </c>
      <c r="AU325" s="13">
        <v>1</v>
      </c>
      <c r="AV325" s="13">
        <v>1</v>
      </c>
      <c r="AW325" s="13">
        <v>0</v>
      </c>
      <c r="AX325" s="13">
        <v>0</v>
      </c>
      <c r="AY325" s="13">
        <v>0</v>
      </c>
      <c r="AZ325" s="13">
        <v>0</v>
      </c>
      <c r="BA325" s="13">
        <v>0</v>
      </c>
      <c r="BB325" s="13">
        <v>0</v>
      </c>
      <c r="BC325" s="13">
        <v>0</v>
      </c>
      <c r="BD325" s="13">
        <v>0</v>
      </c>
      <c r="BE325" s="13">
        <v>0.3</v>
      </c>
      <c r="BF325" s="13">
        <v>0.3</v>
      </c>
      <c r="BG325" s="13">
        <v>0</v>
      </c>
      <c r="BH325" s="13">
        <v>0</v>
      </c>
      <c r="BI325" s="13">
        <v>0</v>
      </c>
      <c r="BJ325" s="13">
        <v>0</v>
      </c>
      <c r="BK325" s="13">
        <v>0</v>
      </c>
      <c r="BL325" s="13">
        <v>0</v>
      </c>
      <c r="BM325" s="13">
        <v>0</v>
      </c>
      <c r="BN325" s="13">
        <v>0</v>
      </c>
      <c r="BO325" s="13">
        <v>0</v>
      </c>
      <c r="BP325" s="13">
        <v>1</v>
      </c>
      <c r="BR325" s="13">
        <v>10</v>
      </c>
    </row>
    <row r="326" spans="1:70" s="13" customFormat="1" x14ac:dyDescent="0.15">
      <c r="B326" s="13" t="s">
        <v>2771</v>
      </c>
      <c r="C326" s="13" t="s">
        <v>2424</v>
      </c>
      <c r="E326" s="13" t="s">
        <v>2425</v>
      </c>
      <c r="G326" s="13">
        <v>0</v>
      </c>
      <c r="H326" s="13">
        <v>14</v>
      </c>
      <c r="I326" s="13" t="s">
        <v>809</v>
      </c>
      <c r="K326" s="13">
        <v>3</v>
      </c>
      <c r="L326" s="13">
        <v>1</v>
      </c>
      <c r="M326" s="13" t="s">
        <v>254</v>
      </c>
      <c r="N326" s="13" t="s">
        <v>396</v>
      </c>
      <c r="O326" s="13">
        <v>0</v>
      </c>
      <c r="P326" s="13" t="s">
        <v>2772</v>
      </c>
      <c r="Q326" s="13" t="s">
        <v>2426</v>
      </c>
      <c r="S326" s="13" t="s">
        <v>2427</v>
      </c>
      <c r="U326" s="13" t="s">
        <v>2428</v>
      </c>
      <c r="Y326" s="13" t="s">
        <v>250</v>
      </c>
      <c r="Z326" s="13" t="s">
        <v>2429</v>
      </c>
      <c r="AA326" s="13" t="s">
        <v>251</v>
      </c>
      <c r="AB326" s="13">
        <v>0.15</v>
      </c>
      <c r="AC326" s="13">
        <v>0</v>
      </c>
      <c r="AD326" s="13">
        <v>20</v>
      </c>
      <c r="AE326" s="13">
        <v>1</v>
      </c>
      <c r="AF326" s="13" t="s">
        <v>2430</v>
      </c>
      <c r="AH326" s="13" t="s">
        <v>258</v>
      </c>
      <c r="AI326" s="13">
        <v>680</v>
      </c>
      <c r="AK326" s="13">
        <v>40760.861494319994</v>
      </c>
      <c r="AN326" s="163" t="s">
        <v>235</v>
      </c>
      <c r="AO326" s="163">
        <v>0</v>
      </c>
      <c r="AP326" s="163" t="s">
        <v>252</v>
      </c>
      <c r="AR326" s="13">
        <v>40760.861494319994</v>
      </c>
      <c r="AS326" s="13">
        <v>12007.80269568</v>
      </c>
      <c r="AT326" s="13">
        <v>97634.693230905585</v>
      </c>
      <c r="AU326" s="13">
        <v>1</v>
      </c>
      <c r="AV326" s="13">
        <v>1</v>
      </c>
      <c r="AW326" s="13">
        <v>0</v>
      </c>
      <c r="AX326" s="13">
        <v>0</v>
      </c>
      <c r="AY326" s="13">
        <v>0</v>
      </c>
      <c r="AZ326" s="13">
        <v>0</v>
      </c>
      <c r="BA326" s="13">
        <v>0</v>
      </c>
      <c r="BB326" s="13">
        <v>0</v>
      </c>
      <c r="BC326" s="13">
        <v>0</v>
      </c>
      <c r="BD326" s="13">
        <v>0</v>
      </c>
      <c r="BE326" s="13">
        <v>0.4</v>
      </c>
      <c r="BF326" s="13">
        <v>0.4</v>
      </c>
      <c r="BG326" s="13">
        <v>0</v>
      </c>
      <c r="BH326" s="13">
        <v>0</v>
      </c>
      <c r="BI326" s="13">
        <v>0</v>
      </c>
      <c r="BJ326" s="13">
        <v>0</v>
      </c>
      <c r="BK326" s="13">
        <v>0</v>
      </c>
      <c r="BL326" s="13">
        <v>0</v>
      </c>
      <c r="BM326" s="13">
        <v>0</v>
      </c>
      <c r="BN326" s="13">
        <v>0</v>
      </c>
      <c r="BO326" s="13">
        <v>0</v>
      </c>
      <c r="BP326" s="13">
        <v>1</v>
      </c>
      <c r="BR326" s="13">
        <v>15</v>
      </c>
    </row>
    <row r="327" spans="1:70" s="13" customFormat="1" x14ac:dyDescent="0.15">
      <c r="B327" s="13" t="s">
        <v>2064</v>
      </c>
      <c r="C327" s="13" t="s">
        <v>962</v>
      </c>
      <c r="E327" s="13" t="s">
        <v>415</v>
      </c>
      <c r="G327" s="13">
        <v>0</v>
      </c>
      <c r="H327" s="13">
        <v>14</v>
      </c>
      <c r="I327" s="13" t="s">
        <v>296</v>
      </c>
      <c r="K327" s="13">
        <v>3</v>
      </c>
      <c r="L327" s="13">
        <v>1</v>
      </c>
      <c r="M327" s="13" t="s">
        <v>254</v>
      </c>
      <c r="N327" s="13" t="s">
        <v>396</v>
      </c>
      <c r="O327" s="13">
        <v>0</v>
      </c>
      <c r="P327" s="13" t="s">
        <v>2065</v>
      </c>
      <c r="Q327" s="13" t="s">
        <v>414</v>
      </c>
      <c r="S327" s="13" t="s">
        <v>413</v>
      </c>
      <c r="U327" s="13" t="s">
        <v>412</v>
      </c>
      <c r="Y327" s="13" t="s">
        <v>250</v>
      </c>
      <c r="Z327" s="13" t="s">
        <v>411</v>
      </c>
      <c r="AA327" s="13" t="s">
        <v>251</v>
      </c>
      <c r="AB327" s="13">
        <v>0.15</v>
      </c>
      <c r="AC327" s="13">
        <v>0</v>
      </c>
      <c r="AD327" s="13">
        <v>20</v>
      </c>
      <c r="AE327" s="13">
        <v>1</v>
      </c>
      <c r="AF327" s="13" t="s">
        <v>1026</v>
      </c>
      <c r="AH327" s="13" t="s">
        <v>399</v>
      </c>
      <c r="AI327" s="13">
        <v>800</v>
      </c>
      <c r="AK327" s="13">
        <v>41086.948386274555</v>
      </c>
      <c r="AN327" s="163" t="s">
        <v>235</v>
      </c>
      <c r="AO327" s="163">
        <v>0</v>
      </c>
      <c r="AP327" s="163" t="s">
        <v>252</v>
      </c>
      <c r="AR327" s="13">
        <v>41086.948386274555</v>
      </c>
      <c r="AS327" s="13">
        <v>9846.3982104576007</v>
      </c>
      <c r="AT327" s="13">
        <v>59789.045267275811</v>
      </c>
      <c r="AU327" s="13">
        <v>1</v>
      </c>
      <c r="AV327" s="13">
        <v>1</v>
      </c>
      <c r="AW327" s="13">
        <v>0</v>
      </c>
      <c r="AX327" s="13">
        <v>0</v>
      </c>
      <c r="AY327" s="13">
        <v>0</v>
      </c>
      <c r="AZ327" s="13">
        <v>0</v>
      </c>
      <c r="BA327" s="13">
        <v>0</v>
      </c>
      <c r="BB327" s="13">
        <v>0</v>
      </c>
      <c r="BC327" s="13">
        <v>0</v>
      </c>
      <c r="BD327" s="13">
        <v>0</v>
      </c>
      <c r="BE327" s="13">
        <v>0.4</v>
      </c>
      <c r="BF327" s="13">
        <v>0.4</v>
      </c>
      <c r="BG327" s="13">
        <v>0</v>
      </c>
      <c r="BH327" s="13">
        <v>0</v>
      </c>
      <c r="BI327" s="13">
        <v>0</v>
      </c>
      <c r="BJ327" s="13">
        <v>0</v>
      </c>
      <c r="BK327" s="13">
        <v>0</v>
      </c>
      <c r="BL327" s="13">
        <v>0</v>
      </c>
      <c r="BM327" s="13">
        <v>0</v>
      </c>
      <c r="BN327" s="13">
        <v>0</v>
      </c>
      <c r="BO327" s="13">
        <v>0</v>
      </c>
      <c r="BP327" s="13">
        <v>1</v>
      </c>
      <c r="BR327" s="13">
        <v>12</v>
      </c>
    </row>
    <row r="328" spans="1:70" s="13" customFormat="1" x14ac:dyDescent="0.15">
      <c r="B328" s="13" t="s">
        <v>2066</v>
      </c>
      <c r="C328" s="13" t="s">
        <v>962</v>
      </c>
      <c r="E328" s="13" t="s">
        <v>415</v>
      </c>
      <c r="G328" s="13">
        <v>0</v>
      </c>
      <c r="H328" s="13">
        <v>14</v>
      </c>
      <c r="I328" s="13" t="s">
        <v>296</v>
      </c>
      <c r="K328" s="13">
        <v>3</v>
      </c>
      <c r="L328" s="13">
        <v>1</v>
      </c>
      <c r="M328" s="13" t="s">
        <v>254</v>
      </c>
      <c r="N328" s="13" t="s">
        <v>396</v>
      </c>
      <c r="O328" s="13">
        <v>0</v>
      </c>
      <c r="P328" s="13" t="s">
        <v>2067</v>
      </c>
      <c r="Q328" s="13" t="s">
        <v>414</v>
      </c>
      <c r="S328" s="13" t="s">
        <v>413</v>
      </c>
      <c r="U328" s="13" t="s">
        <v>412</v>
      </c>
      <c r="Y328" s="13" t="s">
        <v>250</v>
      </c>
      <c r="Z328" s="13" t="s">
        <v>411</v>
      </c>
      <c r="AA328" s="13" t="s">
        <v>251</v>
      </c>
      <c r="AB328" s="13">
        <v>0.15</v>
      </c>
      <c r="AC328" s="13">
        <v>0</v>
      </c>
      <c r="AD328" s="13">
        <v>20</v>
      </c>
      <c r="AE328" s="13">
        <v>1</v>
      </c>
      <c r="AF328" s="13" t="s">
        <v>1026</v>
      </c>
      <c r="AH328" s="13" t="s">
        <v>399</v>
      </c>
      <c r="AI328" s="13">
        <v>0</v>
      </c>
      <c r="AK328" s="13">
        <v>41086.948386274555</v>
      </c>
      <c r="AN328" s="163" t="s">
        <v>235</v>
      </c>
      <c r="AO328" s="163">
        <v>0</v>
      </c>
      <c r="AP328" s="163" t="s">
        <v>252</v>
      </c>
      <c r="AR328" s="13">
        <v>41086.948386274555</v>
      </c>
      <c r="AS328" s="13">
        <v>9846.3982104576007</v>
      </c>
      <c r="AT328" s="13">
        <v>59789.045267275811</v>
      </c>
      <c r="AU328" s="13">
        <v>1</v>
      </c>
      <c r="AV328" s="13">
        <v>1</v>
      </c>
      <c r="AW328" s="13">
        <v>0</v>
      </c>
      <c r="AX328" s="13">
        <v>0</v>
      </c>
      <c r="AY328" s="13">
        <v>0</v>
      </c>
      <c r="AZ328" s="13">
        <v>0</v>
      </c>
      <c r="BA328" s="13">
        <v>0</v>
      </c>
      <c r="BB328" s="13">
        <v>0</v>
      </c>
      <c r="BC328" s="13">
        <v>0</v>
      </c>
      <c r="BD328" s="13">
        <v>0</v>
      </c>
      <c r="BE328" s="13">
        <v>0.4</v>
      </c>
      <c r="BF328" s="13">
        <v>0.4</v>
      </c>
      <c r="BG328" s="13">
        <v>0</v>
      </c>
      <c r="BH328" s="13">
        <v>0</v>
      </c>
      <c r="BI328" s="13">
        <v>0</v>
      </c>
      <c r="BJ328" s="13">
        <v>0</v>
      </c>
      <c r="BK328" s="13">
        <v>0</v>
      </c>
      <c r="BL328" s="13">
        <v>0</v>
      </c>
      <c r="BM328" s="13">
        <v>0</v>
      </c>
      <c r="BN328" s="13">
        <v>0</v>
      </c>
      <c r="BO328" s="13">
        <v>0</v>
      </c>
      <c r="BP328" s="13">
        <v>1</v>
      </c>
      <c r="BR328" s="13">
        <v>12</v>
      </c>
    </row>
    <row r="329" spans="1:70" s="13" customFormat="1" x14ac:dyDescent="0.15">
      <c r="B329" s="13" t="s">
        <v>2068</v>
      </c>
      <c r="C329" s="13" t="s">
        <v>938</v>
      </c>
      <c r="E329" s="13" t="s">
        <v>939</v>
      </c>
      <c r="G329" s="13">
        <v>0</v>
      </c>
      <c r="H329" s="13">
        <v>14</v>
      </c>
      <c r="I329" s="13" t="s">
        <v>400</v>
      </c>
      <c r="K329" s="13">
        <v>3</v>
      </c>
      <c r="L329" s="13">
        <v>1</v>
      </c>
      <c r="M329" s="13" t="s">
        <v>254</v>
      </c>
      <c r="N329" s="13" t="s">
        <v>396</v>
      </c>
      <c r="O329" s="13">
        <v>0</v>
      </c>
      <c r="P329" s="13" t="s">
        <v>2069</v>
      </c>
      <c r="Q329" s="13" t="s">
        <v>940</v>
      </c>
      <c r="S329" s="13" t="s">
        <v>941</v>
      </c>
      <c r="U329" s="13" t="s">
        <v>942</v>
      </c>
      <c r="Y329" s="13" t="s">
        <v>250</v>
      </c>
      <c r="Z329" s="13" t="s">
        <v>943</v>
      </c>
      <c r="AA329" s="13" t="s">
        <v>251</v>
      </c>
      <c r="AB329" s="13">
        <v>0.15</v>
      </c>
      <c r="AC329" s="13">
        <v>30</v>
      </c>
      <c r="AD329" s="13">
        <v>20</v>
      </c>
      <c r="AE329" s="13">
        <v>1</v>
      </c>
      <c r="AF329" s="13" t="s">
        <v>1022</v>
      </c>
      <c r="AH329" s="13" t="s">
        <v>399</v>
      </c>
      <c r="AI329" s="13">
        <v>0</v>
      </c>
      <c r="AK329" s="13">
        <v>30570.646120739995</v>
      </c>
      <c r="AN329" s="163" t="s">
        <v>235</v>
      </c>
      <c r="AO329" s="163">
        <v>0</v>
      </c>
      <c r="AP329" s="163" t="s">
        <v>252</v>
      </c>
      <c r="AR329" s="13">
        <v>30570.646120739995</v>
      </c>
      <c r="AS329" s="13">
        <v>14169.2071809024</v>
      </c>
      <c r="AT329" s="13">
        <v>137664.91745557688</v>
      </c>
      <c r="AU329" s="13">
        <v>1</v>
      </c>
      <c r="AV329" s="13">
        <v>1</v>
      </c>
      <c r="AW329" s="13">
        <v>0</v>
      </c>
      <c r="AX329" s="13">
        <v>0</v>
      </c>
      <c r="AY329" s="13">
        <v>0</v>
      </c>
      <c r="AZ329" s="13">
        <v>0</v>
      </c>
      <c r="BA329" s="13">
        <v>0</v>
      </c>
      <c r="BB329" s="13">
        <v>0</v>
      </c>
      <c r="BC329" s="13">
        <v>0</v>
      </c>
      <c r="BD329" s="13">
        <v>0</v>
      </c>
      <c r="BE329" s="13">
        <v>0.4</v>
      </c>
      <c r="BF329" s="13">
        <v>0.4</v>
      </c>
      <c r="BG329" s="13">
        <v>0</v>
      </c>
      <c r="BH329" s="13">
        <v>0</v>
      </c>
      <c r="BI329" s="13">
        <v>0</v>
      </c>
      <c r="BJ329" s="13">
        <v>0</v>
      </c>
      <c r="BK329" s="13">
        <v>0</v>
      </c>
      <c r="BL329" s="13">
        <v>0</v>
      </c>
      <c r="BM329" s="13">
        <v>0</v>
      </c>
      <c r="BN329" s="13">
        <v>0</v>
      </c>
      <c r="BO329" s="13">
        <v>0</v>
      </c>
      <c r="BP329" s="13">
        <v>1</v>
      </c>
      <c r="BR329" s="13">
        <v>15</v>
      </c>
    </row>
    <row r="330" spans="1:70" s="13" customFormat="1" x14ac:dyDescent="0.15">
      <c r="B330" s="13" t="s">
        <v>2773</v>
      </c>
      <c r="C330" s="13" t="s">
        <v>969</v>
      </c>
      <c r="E330" s="13" t="s">
        <v>970</v>
      </c>
      <c r="G330" s="13">
        <v>0</v>
      </c>
      <c r="H330" s="13">
        <v>13</v>
      </c>
      <c r="I330" s="13" t="s">
        <v>296</v>
      </c>
      <c r="K330" s="13">
        <v>3</v>
      </c>
      <c r="L330" s="13">
        <v>1</v>
      </c>
      <c r="M330" s="13" t="s">
        <v>254</v>
      </c>
      <c r="N330" s="13" t="s">
        <v>396</v>
      </c>
      <c r="O330" s="13">
        <v>0</v>
      </c>
      <c r="P330" s="13" t="s">
        <v>2774</v>
      </c>
      <c r="Q330" s="13" t="s">
        <v>971</v>
      </c>
      <c r="S330" s="13" t="s">
        <v>972</v>
      </c>
      <c r="U330" s="13" t="s">
        <v>973</v>
      </c>
      <c r="Y330" s="13" t="s">
        <v>974</v>
      </c>
      <c r="Z330" s="13" t="s">
        <v>235</v>
      </c>
      <c r="AA330" s="13" t="s">
        <v>251</v>
      </c>
      <c r="AB330" s="13">
        <v>0.15</v>
      </c>
      <c r="AC330" s="13">
        <v>0</v>
      </c>
      <c r="AD330" s="13">
        <v>20</v>
      </c>
      <c r="AE330" s="13">
        <v>1</v>
      </c>
      <c r="AF330" s="13" t="s">
        <v>1028</v>
      </c>
      <c r="AH330" s="13" t="s">
        <v>399</v>
      </c>
      <c r="AI330" s="13">
        <v>1000</v>
      </c>
      <c r="AK330" s="13">
        <v>41086.948386274555</v>
      </c>
      <c r="AN330" s="163" t="s">
        <v>235</v>
      </c>
      <c r="AO330" s="163">
        <v>0</v>
      </c>
      <c r="AP330" s="163" t="s">
        <v>252</v>
      </c>
      <c r="AR330" s="13">
        <v>41086.948386274555</v>
      </c>
      <c r="AS330" s="13">
        <v>9846.3982104576007</v>
      </c>
      <c r="AT330" s="13">
        <v>59789.045267275811</v>
      </c>
      <c r="AU330" s="13">
        <v>1</v>
      </c>
      <c r="AV330" s="13">
        <v>1</v>
      </c>
      <c r="AW330" s="13">
        <v>0</v>
      </c>
      <c r="AX330" s="13">
        <v>0</v>
      </c>
      <c r="AY330" s="13">
        <v>0</v>
      </c>
      <c r="AZ330" s="13">
        <v>0</v>
      </c>
      <c r="BA330" s="13">
        <v>0</v>
      </c>
      <c r="BB330" s="13">
        <v>0</v>
      </c>
      <c r="BC330" s="13">
        <v>0</v>
      </c>
      <c r="BD330" s="13">
        <v>0</v>
      </c>
      <c r="BE330" s="13">
        <v>0.4</v>
      </c>
      <c r="BF330" s="13">
        <v>0.4</v>
      </c>
      <c r="BG330" s="13">
        <v>0</v>
      </c>
      <c r="BH330" s="13">
        <v>0</v>
      </c>
      <c r="BI330" s="13">
        <v>0</v>
      </c>
      <c r="BJ330" s="13">
        <v>0</v>
      </c>
      <c r="BK330" s="13">
        <v>0</v>
      </c>
      <c r="BL330" s="13">
        <v>0</v>
      </c>
      <c r="BM330" s="13">
        <v>0</v>
      </c>
      <c r="BN330" s="13">
        <v>0</v>
      </c>
      <c r="BO330" s="13">
        <v>0</v>
      </c>
      <c r="BP330" s="13">
        <v>1</v>
      </c>
      <c r="BR330" s="13">
        <v>12</v>
      </c>
    </row>
    <row r="331" spans="1:70" s="42" customFormat="1" ht="14.25" x14ac:dyDescent="0.15">
      <c r="A331" s="164"/>
      <c r="B331" s="42" t="s">
        <v>2070</v>
      </c>
      <c r="C331" s="42" t="s">
        <v>969</v>
      </c>
      <c r="E331" s="42" t="s">
        <v>970</v>
      </c>
      <c r="G331" s="42">
        <v>0</v>
      </c>
      <c r="H331" s="42">
        <v>13</v>
      </c>
      <c r="I331" s="42" t="s">
        <v>296</v>
      </c>
      <c r="K331" s="42">
        <v>3</v>
      </c>
      <c r="L331" s="42">
        <v>1</v>
      </c>
      <c r="M331" s="42" t="s">
        <v>254</v>
      </c>
      <c r="N331" s="42" t="s">
        <v>396</v>
      </c>
      <c r="O331" s="42">
        <v>0</v>
      </c>
      <c r="P331" s="42" t="s">
        <v>2071</v>
      </c>
      <c r="Q331" s="42" t="s">
        <v>971</v>
      </c>
      <c r="S331" s="42" t="s">
        <v>972</v>
      </c>
      <c r="U331" s="42" t="s">
        <v>973</v>
      </c>
      <c r="Y331" s="42" t="s">
        <v>974</v>
      </c>
      <c r="Z331" s="42" t="s">
        <v>235</v>
      </c>
      <c r="AA331" s="13" t="s">
        <v>251</v>
      </c>
      <c r="AB331" s="13">
        <v>0.15</v>
      </c>
      <c r="AC331" s="13">
        <v>0</v>
      </c>
      <c r="AD331" s="42">
        <v>20</v>
      </c>
      <c r="AE331" s="42">
        <v>1</v>
      </c>
      <c r="AF331" s="13" t="s">
        <v>1028</v>
      </c>
      <c r="AH331" s="13" t="s">
        <v>399</v>
      </c>
      <c r="AI331" s="13">
        <v>680</v>
      </c>
      <c r="AJ331" s="13"/>
      <c r="AK331" s="42">
        <v>41086.948386274555</v>
      </c>
      <c r="AN331" s="42" t="s">
        <v>235</v>
      </c>
      <c r="AO331" s="42">
        <v>0</v>
      </c>
      <c r="AP331" s="42" t="s">
        <v>252</v>
      </c>
      <c r="AR331" s="42">
        <v>41086.948386274555</v>
      </c>
      <c r="AS331" s="42">
        <v>9846.3982104576007</v>
      </c>
      <c r="AT331" s="42">
        <v>59789.045267275811</v>
      </c>
      <c r="AU331" s="13">
        <v>1</v>
      </c>
      <c r="AV331" s="13">
        <v>1</v>
      </c>
      <c r="AW331" s="13">
        <v>0</v>
      </c>
      <c r="AX331" s="13">
        <v>0</v>
      </c>
      <c r="AY331" s="13">
        <v>0</v>
      </c>
      <c r="AZ331" s="13">
        <v>0</v>
      </c>
      <c r="BA331" s="13">
        <v>0</v>
      </c>
      <c r="BB331" s="13">
        <v>0</v>
      </c>
      <c r="BC331" s="13">
        <v>0</v>
      </c>
      <c r="BD331" s="13">
        <v>0</v>
      </c>
      <c r="BE331" s="13">
        <v>0.4</v>
      </c>
      <c r="BF331" s="13">
        <v>0.4</v>
      </c>
      <c r="BG331" s="13">
        <v>0</v>
      </c>
      <c r="BH331" s="13">
        <v>0</v>
      </c>
      <c r="BI331" s="13">
        <v>0</v>
      </c>
      <c r="BJ331" s="13">
        <v>0</v>
      </c>
      <c r="BK331" s="13">
        <v>0</v>
      </c>
      <c r="BL331" s="13">
        <v>0</v>
      </c>
      <c r="BM331" s="13">
        <v>0</v>
      </c>
      <c r="BN331" s="13">
        <v>0</v>
      </c>
      <c r="BO331" s="13">
        <v>0</v>
      </c>
      <c r="BP331" s="13">
        <v>1</v>
      </c>
      <c r="BR331" s="42">
        <v>12</v>
      </c>
    </row>
    <row r="332" spans="1:70" s="42" customFormat="1" ht="14.25" x14ac:dyDescent="0.15">
      <c r="A332" s="164"/>
      <c r="B332" s="42" t="s">
        <v>2775</v>
      </c>
      <c r="C332" s="11" t="s">
        <v>969</v>
      </c>
      <c r="E332" s="42" t="s">
        <v>970</v>
      </c>
      <c r="G332" s="42">
        <v>0</v>
      </c>
      <c r="H332" s="42">
        <v>13</v>
      </c>
      <c r="I332" s="42" t="s">
        <v>296</v>
      </c>
      <c r="K332" s="42">
        <v>3</v>
      </c>
      <c r="L332" s="42">
        <v>1</v>
      </c>
      <c r="M332" s="42" t="s">
        <v>254</v>
      </c>
      <c r="N332" s="42" t="s">
        <v>396</v>
      </c>
      <c r="O332" s="42">
        <v>0</v>
      </c>
      <c r="P332" s="42" t="s">
        <v>2776</v>
      </c>
      <c r="Q332" s="42" t="s">
        <v>971</v>
      </c>
      <c r="S332" s="42" t="s">
        <v>972</v>
      </c>
      <c r="U332" s="42" t="s">
        <v>973</v>
      </c>
      <c r="Y332" s="42" t="s">
        <v>974</v>
      </c>
      <c r="Z332" s="42" t="s">
        <v>235</v>
      </c>
      <c r="AA332" s="13" t="s">
        <v>251</v>
      </c>
      <c r="AB332" s="13">
        <v>0.15</v>
      </c>
      <c r="AC332" s="13">
        <v>0</v>
      </c>
      <c r="AD332" s="42">
        <v>20</v>
      </c>
      <c r="AE332" s="42">
        <v>1</v>
      </c>
      <c r="AF332" s="13" t="s">
        <v>1028</v>
      </c>
      <c r="AH332" s="13" t="s">
        <v>399</v>
      </c>
      <c r="AI332" s="13">
        <v>800</v>
      </c>
      <c r="AJ332" s="13"/>
      <c r="AK332" s="42">
        <v>41086.948386274555</v>
      </c>
      <c r="AN332" s="42" t="s">
        <v>235</v>
      </c>
      <c r="AO332" s="42">
        <v>0</v>
      </c>
      <c r="AP332" s="42" t="s">
        <v>252</v>
      </c>
      <c r="AR332" s="42">
        <v>41086.948386274555</v>
      </c>
      <c r="AS332" s="42">
        <v>9846.3982104576007</v>
      </c>
      <c r="AT332" s="42">
        <v>59789.045267275811</v>
      </c>
      <c r="AU332" s="13">
        <v>1</v>
      </c>
      <c r="AV332" s="13">
        <v>1</v>
      </c>
      <c r="AW332" s="13">
        <v>0</v>
      </c>
      <c r="AX332" s="13">
        <v>0</v>
      </c>
      <c r="AY332" s="13">
        <v>0</v>
      </c>
      <c r="AZ332" s="13">
        <v>0</v>
      </c>
      <c r="BA332" s="13">
        <v>0</v>
      </c>
      <c r="BB332" s="13">
        <v>0</v>
      </c>
      <c r="BC332" s="13">
        <v>0</v>
      </c>
      <c r="BD332" s="13">
        <v>0</v>
      </c>
      <c r="BE332" s="13">
        <v>0.4</v>
      </c>
      <c r="BF332" s="13">
        <v>0.4</v>
      </c>
      <c r="BG332" s="13">
        <v>0</v>
      </c>
      <c r="BH332" s="13">
        <v>0</v>
      </c>
      <c r="BI332" s="13">
        <v>0</v>
      </c>
      <c r="BJ332" s="13">
        <v>0</v>
      </c>
      <c r="BK332" s="13">
        <v>0</v>
      </c>
      <c r="BL332" s="13">
        <v>0</v>
      </c>
      <c r="BM332" s="13">
        <v>0</v>
      </c>
      <c r="BN332" s="13">
        <v>0</v>
      </c>
      <c r="BO332" s="13">
        <v>0</v>
      </c>
      <c r="BP332" s="13">
        <v>1</v>
      </c>
      <c r="BR332" s="42">
        <v>12</v>
      </c>
    </row>
    <row r="333" spans="1:70" s="13" customFormat="1" ht="14.25" x14ac:dyDescent="0.15">
      <c r="A333" s="164"/>
      <c r="B333" s="13" t="s">
        <v>2072</v>
      </c>
      <c r="C333" s="13" t="s">
        <v>962</v>
      </c>
      <c r="E333" s="13" t="s">
        <v>415</v>
      </c>
      <c r="G333" s="13">
        <v>0</v>
      </c>
      <c r="H333" s="13">
        <v>14</v>
      </c>
      <c r="I333" s="13" t="s">
        <v>296</v>
      </c>
      <c r="K333" s="13">
        <v>3</v>
      </c>
      <c r="L333" s="13">
        <v>1</v>
      </c>
      <c r="M333" s="13" t="s">
        <v>254</v>
      </c>
      <c r="N333" s="13" t="s">
        <v>396</v>
      </c>
      <c r="O333" s="13">
        <v>0</v>
      </c>
      <c r="P333" s="13" t="s">
        <v>2073</v>
      </c>
      <c r="Q333" s="13" t="s">
        <v>414</v>
      </c>
      <c r="S333" s="13" t="s">
        <v>413</v>
      </c>
      <c r="U333" s="13" t="s">
        <v>412</v>
      </c>
      <c r="Y333" s="13" t="s">
        <v>250</v>
      </c>
      <c r="Z333" s="11" t="s">
        <v>411</v>
      </c>
      <c r="AA333" s="13" t="s">
        <v>251</v>
      </c>
      <c r="AB333" s="13">
        <v>0.15</v>
      </c>
      <c r="AC333" s="13">
        <v>30</v>
      </c>
      <c r="AD333" s="13">
        <v>20</v>
      </c>
      <c r="AE333" s="13">
        <v>1</v>
      </c>
      <c r="AF333" s="13" t="s">
        <v>1026</v>
      </c>
      <c r="AH333" s="13" t="s">
        <v>399</v>
      </c>
      <c r="AI333" s="13">
        <v>800</v>
      </c>
      <c r="AK333" s="13">
        <v>41086.948386274555</v>
      </c>
      <c r="AN333" s="163" t="s">
        <v>235</v>
      </c>
      <c r="AO333" s="163">
        <v>0</v>
      </c>
      <c r="AP333" s="163" t="s">
        <v>252</v>
      </c>
      <c r="AR333" s="13">
        <v>41086.948386274555</v>
      </c>
      <c r="AS333" s="13">
        <v>9846.3982104576007</v>
      </c>
      <c r="AT333" s="42">
        <v>59789.045267275811</v>
      </c>
      <c r="AU333" s="13">
        <v>1</v>
      </c>
      <c r="AV333" s="13">
        <v>1</v>
      </c>
      <c r="AW333" s="13">
        <v>0</v>
      </c>
      <c r="AX333" s="13">
        <v>0</v>
      </c>
      <c r="AY333" s="13">
        <v>0</v>
      </c>
      <c r="AZ333" s="13">
        <v>0</v>
      </c>
      <c r="BA333" s="13">
        <v>0</v>
      </c>
      <c r="BB333" s="13">
        <v>0</v>
      </c>
      <c r="BC333" s="13">
        <v>0</v>
      </c>
      <c r="BD333" s="13">
        <v>0</v>
      </c>
      <c r="BE333" s="13">
        <v>0.4</v>
      </c>
      <c r="BF333" s="13">
        <v>0.4</v>
      </c>
      <c r="BG333" s="13">
        <v>0</v>
      </c>
      <c r="BH333" s="13">
        <v>0</v>
      </c>
      <c r="BI333" s="13">
        <v>0</v>
      </c>
      <c r="BJ333" s="13">
        <v>0</v>
      </c>
      <c r="BK333" s="13">
        <v>0</v>
      </c>
      <c r="BL333" s="13">
        <v>0</v>
      </c>
      <c r="BM333" s="13">
        <v>0</v>
      </c>
      <c r="BN333" s="13">
        <v>0</v>
      </c>
      <c r="BO333" s="13">
        <v>0</v>
      </c>
      <c r="BP333" s="13">
        <v>1</v>
      </c>
      <c r="BR333" s="13">
        <v>12</v>
      </c>
    </row>
    <row r="334" spans="1:70" s="13" customFormat="1" x14ac:dyDescent="0.15">
      <c r="B334" s="13" t="s">
        <v>2777</v>
      </c>
      <c r="C334" s="13" t="s">
        <v>2424</v>
      </c>
      <c r="E334" s="13" t="s">
        <v>2425</v>
      </c>
      <c r="G334" s="13">
        <v>0</v>
      </c>
      <c r="H334" s="13">
        <v>14</v>
      </c>
      <c r="I334" s="13" t="s">
        <v>809</v>
      </c>
      <c r="K334" s="13">
        <v>3</v>
      </c>
      <c r="L334" s="13">
        <v>1</v>
      </c>
      <c r="M334" s="13" t="s">
        <v>254</v>
      </c>
      <c r="N334" s="13" t="s">
        <v>396</v>
      </c>
      <c r="O334" s="13">
        <v>0</v>
      </c>
      <c r="P334" s="13" t="s">
        <v>2778</v>
      </c>
      <c r="Q334" s="13" t="s">
        <v>2426</v>
      </c>
      <c r="S334" s="13" t="s">
        <v>2427</v>
      </c>
      <c r="U334" s="13" t="s">
        <v>2428</v>
      </c>
      <c r="Y334" s="13" t="s">
        <v>250</v>
      </c>
      <c r="Z334" s="13" t="s">
        <v>2429</v>
      </c>
      <c r="AA334" s="13" t="s">
        <v>251</v>
      </c>
      <c r="AB334" s="13">
        <v>0.15</v>
      </c>
      <c r="AC334" s="13">
        <v>0</v>
      </c>
      <c r="AD334" s="13">
        <v>20</v>
      </c>
      <c r="AE334" s="13">
        <v>1</v>
      </c>
      <c r="AF334" s="13" t="s">
        <v>2430</v>
      </c>
      <c r="AH334" s="13" t="s">
        <v>399</v>
      </c>
      <c r="AI334" s="13">
        <v>1000</v>
      </c>
      <c r="AK334" s="13">
        <v>40760.861494319994</v>
      </c>
      <c r="AN334" s="163" t="s">
        <v>235</v>
      </c>
      <c r="AO334" s="163">
        <v>0</v>
      </c>
      <c r="AP334" s="163" t="s">
        <v>252</v>
      </c>
      <c r="AR334" s="13">
        <v>40760.861494319994</v>
      </c>
      <c r="AS334" s="13">
        <v>12007.80269568</v>
      </c>
      <c r="AT334" s="13">
        <v>97634.693230905585</v>
      </c>
      <c r="AU334" s="13">
        <v>1</v>
      </c>
      <c r="AV334" s="13">
        <v>1</v>
      </c>
      <c r="AW334" s="13">
        <v>0</v>
      </c>
      <c r="AX334" s="13">
        <v>0</v>
      </c>
      <c r="AY334" s="13">
        <v>0</v>
      </c>
      <c r="AZ334" s="13">
        <v>0</v>
      </c>
      <c r="BA334" s="13">
        <v>0</v>
      </c>
      <c r="BB334" s="13">
        <v>0</v>
      </c>
      <c r="BC334" s="13">
        <v>0</v>
      </c>
      <c r="BD334" s="13">
        <v>0</v>
      </c>
      <c r="BE334" s="13">
        <v>0.4</v>
      </c>
      <c r="BF334" s="13">
        <v>0.4</v>
      </c>
      <c r="BG334" s="13">
        <v>0</v>
      </c>
      <c r="BH334" s="13">
        <v>0</v>
      </c>
      <c r="BI334" s="13">
        <v>0</v>
      </c>
      <c r="BJ334" s="13">
        <v>0</v>
      </c>
      <c r="BK334" s="13">
        <v>0</v>
      </c>
      <c r="BL334" s="13">
        <v>0</v>
      </c>
      <c r="BM334" s="13">
        <v>0</v>
      </c>
      <c r="BN334" s="13">
        <v>0</v>
      </c>
      <c r="BO334" s="13">
        <v>0</v>
      </c>
      <c r="BP334" s="13">
        <v>1</v>
      </c>
      <c r="BR334" s="13">
        <v>15</v>
      </c>
    </row>
    <row r="335" spans="1:70" s="13" customFormat="1" x14ac:dyDescent="0.15">
      <c r="B335" s="13" t="s">
        <v>2779</v>
      </c>
      <c r="C335" s="13" t="s">
        <v>962</v>
      </c>
      <c r="E335" s="13" t="s">
        <v>415</v>
      </c>
      <c r="G335" s="13">
        <v>0</v>
      </c>
      <c r="H335" s="13">
        <v>14</v>
      </c>
      <c r="I335" s="13" t="s">
        <v>296</v>
      </c>
      <c r="K335" s="13">
        <v>3</v>
      </c>
      <c r="L335" s="13">
        <v>1</v>
      </c>
      <c r="M335" s="13" t="s">
        <v>254</v>
      </c>
      <c r="N335" s="13" t="s">
        <v>396</v>
      </c>
      <c r="O335" s="13">
        <v>0</v>
      </c>
      <c r="P335" s="13" t="s">
        <v>2780</v>
      </c>
      <c r="Q335" s="13" t="s">
        <v>414</v>
      </c>
      <c r="S335" s="13" t="s">
        <v>413</v>
      </c>
      <c r="U335" s="13" t="s">
        <v>412</v>
      </c>
      <c r="Y335" s="13" t="s">
        <v>250</v>
      </c>
      <c r="Z335" s="13" t="s">
        <v>411</v>
      </c>
      <c r="AA335" s="13" t="s">
        <v>251</v>
      </c>
      <c r="AB335" s="13">
        <v>0.15</v>
      </c>
      <c r="AC335" s="13">
        <v>0</v>
      </c>
      <c r="AD335" s="13">
        <v>20</v>
      </c>
      <c r="AE335" s="13">
        <v>1</v>
      </c>
      <c r="AF335" s="13" t="s">
        <v>1026</v>
      </c>
      <c r="AH335" s="13" t="s">
        <v>399</v>
      </c>
      <c r="AI335" s="13">
        <v>0</v>
      </c>
      <c r="AK335" s="13">
        <v>41086.948386274555</v>
      </c>
      <c r="AN335" s="163" t="s">
        <v>235</v>
      </c>
      <c r="AO335" s="163">
        <v>0</v>
      </c>
      <c r="AP335" s="163" t="s">
        <v>252</v>
      </c>
      <c r="AR335" s="13">
        <v>41086.948386274555</v>
      </c>
      <c r="AS335" s="13">
        <v>9846.3982104576007</v>
      </c>
      <c r="AT335" s="13">
        <v>59789.045267275811</v>
      </c>
      <c r="AU335" s="13">
        <v>1</v>
      </c>
      <c r="AV335" s="13">
        <v>1</v>
      </c>
      <c r="AW335" s="13">
        <v>0</v>
      </c>
      <c r="AX335" s="13">
        <v>0</v>
      </c>
      <c r="AY335" s="13">
        <v>0</v>
      </c>
      <c r="AZ335" s="13">
        <v>0</v>
      </c>
      <c r="BA335" s="13">
        <v>0</v>
      </c>
      <c r="BB335" s="13">
        <v>0</v>
      </c>
      <c r="BC335" s="13">
        <v>0</v>
      </c>
      <c r="BD335" s="13">
        <v>0</v>
      </c>
      <c r="BE335" s="13">
        <v>0.4</v>
      </c>
      <c r="BF335" s="13">
        <v>0.4</v>
      </c>
      <c r="BG335" s="13">
        <v>0</v>
      </c>
      <c r="BH335" s="13">
        <v>0</v>
      </c>
      <c r="BI335" s="13">
        <v>0</v>
      </c>
      <c r="BJ335" s="13">
        <v>0</v>
      </c>
      <c r="BK335" s="13">
        <v>0</v>
      </c>
      <c r="BL335" s="13">
        <v>0</v>
      </c>
      <c r="BM335" s="13">
        <v>0</v>
      </c>
      <c r="BN335" s="13">
        <v>0</v>
      </c>
      <c r="BO335" s="13">
        <v>0</v>
      </c>
      <c r="BP335" s="13">
        <v>1</v>
      </c>
      <c r="BR335" s="13">
        <v>12</v>
      </c>
    </row>
    <row r="336" spans="1:70" s="13" customFormat="1" x14ac:dyDescent="0.15">
      <c r="B336" s="13" t="s">
        <v>2781</v>
      </c>
      <c r="C336" s="13" t="s">
        <v>969</v>
      </c>
      <c r="E336" s="13" t="s">
        <v>970</v>
      </c>
      <c r="G336" s="13">
        <v>0</v>
      </c>
      <c r="H336" s="13">
        <v>13</v>
      </c>
      <c r="I336" s="13" t="s">
        <v>296</v>
      </c>
      <c r="K336" s="13">
        <v>3</v>
      </c>
      <c r="L336" s="13">
        <v>1</v>
      </c>
      <c r="M336" s="13" t="s">
        <v>254</v>
      </c>
      <c r="N336" s="13" t="s">
        <v>396</v>
      </c>
      <c r="O336" s="13">
        <v>0</v>
      </c>
      <c r="P336" s="13" t="s">
        <v>2782</v>
      </c>
      <c r="Q336" s="13" t="s">
        <v>971</v>
      </c>
      <c r="S336" s="13" t="s">
        <v>972</v>
      </c>
      <c r="U336" s="13" t="s">
        <v>973</v>
      </c>
      <c r="Y336" s="13" t="s">
        <v>974</v>
      </c>
      <c r="Z336" s="13" t="s">
        <v>235</v>
      </c>
      <c r="AA336" s="13" t="s">
        <v>251</v>
      </c>
      <c r="AB336" s="13">
        <v>0.15</v>
      </c>
      <c r="AC336" s="13">
        <v>0</v>
      </c>
      <c r="AD336" s="13">
        <v>20</v>
      </c>
      <c r="AE336" s="13">
        <v>1</v>
      </c>
      <c r="AF336" s="13" t="s">
        <v>1028</v>
      </c>
      <c r="AH336" s="13" t="s">
        <v>399</v>
      </c>
      <c r="AI336" s="13">
        <v>1000</v>
      </c>
      <c r="AK336" s="13">
        <v>41086.948386274555</v>
      </c>
      <c r="AN336" s="163" t="s">
        <v>235</v>
      </c>
      <c r="AO336" s="163">
        <v>0</v>
      </c>
      <c r="AP336" s="163" t="s">
        <v>252</v>
      </c>
      <c r="AR336" s="13">
        <v>41086.948386274555</v>
      </c>
      <c r="AS336" s="13">
        <v>9846.3982104576007</v>
      </c>
      <c r="AT336" s="13">
        <v>59789.045267275811</v>
      </c>
      <c r="AU336" s="13">
        <v>1</v>
      </c>
      <c r="AV336" s="13">
        <v>1</v>
      </c>
      <c r="AW336" s="13">
        <v>0</v>
      </c>
      <c r="AX336" s="13">
        <v>0</v>
      </c>
      <c r="AY336" s="13">
        <v>0</v>
      </c>
      <c r="AZ336" s="13">
        <v>0</v>
      </c>
      <c r="BA336" s="13">
        <v>0</v>
      </c>
      <c r="BB336" s="13">
        <v>0</v>
      </c>
      <c r="BC336" s="13">
        <v>0</v>
      </c>
      <c r="BD336" s="13">
        <v>0</v>
      </c>
      <c r="BE336" s="13">
        <v>0.4</v>
      </c>
      <c r="BF336" s="13">
        <v>0.4</v>
      </c>
      <c r="BG336" s="13">
        <v>0</v>
      </c>
      <c r="BH336" s="13">
        <v>0</v>
      </c>
      <c r="BI336" s="13">
        <v>0</v>
      </c>
      <c r="BJ336" s="13">
        <v>0</v>
      </c>
      <c r="BK336" s="13">
        <v>0</v>
      </c>
      <c r="BL336" s="13">
        <v>0</v>
      </c>
      <c r="BM336" s="13">
        <v>0</v>
      </c>
      <c r="BN336" s="13">
        <v>0</v>
      </c>
      <c r="BO336" s="13">
        <v>0</v>
      </c>
      <c r="BP336" s="13">
        <v>1</v>
      </c>
      <c r="BR336" s="13">
        <v>12</v>
      </c>
    </row>
    <row r="337" spans="1:70" s="13" customFormat="1" x14ac:dyDescent="0.15">
      <c r="B337" s="13" t="s">
        <v>2783</v>
      </c>
      <c r="C337" s="13" t="s">
        <v>969</v>
      </c>
      <c r="E337" s="13" t="s">
        <v>970</v>
      </c>
      <c r="G337" s="13">
        <v>0</v>
      </c>
      <c r="H337" s="13">
        <v>13</v>
      </c>
      <c r="I337" s="13" t="s">
        <v>296</v>
      </c>
      <c r="K337" s="13">
        <v>3</v>
      </c>
      <c r="L337" s="13">
        <v>1</v>
      </c>
      <c r="M337" s="13" t="s">
        <v>254</v>
      </c>
      <c r="N337" s="13" t="s">
        <v>396</v>
      </c>
      <c r="O337" s="13">
        <v>0</v>
      </c>
      <c r="P337" s="13" t="s">
        <v>2784</v>
      </c>
      <c r="Q337" s="13" t="s">
        <v>971</v>
      </c>
      <c r="S337" s="13" t="s">
        <v>972</v>
      </c>
      <c r="U337" s="13" t="s">
        <v>973</v>
      </c>
      <c r="Y337" s="13" t="s">
        <v>974</v>
      </c>
      <c r="Z337" s="13" t="s">
        <v>235</v>
      </c>
      <c r="AA337" s="13" t="s">
        <v>251</v>
      </c>
      <c r="AB337" s="13">
        <v>0.15</v>
      </c>
      <c r="AC337" s="13">
        <v>0</v>
      </c>
      <c r="AD337" s="13">
        <v>20</v>
      </c>
      <c r="AE337" s="13">
        <v>1</v>
      </c>
      <c r="AF337" s="13" t="s">
        <v>1028</v>
      </c>
      <c r="AH337" s="13" t="s">
        <v>399</v>
      </c>
      <c r="AI337" s="13">
        <v>0</v>
      </c>
      <c r="AK337" s="13">
        <v>41086.948386274555</v>
      </c>
      <c r="AN337" s="163" t="s">
        <v>235</v>
      </c>
      <c r="AO337" s="163">
        <v>0</v>
      </c>
      <c r="AP337" s="163" t="s">
        <v>252</v>
      </c>
      <c r="AR337" s="13">
        <v>41086.948386274555</v>
      </c>
      <c r="AS337" s="13">
        <v>9846.3982104576007</v>
      </c>
      <c r="AT337" s="13">
        <v>59789.045267275811</v>
      </c>
      <c r="AU337" s="13">
        <v>1</v>
      </c>
      <c r="AV337" s="13">
        <v>1</v>
      </c>
      <c r="AW337" s="13">
        <v>0</v>
      </c>
      <c r="AX337" s="13">
        <v>0</v>
      </c>
      <c r="AY337" s="13">
        <v>0</v>
      </c>
      <c r="AZ337" s="13">
        <v>0</v>
      </c>
      <c r="BA337" s="13">
        <v>0</v>
      </c>
      <c r="BB337" s="13">
        <v>0</v>
      </c>
      <c r="BC337" s="13">
        <v>0</v>
      </c>
      <c r="BD337" s="13">
        <v>0</v>
      </c>
      <c r="BE337" s="13">
        <v>0.4</v>
      </c>
      <c r="BF337" s="13">
        <v>0.4</v>
      </c>
      <c r="BG337" s="13">
        <v>0</v>
      </c>
      <c r="BH337" s="13">
        <v>0</v>
      </c>
      <c r="BI337" s="13">
        <v>0</v>
      </c>
      <c r="BJ337" s="13">
        <v>0</v>
      </c>
      <c r="BK337" s="13">
        <v>0</v>
      </c>
      <c r="BL337" s="13">
        <v>0</v>
      </c>
      <c r="BM337" s="13">
        <v>0</v>
      </c>
      <c r="BN337" s="13">
        <v>0</v>
      </c>
      <c r="BO337" s="13">
        <v>0</v>
      </c>
      <c r="BP337" s="13">
        <v>1</v>
      </c>
      <c r="BR337" s="13">
        <v>12</v>
      </c>
    </row>
    <row r="338" spans="1:70" s="13" customFormat="1" x14ac:dyDescent="0.15">
      <c r="B338" s="13" t="s">
        <v>2785</v>
      </c>
      <c r="C338" s="13" t="s">
        <v>881</v>
      </c>
      <c r="E338" s="13" t="s">
        <v>726</v>
      </c>
      <c r="G338" s="13">
        <v>0</v>
      </c>
      <c r="H338" s="13">
        <v>12</v>
      </c>
      <c r="I338" s="13" t="s">
        <v>400</v>
      </c>
      <c r="K338" s="13">
        <v>3</v>
      </c>
      <c r="L338" s="13">
        <v>1</v>
      </c>
      <c r="M338" s="13" t="s">
        <v>254</v>
      </c>
      <c r="N338" s="13" t="s">
        <v>396</v>
      </c>
      <c r="O338" s="13">
        <v>0</v>
      </c>
      <c r="P338" s="13" t="s">
        <v>2786</v>
      </c>
      <c r="Q338" s="13" t="s">
        <v>727</v>
      </c>
      <c r="S338" s="13" t="s">
        <v>728</v>
      </c>
      <c r="U338" s="13" t="s">
        <v>729</v>
      </c>
      <c r="Y338" s="13" t="s">
        <v>250</v>
      </c>
      <c r="Z338" s="13" t="s">
        <v>730</v>
      </c>
      <c r="AA338" s="13" t="s">
        <v>251</v>
      </c>
      <c r="AB338" s="13">
        <v>0.15</v>
      </c>
      <c r="AC338" s="13">
        <v>0</v>
      </c>
      <c r="AD338" s="13">
        <v>20</v>
      </c>
      <c r="AE338" s="13">
        <v>1</v>
      </c>
      <c r="AF338" s="13" t="s">
        <v>1009</v>
      </c>
      <c r="AH338" s="13" t="s">
        <v>399</v>
      </c>
      <c r="AI338" s="13">
        <v>0</v>
      </c>
      <c r="AK338" s="13">
        <v>23529.365401410003</v>
      </c>
      <c r="AN338" s="163" t="s">
        <v>235</v>
      </c>
      <c r="AO338" s="163">
        <v>0</v>
      </c>
      <c r="AP338" s="163" t="s">
        <v>252</v>
      </c>
      <c r="AR338" s="13">
        <v>15294.087510916503</v>
      </c>
      <c r="AS338" s="13">
        <v>16260.997465152002</v>
      </c>
      <c r="AT338" s="13">
        <v>135579.3117719905</v>
      </c>
      <c r="AU338" s="13">
        <v>1</v>
      </c>
      <c r="AV338" s="13">
        <v>1</v>
      </c>
      <c r="AW338" s="13">
        <v>0</v>
      </c>
      <c r="AX338" s="13">
        <v>0</v>
      </c>
      <c r="AY338" s="13">
        <v>0</v>
      </c>
      <c r="AZ338" s="13">
        <v>0</v>
      </c>
      <c r="BA338" s="13">
        <v>0</v>
      </c>
      <c r="BB338" s="13">
        <v>0</v>
      </c>
      <c r="BC338" s="13">
        <v>0</v>
      </c>
      <c r="BD338" s="13">
        <v>0</v>
      </c>
      <c r="BE338" s="13">
        <v>0.5</v>
      </c>
      <c r="BF338" s="13">
        <v>0.5</v>
      </c>
      <c r="BG338" s="13">
        <v>0</v>
      </c>
      <c r="BH338" s="13">
        <v>0</v>
      </c>
      <c r="BI338" s="13">
        <v>0</v>
      </c>
      <c r="BJ338" s="13">
        <v>0</v>
      </c>
      <c r="BK338" s="13">
        <v>0</v>
      </c>
      <c r="BL338" s="13">
        <v>0</v>
      </c>
      <c r="BM338" s="13">
        <v>0</v>
      </c>
      <c r="BN338" s="13">
        <v>0</v>
      </c>
      <c r="BO338" s="13">
        <v>0</v>
      </c>
      <c r="BP338" s="13">
        <v>1</v>
      </c>
      <c r="BR338" s="13">
        <v>8</v>
      </c>
    </row>
    <row r="339" spans="1:70" s="13" customFormat="1" x14ac:dyDescent="0.15">
      <c r="B339" s="13" t="s">
        <v>2787</v>
      </c>
      <c r="C339" s="13" t="s">
        <v>868</v>
      </c>
      <c r="E339" s="13" t="s">
        <v>869</v>
      </c>
      <c r="G339" s="13">
        <v>0</v>
      </c>
      <c r="H339" s="13">
        <v>12</v>
      </c>
      <c r="I339" s="13" t="s">
        <v>401</v>
      </c>
      <c r="K339" s="13">
        <v>3</v>
      </c>
      <c r="L339" s="13">
        <v>1</v>
      </c>
      <c r="M339" s="13" t="s">
        <v>254</v>
      </c>
      <c r="N339" s="13" t="s">
        <v>396</v>
      </c>
      <c r="O339" s="13">
        <v>0</v>
      </c>
      <c r="P339" s="13" t="s">
        <v>2788</v>
      </c>
      <c r="Q339" s="13" t="s">
        <v>870</v>
      </c>
      <c r="S339" s="13" t="s">
        <v>871</v>
      </c>
      <c r="U339" s="13" t="s">
        <v>872</v>
      </c>
      <c r="Y339" s="13" t="s">
        <v>250</v>
      </c>
      <c r="Z339" s="13" t="s">
        <v>873</v>
      </c>
      <c r="AA339" s="13" t="s">
        <v>251</v>
      </c>
      <c r="AB339" s="13">
        <v>0.15</v>
      </c>
      <c r="AC339" s="13">
        <v>0</v>
      </c>
      <c r="AD339" s="13">
        <v>20</v>
      </c>
      <c r="AE339" s="13">
        <v>1</v>
      </c>
      <c r="AF339" s="13" t="s">
        <v>1006</v>
      </c>
      <c r="AH339" s="13" t="s">
        <v>399</v>
      </c>
      <c r="AI339" s="13">
        <v>0</v>
      </c>
      <c r="AK339" s="13">
        <v>43265.937573936004</v>
      </c>
      <c r="AN339" s="163" t="s">
        <v>235</v>
      </c>
      <c r="AO339" s="163">
        <v>0</v>
      </c>
      <c r="AP339" s="163" t="s">
        <v>252</v>
      </c>
      <c r="AR339" s="13">
        <v>28122.859423058406</v>
      </c>
      <c r="AS339" s="13">
        <v>13780.506326400002</v>
      </c>
      <c r="AT339" s="13">
        <v>89868.44724657308</v>
      </c>
      <c r="AU339" s="13">
        <v>1</v>
      </c>
      <c r="AV339" s="13">
        <v>1</v>
      </c>
      <c r="AW339" s="13">
        <v>0</v>
      </c>
      <c r="AX339" s="13">
        <v>0</v>
      </c>
      <c r="AY339" s="13">
        <v>0</v>
      </c>
      <c r="AZ339" s="13">
        <v>0</v>
      </c>
      <c r="BA339" s="13">
        <v>0</v>
      </c>
      <c r="BB339" s="13">
        <v>0</v>
      </c>
      <c r="BC339" s="13">
        <v>0</v>
      </c>
      <c r="BD339" s="13">
        <v>0</v>
      </c>
      <c r="BE339" s="13">
        <v>0.5</v>
      </c>
      <c r="BF339" s="13">
        <v>0.5</v>
      </c>
      <c r="BG339" s="13">
        <v>0</v>
      </c>
      <c r="BH339" s="13">
        <v>0</v>
      </c>
      <c r="BI339" s="13">
        <v>0</v>
      </c>
      <c r="BJ339" s="13">
        <v>0</v>
      </c>
      <c r="BK339" s="13">
        <v>0</v>
      </c>
      <c r="BL339" s="13">
        <v>0</v>
      </c>
      <c r="BM339" s="13">
        <v>0</v>
      </c>
      <c r="BN339" s="13">
        <v>0</v>
      </c>
      <c r="BO339" s="13">
        <v>0</v>
      </c>
      <c r="BP339" s="13">
        <v>1</v>
      </c>
      <c r="BR339" s="13">
        <v>12</v>
      </c>
    </row>
    <row r="340" spans="1:70" s="13" customFormat="1" x14ac:dyDescent="0.15">
      <c r="B340" s="13" t="s">
        <v>2789</v>
      </c>
      <c r="C340" s="13" t="s">
        <v>868</v>
      </c>
      <c r="E340" s="13" t="s">
        <v>869</v>
      </c>
      <c r="G340" s="13">
        <v>0</v>
      </c>
      <c r="H340" s="13">
        <v>12</v>
      </c>
      <c r="I340" s="13" t="s">
        <v>401</v>
      </c>
      <c r="K340" s="13">
        <v>3</v>
      </c>
      <c r="L340" s="13">
        <v>1</v>
      </c>
      <c r="M340" s="13" t="s">
        <v>254</v>
      </c>
      <c r="N340" s="13" t="s">
        <v>396</v>
      </c>
      <c r="O340" s="13">
        <v>0</v>
      </c>
      <c r="P340" s="13" t="s">
        <v>2790</v>
      </c>
      <c r="Q340" s="13" t="s">
        <v>870</v>
      </c>
      <c r="S340" s="13" t="s">
        <v>871</v>
      </c>
      <c r="U340" s="13" t="s">
        <v>872</v>
      </c>
      <c r="Y340" s="13" t="s">
        <v>250</v>
      </c>
      <c r="Z340" s="13" t="s">
        <v>873</v>
      </c>
      <c r="AA340" s="13" t="s">
        <v>251</v>
      </c>
      <c r="AB340" s="13">
        <v>0.15</v>
      </c>
      <c r="AC340" s="13">
        <v>0</v>
      </c>
      <c r="AD340" s="13">
        <v>20</v>
      </c>
      <c r="AE340" s="13">
        <v>1</v>
      </c>
      <c r="AF340" s="13" t="s">
        <v>1006</v>
      </c>
      <c r="AH340" s="13" t="s">
        <v>399</v>
      </c>
      <c r="AI340" s="13">
        <v>680</v>
      </c>
      <c r="AK340" s="13">
        <v>43265.937573936004</v>
      </c>
      <c r="AN340" s="163" t="s">
        <v>235</v>
      </c>
      <c r="AO340" s="163">
        <v>0</v>
      </c>
      <c r="AP340" s="163" t="s">
        <v>252</v>
      </c>
      <c r="AR340" s="13">
        <v>28122.859423058406</v>
      </c>
      <c r="AS340" s="13">
        <v>13780.506326400002</v>
      </c>
      <c r="AT340" s="13">
        <v>89868.44724657308</v>
      </c>
      <c r="AU340" s="13">
        <v>1</v>
      </c>
      <c r="AV340" s="13">
        <v>1</v>
      </c>
      <c r="AW340" s="13">
        <v>0</v>
      </c>
      <c r="AX340" s="13">
        <v>0</v>
      </c>
      <c r="AY340" s="13">
        <v>0</v>
      </c>
      <c r="AZ340" s="13">
        <v>0</v>
      </c>
      <c r="BA340" s="13">
        <v>0</v>
      </c>
      <c r="BB340" s="13">
        <v>0</v>
      </c>
      <c r="BC340" s="13">
        <v>0</v>
      </c>
      <c r="BD340" s="13">
        <v>0</v>
      </c>
      <c r="BE340" s="13">
        <v>0.5</v>
      </c>
      <c r="BF340" s="13">
        <v>0.5</v>
      </c>
      <c r="BG340" s="13">
        <v>0</v>
      </c>
      <c r="BH340" s="13">
        <v>0</v>
      </c>
      <c r="BI340" s="13">
        <v>0</v>
      </c>
      <c r="BJ340" s="13">
        <v>0</v>
      </c>
      <c r="BK340" s="13">
        <v>0</v>
      </c>
      <c r="BL340" s="13">
        <v>0</v>
      </c>
      <c r="BM340" s="13">
        <v>0</v>
      </c>
      <c r="BN340" s="13">
        <v>0</v>
      </c>
      <c r="BO340" s="13">
        <v>0</v>
      </c>
      <c r="BP340" s="13">
        <v>1</v>
      </c>
      <c r="BR340" s="13">
        <v>12</v>
      </c>
    </row>
    <row r="341" spans="1:70" s="13" customFormat="1" x14ac:dyDescent="0.15">
      <c r="B341" s="13" t="s">
        <v>2791</v>
      </c>
      <c r="C341" s="13" t="s">
        <v>2416</v>
      </c>
      <c r="E341" s="13" t="s">
        <v>2417</v>
      </c>
      <c r="G341" s="13">
        <v>2</v>
      </c>
      <c r="H341" s="13">
        <v>11</v>
      </c>
      <c r="I341" s="13" t="s">
        <v>809</v>
      </c>
      <c r="K341" s="13">
        <v>3</v>
      </c>
      <c r="L341" s="13">
        <v>1</v>
      </c>
      <c r="M341" s="13" t="s">
        <v>254</v>
      </c>
      <c r="N341" s="13" t="s">
        <v>396</v>
      </c>
      <c r="O341" s="13">
        <v>0</v>
      </c>
      <c r="P341" s="13" t="s">
        <v>2792</v>
      </c>
      <c r="Q341" s="13" t="s">
        <v>2419</v>
      </c>
      <c r="Y341" s="13" t="s">
        <v>250</v>
      </c>
      <c r="Z341" s="13" t="s">
        <v>235</v>
      </c>
      <c r="AA341" s="13" t="s">
        <v>251</v>
      </c>
      <c r="AB341" s="13">
        <v>0.15</v>
      </c>
      <c r="AC341" s="13">
        <v>30</v>
      </c>
      <c r="AD341" s="13">
        <v>20</v>
      </c>
      <c r="AE341" s="13">
        <v>1</v>
      </c>
      <c r="AF341" s="13" t="s">
        <v>235</v>
      </c>
      <c r="AH341" s="13" t="s">
        <v>399</v>
      </c>
      <c r="AI341" s="13">
        <v>0</v>
      </c>
      <c r="AK341" s="13">
        <v>22607.2647</v>
      </c>
      <c r="AN341" s="163" t="s">
        <v>235</v>
      </c>
      <c r="AO341" s="163">
        <v>0</v>
      </c>
      <c r="AP341" s="163" t="s">
        <v>252</v>
      </c>
      <c r="AR341" s="13">
        <v>14694.722055</v>
      </c>
      <c r="AS341" s="13">
        <v>6126.63</v>
      </c>
      <c r="AT341" s="13">
        <v>1</v>
      </c>
      <c r="AU341" s="13">
        <v>1</v>
      </c>
      <c r="AV341" s="13">
        <v>1</v>
      </c>
      <c r="AW341" s="13">
        <v>0</v>
      </c>
      <c r="AX341" s="13">
        <v>0</v>
      </c>
      <c r="AY341" s="13">
        <v>0</v>
      </c>
      <c r="AZ341" s="13">
        <v>0</v>
      </c>
      <c r="BA341" s="13">
        <v>0</v>
      </c>
      <c r="BB341" s="13">
        <v>0</v>
      </c>
      <c r="BC341" s="13">
        <v>0</v>
      </c>
      <c r="BD341" s="13">
        <v>0</v>
      </c>
      <c r="BE341" s="13">
        <v>0.5</v>
      </c>
      <c r="BF341" s="13">
        <v>0.5</v>
      </c>
      <c r="BG341" s="13">
        <v>0</v>
      </c>
      <c r="BH341" s="13">
        <v>0</v>
      </c>
      <c r="BI341" s="13">
        <v>0</v>
      </c>
      <c r="BJ341" s="13">
        <v>0</v>
      </c>
      <c r="BK341" s="13">
        <v>0</v>
      </c>
      <c r="BL341" s="13">
        <v>0</v>
      </c>
      <c r="BM341" s="13">
        <v>0</v>
      </c>
      <c r="BN341" s="13">
        <v>0</v>
      </c>
      <c r="BO341" s="13">
        <v>0</v>
      </c>
      <c r="BP341" s="13">
        <v>1</v>
      </c>
      <c r="BR341" s="13">
        <v>11</v>
      </c>
    </row>
    <row r="342" spans="1:70" s="13" customFormat="1" x14ac:dyDescent="0.15">
      <c r="B342" s="13" t="s">
        <v>2793</v>
      </c>
      <c r="C342" s="13" t="s">
        <v>2416</v>
      </c>
      <c r="E342" s="13" t="s">
        <v>2417</v>
      </c>
      <c r="G342" s="13">
        <v>2</v>
      </c>
      <c r="H342" s="13">
        <v>11</v>
      </c>
      <c r="I342" s="13" t="s">
        <v>809</v>
      </c>
      <c r="K342" s="13">
        <v>3</v>
      </c>
      <c r="L342" s="13">
        <v>1</v>
      </c>
      <c r="M342" s="13" t="s">
        <v>254</v>
      </c>
      <c r="N342" s="13" t="s">
        <v>396</v>
      </c>
      <c r="O342" s="13">
        <v>0</v>
      </c>
      <c r="P342" s="13" t="s">
        <v>2794</v>
      </c>
      <c r="Q342" s="13" t="s">
        <v>2419</v>
      </c>
      <c r="Y342" s="13" t="s">
        <v>250</v>
      </c>
      <c r="Z342" s="13" t="s">
        <v>235</v>
      </c>
      <c r="AA342" s="13" t="s">
        <v>251</v>
      </c>
      <c r="AB342" s="13">
        <v>0.15</v>
      </c>
      <c r="AC342" s="13">
        <v>0</v>
      </c>
      <c r="AD342" s="13">
        <v>20</v>
      </c>
      <c r="AE342" s="13">
        <v>1</v>
      </c>
      <c r="AF342" s="13" t="s">
        <v>235</v>
      </c>
      <c r="AH342" s="13" t="s">
        <v>399</v>
      </c>
      <c r="AI342" s="13">
        <v>0</v>
      </c>
      <c r="AK342" s="13">
        <v>22607.2647</v>
      </c>
      <c r="AN342" s="163" t="s">
        <v>235</v>
      </c>
      <c r="AO342" s="163">
        <v>0</v>
      </c>
      <c r="AP342" s="163" t="s">
        <v>252</v>
      </c>
      <c r="AR342" s="13">
        <v>14694.722055</v>
      </c>
      <c r="AS342" s="13">
        <v>6126.63</v>
      </c>
      <c r="AT342" s="13">
        <v>1</v>
      </c>
      <c r="AU342" s="13">
        <v>1</v>
      </c>
      <c r="AV342" s="13">
        <v>1</v>
      </c>
      <c r="AW342" s="13">
        <v>0</v>
      </c>
      <c r="AX342" s="13">
        <v>0</v>
      </c>
      <c r="AY342" s="13">
        <v>0</v>
      </c>
      <c r="AZ342" s="13">
        <v>0</v>
      </c>
      <c r="BA342" s="13">
        <v>0</v>
      </c>
      <c r="BB342" s="13">
        <v>0</v>
      </c>
      <c r="BC342" s="13">
        <v>0</v>
      </c>
      <c r="BD342" s="13">
        <v>0</v>
      </c>
      <c r="BE342" s="13">
        <v>0.5</v>
      </c>
      <c r="BF342" s="13">
        <v>0.5</v>
      </c>
      <c r="BG342" s="13">
        <v>0</v>
      </c>
      <c r="BH342" s="13">
        <v>0</v>
      </c>
      <c r="BI342" s="13">
        <v>0</v>
      </c>
      <c r="BJ342" s="13">
        <v>0</v>
      </c>
      <c r="BK342" s="13">
        <v>0</v>
      </c>
      <c r="BL342" s="13">
        <v>0</v>
      </c>
      <c r="BM342" s="13">
        <v>0</v>
      </c>
      <c r="BN342" s="13">
        <v>0</v>
      </c>
      <c r="BO342" s="13">
        <v>0</v>
      </c>
      <c r="BP342" s="13">
        <v>1</v>
      </c>
      <c r="BR342" s="13">
        <v>11</v>
      </c>
    </row>
    <row r="343" spans="1:70" s="13" customFormat="1" x14ac:dyDescent="0.15">
      <c r="B343" s="13" t="s">
        <v>2795</v>
      </c>
      <c r="C343" s="13" t="s">
        <v>2416</v>
      </c>
      <c r="E343" s="13" t="s">
        <v>2417</v>
      </c>
      <c r="G343" s="13">
        <v>2</v>
      </c>
      <c r="H343" s="13">
        <v>11</v>
      </c>
      <c r="I343" s="13" t="s">
        <v>809</v>
      </c>
      <c r="K343" s="13">
        <v>3</v>
      </c>
      <c r="L343" s="13">
        <v>1</v>
      </c>
      <c r="M343" s="13" t="s">
        <v>254</v>
      </c>
      <c r="N343" s="13" t="s">
        <v>396</v>
      </c>
      <c r="O343" s="13">
        <v>0</v>
      </c>
      <c r="P343" s="13" t="s">
        <v>2796</v>
      </c>
      <c r="Q343" s="13" t="s">
        <v>2419</v>
      </c>
      <c r="Y343" s="13" t="s">
        <v>250</v>
      </c>
      <c r="Z343" s="13" t="s">
        <v>235</v>
      </c>
      <c r="AA343" s="13" t="s">
        <v>251</v>
      </c>
      <c r="AB343" s="13">
        <v>0.15</v>
      </c>
      <c r="AC343" s="13">
        <v>0</v>
      </c>
      <c r="AD343" s="13">
        <v>20</v>
      </c>
      <c r="AE343" s="13">
        <v>1</v>
      </c>
      <c r="AF343" s="13" t="s">
        <v>235</v>
      </c>
      <c r="AH343" s="13" t="s">
        <v>399</v>
      </c>
      <c r="AI343" s="13">
        <v>0</v>
      </c>
      <c r="AK343" s="13">
        <v>22607.2647</v>
      </c>
      <c r="AN343" s="163" t="s">
        <v>235</v>
      </c>
      <c r="AO343" s="163">
        <v>0</v>
      </c>
      <c r="AP343" s="163" t="s">
        <v>252</v>
      </c>
      <c r="AR343" s="13">
        <v>14694.722055</v>
      </c>
      <c r="AS343" s="13">
        <v>6126.63</v>
      </c>
      <c r="AT343" s="13">
        <v>1</v>
      </c>
      <c r="AU343" s="13">
        <v>1</v>
      </c>
      <c r="AV343" s="13">
        <v>1</v>
      </c>
      <c r="AW343" s="13">
        <v>0</v>
      </c>
      <c r="AX343" s="13">
        <v>0</v>
      </c>
      <c r="AY343" s="13">
        <v>0</v>
      </c>
      <c r="AZ343" s="13">
        <v>0</v>
      </c>
      <c r="BA343" s="13">
        <v>0</v>
      </c>
      <c r="BB343" s="13">
        <v>0</v>
      </c>
      <c r="BC343" s="13">
        <v>0</v>
      </c>
      <c r="BD343" s="13">
        <v>0</v>
      </c>
      <c r="BE343" s="13">
        <v>0.5</v>
      </c>
      <c r="BF343" s="13">
        <v>0.5</v>
      </c>
      <c r="BG343" s="13">
        <v>0</v>
      </c>
      <c r="BH343" s="13">
        <v>0</v>
      </c>
      <c r="BI343" s="13">
        <v>0</v>
      </c>
      <c r="BJ343" s="13">
        <v>0</v>
      </c>
      <c r="BK343" s="13">
        <v>0</v>
      </c>
      <c r="BL343" s="13">
        <v>0</v>
      </c>
      <c r="BM343" s="13">
        <v>0</v>
      </c>
      <c r="BN343" s="13">
        <v>0</v>
      </c>
      <c r="BO343" s="13">
        <v>0</v>
      </c>
      <c r="BP343" s="13">
        <v>1</v>
      </c>
      <c r="BR343" s="13">
        <v>11</v>
      </c>
    </row>
    <row r="344" spans="1:70" s="13" customFormat="1" x14ac:dyDescent="0.15">
      <c r="B344" s="13" t="s">
        <v>2074</v>
      </c>
      <c r="C344" s="13" t="s">
        <v>821</v>
      </c>
      <c r="E344" s="13" t="s">
        <v>822</v>
      </c>
      <c r="G344" s="13">
        <v>0</v>
      </c>
      <c r="H344" s="13">
        <v>14</v>
      </c>
      <c r="I344" s="13" t="s">
        <v>401</v>
      </c>
      <c r="K344" s="13">
        <v>3</v>
      </c>
      <c r="L344" s="13">
        <v>1</v>
      </c>
      <c r="M344" s="13" t="s">
        <v>254</v>
      </c>
      <c r="N344" s="13" t="s">
        <v>396</v>
      </c>
      <c r="O344" s="13">
        <v>0</v>
      </c>
      <c r="P344" s="13" t="s">
        <v>2075</v>
      </c>
      <c r="Q344" s="13" t="s">
        <v>823</v>
      </c>
      <c r="S344" s="13" t="s">
        <v>824</v>
      </c>
      <c r="U344" s="13" t="s">
        <v>825</v>
      </c>
      <c r="Y344" s="13" t="s">
        <v>250</v>
      </c>
      <c r="Z344" s="13" t="s">
        <v>826</v>
      </c>
      <c r="AA344" s="13" t="s">
        <v>251</v>
      </c>
      <c r="AB344" s="13">
        <v>0.15</v>
      </c>
      <c r="AC344" s="13">
        <v>0</v>
      </c>
      <c r="AD344" s="13">
        <v>20</v>
      </c>
      <c r="AE344" s="13">
        <v>1</v>
      </c>
      <c r="AF344" s="13" t="s">
        <v>1008</v>
      </c>
      <c r="AH344" s="13" t="s">
        <v>399</v>
      </c>
      <c r="AI344" s="13">
        <v>0</v>
      </c>
      <c r="AK344" s="13">
        <v>48931.715113380007</v>
      </c>
      <c r="AN344" s="163" t="s">
        <v>235</v>
      </c>
      <c r="AO344" s="163">
        <v>0</v>
      </c>
      <c r="AP344" s="163" t="s">
        <v>252</v>
      </c>
      <c r="AR344" s="13">
        <v>31805.614823697008</v>
      </c>
      <c r="AS344" s="13">
        <v>13780.506326400002</v>
      </c>
      <c r="AT344" s="13">
        <v>99506.51260345192</v>
      </c>
      <c r="AU344" s="13">
        <v>1</v>
      </c>
      <c r="AV344" s="13">
        <v>1</v>
      </c>
      <c r="AW344" s="13">
        <v>0</v>
      </c>
      <c r="AX344" s="13">
        <v>0</v>
      </c>
      <c r="AY344" s="13">
        <v>0</v>
      </c>
      <c r="AZ344" s="13">
        <v>0</v>
      </c>
      <c r="BA344" s="13">
        <v>0</v>
      </c>
      <c r="BB344" s="13">
        <v>0</v>
      </c>
      <c r="BC344" s="13">
        <v>0</v>
      </c>
      <c r="BD344" s="13">
        <v>0</v>
      </c>
      <c r="BE344" s="13">
        <v>0.5</v>
      </c>
      <c r="BF344" s="13">
        <v>0.5</v>
      </c>
      <c r="BG344" s="13">
        <v>0</v>
      </c>
      <c r="BH344" s="13">
        <v>0</v>
      </c>
      <c r="BI344" s="13">
        <v>0</v>
      </c>
      <c r="BJ344" s="13">
        <v>0</v>
      </c>
      <c r="BK344" s="13">
        <v>0</v>
      </c>
      <c r="BL344" s="13">
        <v>0</v>
      </c>
      <c r="BM344" s="13">
        <v>0</v>
      </c>
      <c r="BN344" s="13">
        <v>0</v>
      </c>
      <c r="BO344" s="13">
        <v>0</v>
      </c>
      <c r="BP344" s="13">
        <v>1</v>
      </c>
      <c r="BR344" s="13">
        <v>14</v>
      </c>
    </row>
    <row r="345" spans="1:70" s="13" customFormat="1" x14ac:dyDescent="0.15">
      <c r="B345" s="13" t="s">
        <v>2076</v>
      </c>
      <c r="C345" s="13" t="s">
        <v>2424</v>
      </c>
      <c r="E345" s="13" t="s">
        <v>2425</v>
      </c>
      <c r="G345" s="13">
        <v>0</v>
      </c>
      <c r="H345" s="13">
        <v>14</v>
      </c>
      <c r="I345" s="13" t="s">
        <v>809</v>
      </c>
      <c r="K345" s="13">
        <v>3</v>
      </c>
      <c r="L345" s="13">
        <v>1</v>
      </c>
      <c r="M345" s="13" t="s">
        <v>254</v>
      </c>
      <c r="N345" s="13" t="s">
        <v>396</v>
      </c>
      <c r="O345" s="13">
        <v>0</v>
      </c>
      <c r="P345" s="13" t="s">
        <v>2077</v>
      </c>
      <c r="Q345" s="13" t="s">
        <v>2426</v>
      </c>
      <c r="S345" s="13" t="s">
        <v>2427</v>
      </c>
      <c r="U345" s="13" t="s">
        <v>2428</v>
      </c>
      <c r="Y345" s="13" t="s">
        <v>250</v>
      </c>
      <c r="Z345" s="13" t="s">
        <v>2429</v>
      </c>
      <c r="AA345" s="13" t="s">
        <v>251</v>
      </c>
      <c r="AB345" s="13">
        <v>0.15</v>
      </c>
      <c r="AC345" s="13">
        <v>0</v>
      </c>
      <c r="AD345" s="13">
        <v>20</v>
      </c>
      <c r="AE345" s="13">
        <v>1</v>
      </c>
      <c r="AF345" s="13" t="s">
        <v>2430</v>
      </c>
      <c r="AH345" s="13" t="s">
        <v>399</v>
      </c>
      <c r="AI345" s="13">
        <v>680</v>
      </c>
      <c r="AK345" s="13">
        <v>46824.607764000008</v>
      </c>
      <c r="AN345" s="163" t="s">
        <v>235</v>
      </c>
      <c r="AO345" s="163">
        <v>0</v>
      </c>
      <c r="AP345" s="163" t="s">
        <v>252</v>
      </c>
      <c r="AR345" s="13">
        <v>30435.995046600005</v>
      </c>
      <c r="AS345" s="13">
        <v>13780.506326400002</v>
      </c>
      <c r="AT345" s="13">
        <v>128636.17426598399</v>
      </c>
      <c r="AU345" s="13">
        <v>1</v>
      </c>
      <c r="AV345" s="13">
        <v>1</v>
      </c>
      <c r="AW345" s="13">
        <v>0</v>
      </c>
      <c r="AX345" s="13">
        <v>0</v>
      </c>
      <c r="AY345" s="13">
        <v>0</v>
      </c>
      <c r="AZ345" s="13">
        <v>0</v>
      </c>
      <c r="BA345" s="13">
        <v>0</v>
      </c>
      <c r="BB345" s="13">
        <v>0</v>
      </c>
      <c r="BC345" s="13">
        <v>0</v>
      </c>
      <c r="BD345" s="13">
        <v>0</v>
      </c>
      <c r="BE345" s="13">
        <v>0.5</v>
      </c>
      <c r="BF345" s="13">
        <v>0.5</v>
      </c>
      <c r="BG345" s="13">
        <v>0</v>
      </c>
      <c r="BH345" s="13">
        <v>0</v>
      </c>
      <c r="BI345" s="13">
        <v>0</v>
      </c>
      <c r="BJ345" s="13">
        <v>0</v>
      </c>
      <c r="BK345" s="13">
        <v>0</v>
      </c>
      <c r="BL345" s="13">
        <v>0</v>
      </c>
      <c r="BM345" s="13">
        <v>0</v>
      </c>
      <c r="BN345" s="13">
        <v>0</v>
      </c>
      <c r="BO345" s="13">
        <v>0</v>
      </c>
      <c r="BP345" s="13">
        <v>1</v>
      </c>
      <c r="BR345" s="13">
        <v>15</v>
      </c>
    </row>
    <row r="346" spans="1:70" s="13" customFormat="1" x14ac:dyDescent="0.15">
      <c r="B346" s="13" t="s">
        <v>2078</v>
      </c>
      <c r="C346" s="13" t="s">
        <v>981</v>
      </c>
      <c r="E346" s="13" t="s">
        <v>810</v>
      </c>
      <c r="G346" s="13">
        <v>0</v>
      </c>
      <c r="H346" s="13">
        <v>12</v>
      </c>
      <c r="I346" s="13" t="s">
        <v>400</v>
      </c>
      <c r="K346" s="13">
        <v>3</v>
      </c>
      <c r="L346" s="13">
        <v>1</v>
      </c>
      <c r="M346" s="13" t="s">
        <v>254</v>
      </c>
      <c r="N346" s="13" t="s">
        <v>396</v>
      </c>
      <c r="O346" s="13">
        <v>0</v>
      </c>
      <c r="P346" s="13" t="s">
        <v>2079</v>
      </c>
      <c r="Q346" s="13" t="s">
        <v>811</v>
      </c>
      <c r="S346" s="13" t="s">
        <v>812</v>
      </c>
      <c r="U346" s="13" t="s">
        <v>813</v>
      </c>
      <c r="Y346" s="13" t="s">
        <v>250</v>
      </c>
      <c r="Z346" s="13" t="s">
        <v>814</v>
      </c>
      <c r="AA346" s="13" t="s">
        <v>251</v>
      </c>
      <c r="AB346" s="13">
        <v>0.15</v>
      </c>
      <c r="AC346" s="13">
        <v>30</v>
      </c>
      <c r="AD346" s="13">
        <v>20</v>
      </c>
      <c r="AE346" s="13">
        <v>1</v>
      </c>
      <c r="AF346" s="13" t="s">
        <v>1030</v>
      </c>
      <c r="AH346" s="13" t="s">
        <v>399</v>
      </c>
      <c r="AI346" s="13">
        <v>0</v>
      </c>
      <c r="AK346" s="13">
        <v>27392.395541940004</v>
      </c>
      <c r="AN346" s="163" t="s">
        <v>235</v>
      </c>
      <c r="AO346" s="163">
        <v>0</v>
      </c>
      <c r="AP346" s="163" t="s">
        <v>252</v>
      </c>
      <c r="AR346" s="13">
        <v>17805.057102261006</v>
      </c>
      <c r="AS346" s="13">
        <v>16260.997465152002</v>
      </c>
      <c r="AT346" s="13">
        <v>148275.70217204309</v>
      </c>
      <c r="AU346" s="13">
        <v>1</v>
      </c>
      <c r="AV346" s="13">
        <v>1</v>
      </c>
      <c r="AW346" s="13">
        <v>0</v>
      </c>
      <c r="AX346" s="13">
        <v>0</v>
      </c>
      <c r="AY346" s="13">
        <v>0</v>
      </c>
      <c r="AZ346" s="13">
        <v>0</v>
      </c>
      <c r="BA346" s="13">
        <v>0</v>
      </c>
      <c r="BB346" s="13">
        <v>0</v>
      </c>
      <c r="BC346" s="13">
        <v>0</v>
      </c>
      <c r="BD346" s="13">
        <v>0</v>
      </c>
      <c r="BE346" s="13">
        <v>0.5</v>
      </c>
      <c r="BF346" s="13">
        <v>0.5</v>
      </c>
      <c r="BG346" s="13">
        <v>0</v>
      </c>
      <c r="BH346" s="13">
        <v>0</v>
      </c>
      <c r="BI346" s="13">
        <v>0</v>
      </c>
      <c r="BJ346" s="13">
        <v>0</v>
      </c>
      <c r="BK346" s="13">
        <v>0</v>
      </c>
      <c r="BL346" s="13">
        <v>0</v>
      </c>
      <c r="BM346" s="13">
        <v>0</v>
      </c>
      <c r="BN346" s="13">
        <v>0</v>
      </c>
      <c r="BO346" s="13">
        <v>0</v>
      </c>
      <c r="BP346" s="13">
        <v>1</v>
      </c>
      <c r="BR346" s="13">
        <v>11</v>
      </c>
    </row>
    <row r="347" spans="1:70" s="42" customFormat="1" ht="14.25" x14ac:dyDescent="0.15">
      <c r="A347" s="164"/>
      <c r="B347" s="42" t="s">
        <v>2080</v>
      </c>
      <c r="C347" s="13" t="s">
        <v>882</v>
      </c>
      <c r="E347" s="42" t="s">
        <v>883</v>
      </c>
      <c r="G347" s="42">
        <v>1</v>
      </c>
      <c r="H347" s="42">
        <v>14</v>
      </c>
      <c r="I347" s="42" t="s">
        <v>400</v>
      </c>
      <c r="K347" s="42">
        <v>3</v>
      </c>
      <c r="L347" s="42">
        <v>1</v>
      </c>
      <c r="M347" s="42" t="s">
        <v>254</v>
      </c>
      <c r="N347" s="42" t="s">
        <v>396</v>
      </c>
      <c r="O347" s="42">
        <v>0</v>
      </c>
      <c r="P347" s="42" t="s">
        <v>2081</v>
      </c>
      <c r="Q347" s="42" t="s">
        <v>884</v>
      </c>
      <c r="S347" s="42" t="s">
        <v>885</v>
      </c>
      <c r="U347" s="42" t="s">
        <v>886</v>
      </c>
      <c r="Y347" s="42" t="s">
        <v>250</v>
      </c>
      <c r="Z347" s="42" t="s">
        <v>887</v>
      </c>
      <c r="AA347" s="13" t="s">
        <v>251</v>
      </c>
      <c r="AB347" s="13">
        <v>0.15</v>
      </c>
      <c r="AC347" s="13">
        <v>0</v>
      </c>
      <c r="AD347" s="42">
        <v>20</v>
      </c>
      <c r="AE347" s="42">
        <v>1</v>
      </c>
      <c r="AF347" s="13" t="s">
        <v>1010</v>
      </c>
      <c r="AH347" s="42" t="s">
        <v>399</v>
      </c>
      <c r="AI347" s="13">
        <v>0</v>
      </c>
      <c r="AK347" s="42">
        <v>37225.563172380003</v>
      </c>
      <c r="AN347" s="42" t="s">
        <v>235</v>
      </c>
      <c r="AO347" s="42">
        <v>0</v>
      </c>
      <c r="AP347" s="42" t="s">
        <v>252</v>
      </c>
      <c r="AR347" s="42">
        <v>24196.616062047004</v>
      </c>
      <c r="AS347" s="42">
        <v>16260.997465152002</v>
      </c>
      <c r="AT347" s="42">
        <v>189538.9709722141</v>
      </c>
      <c r="AU347" s="13">
        <v>1</v>
      </c>
      <c r="AV347" s="13">
        <v>1</v>
      </c>
      <c r="AW347" s="13">
        <v>0</v>
      </c>
      <c r="AX347" s="13">
        <v>0</v>
      </c>
      <c r="AY347" s="13">
        <v>0</v>
      </c>
      <c r="AZ347" s="13">
        <v>0</v>
      </c>
      <c r="BA347" s="13">
        <v>0</v>
      </c>
      <c r="BB347" s="13">
        <v>0</v>
      </c>
      <c r="BC347" s="13">
        <v>0</v>
      </c>
      <c r="BD347" s="13">
        <v>0</v>
      </c>
      <c r="BE347" s="13">
        <v>0.5</v>
      </c>
      <c r="BF347" s="13">
        <v>0.5</v>
      </c>
      <c r="BG347" s="13">
        <v>0</v>
      </c>
      <c r="BH347" s="13">
        <v>0</v>
      </c>
      <c r="BI347" s="13">
        <v>0</v>
      </c>
      <c r="BJ347" s="13">
        <v>0</v>
      </c>
      <c r="BK347" s="13">
        <v>0</v>
      </c>
      <c r="BL347" s="13">
        <v>0</v>
      </c>
      <c r="BM347" s="13">
        <v>0</v>
      </c>
      <c r="BN347" s="13">
        <v>0</v>
      </c>
      <c r="BO347" s="13">
        <v>0</v>
      </c>
      <c r="BP347" s="13">
        <v>1</v>
      </c>
      <c r="BR347" s="42">
        <v>16</v>
      </c>
    </row>
    <row r="348" spans="1:70" s="13" customFormat="1" ht="14.25" x14ac:dyDescent="0.15">
      <c r="A348" s="164"/>
      <c r="B348" s="13" t="s">
        <v>2082</v>
      </c>
      <c r="C348" s="11" t="s">
        <v>981</v>
      </c>
      <c r="E348" s="13" t="s">
        <v>810</v>
      </c>
      <c r="G348" s="13">
        <v>0</v>
      </c>
      <c r="H348" s="13">
        <v>12</v>
      </c>
      <c r="I348" s="13" t="s">
        <v>400</v>
      </c>
      <c r="K348" s="13">
        <v>3</v>
      </c>
      <c r="L348" s="13">
        <v>1</v>
      </c>
      <c r="M348" s="13" t="s">
        <v>254</v>
      </c>
      <c r="N348" s="13" t="s">
        <v>396</v>
      </c>
      <c r="O348" s="13">
        <v>0</v>
      </c>
      <c r="P348" s="13" t="s">
        <v>2083</v>
      </c>
      <c r="Q348" s="13" t="s">
        <v>811</v>
      </c>
      <c r="S348" s="13" t="s">
        <v>812</v>
      </c>
      <c r="U348" s="42" t="s">
        <v>813</v>
      </c>
      <c r="Y348" s="13" t="s">
        <v>250</v>
      </c>
      <c r="Z348" s="13" t="s">
        <v>814</v>
      </c>
      <c r="AA348" s="13" t="s">
        <v>251</v>
      </c>
      <c r="AB348" s="13">
        <v>0.15</v>
      </c>
      <c r="AC348" s="13">
        <v>0</v>
      </c>
      <c r="AD348" s="13">
        <v>20</v>
      </c>
      <c r="AE348" s="13">
        <v>1</v>
      </c>
      <c r="AF348" s="13" t="s">
        <v>1030</v>
      </c>
      <c r="AH348" s="13" t="s">
        <v>399</v>
      </c>
      <c r="AI348" s="13">
        <v>0</v>
      </c>
      <c r="AK348" s="13">
        <v>27392.395541940004</v>
      </c>
      <c r="AN348" s="163" t="s">
        <v>235</v>
      </c>
      <c r="AO348" s="163">
        <v>0</v>
      </c>
      <c r="AP348" s="163" t="s">
        <v>252</v>
      </c>
      <c r="AR348" s="13">
        <v>17805.057102261006</v>
      </c>
      <c r="AS348" s="13">
        <v>16260.997465152002</v>
      </c>
      <c r="AT348" s="13">
        <v>148275.70217204309</v>
      </c>
      <c r="AU348" s="13">
        <v>1</v>
      </c>
      <c r="AV348" s="13">
        <v>1</v>
      </c>
      <c r="AW348" s="13">
        <v>0</v>
      </c>
      <c r="AX348" s="13">
        <v>0</v>
      </c>
      <c r="AY348" s="13">
        <v>0</v>
      </c>
      <c r="AZ348" s="13">
        <v>0</v>
      </c>
      <c r="BA348" s="13">
        <v>0</v>
      </c>
      <c r="BB348" s="13">
        <v>0</v>
      </c>
      <c r="BC348" s="13">
        <v>0</v>
      </c>
      <c r="BD348" s="13">
        <v>0</v>
      </c>
      <c r="BE348" s="13">
        <v>0.5</v>
      </c>
      <c r="BF348" s="13">
        <v>0.5</v>
      </c>
      <c r="BG348" s="13">
        <v>0</v>
      </c>
      <c r="BH348" s="13">
        <v>0</v>
      </c>
      <c r="BI348" s="13">
        <v>0</v>
      </c>
      <c r="BJ348" s="13">
        <v>0</v>
      </c>
      <c r="BK348" s="13">
        <v>0</v>
      </c>
      <c r="BL348" s="13">
        <v>0</v>
      </c>
      <c r="BM348" s="13">
        <v>0</v>
      </c>
      <c r="BN348" s="13">
        <v>0</v>
      </c>
      <c r="BO348" s="13">
        <v>0</v>
      </c>
      <c r="BP348" s="13">
        <v>1</v>
      </c>
      <c r="BR348" s="13">
        <v>11</v>
      </c>
    </row>
    <row r="349" spans="1:70" s="42" customFormat="1" ht="14.25" x14ac:dyDescent="0.15">
      <c r="A349" s="164"/>
      <c r="B349" s="42" t="s">
        <v>2797</v>
      </c>
      <c r="C349" s="42" t="s">
        <v>918</v>
      </c>
      <c r="E349" s="42" t="s">
        <v>919</v>
      </c>
      <c r="G349" s="42">
        <v>0</v>
      </c>
      <c r="H349" s="42">
        <v>13</v>
      </c>
      <c r="I349" s="42" t="s">
        <v>809</v>
      </c>
      <c r="K349" s="42">
        <v>3</v>
      </c>
      <c r="L349" s="42">
        <v>1</v>
      </c>
      <c r="M349" s="42" t="s">
        <v>254</v>
      </c>
      <c r="N349" s="42" t="s">
        <v>396</v>
      </c>
      <c r="O349" s="42">
        <v>0</v>
      </c>
      <c r="P349" s="42" t="s">
        <v>2798</v>
      </c>
      <c r="Q349" s="42" t="s">
        <v>920</v>
      </c>
      <c r="S349" s="42" t="s">
        <v>921</v>
      </c>
      <c r="U349" s="42" t="s">
        <v>922</v>
      </c>
      <c r="Y349" s="42" t="s">
        <v>923</v>
      </c>
      <c r="Z349" s="42" t="s">
        <v>235</v>
      </c>
      <c r="AA349" s="13" t="s">
        <v>251</v>
      </c>
      <c r="AB349" s="13">
        <v>0.15</v>
      </c>
      <c r="AC349" s="13">
        <v>0</v>
      </c>
      <c r="AD349" s="42">
        <v>20</v>
      </c>
      <c r="AE349" s="42">
        <v>1</v>
      </c>
      <c r="AF349" s="13" t="s">
        <v>1017</v>
      </c>
      <c r="AH349" s="13" t="s">
        <v>399</v>
      </c>
      <c r="AI349" s="13">
        <v>0</v>
      </c>
      <c r="AK349" s="42">
        <v>39332.670521760003</v>
      </c>
      <c r="AN349" s="42" t="s">
        <v>235</v>
      </c>
      <c r="AO349" s="42">
        <v>0</v>
      </c>
      <c r="AP349" s="42" t="s">
        <v>252</v>
      </c>
      <c r="AR349" s="42">
        <v>25566.235839144003</v>
      </c>
      <c r="AS349" s="42">
        <v>13780.506326400002</v>
      </c>
      <c r="AT349" s="42">
        <v>110948.70030441121</v>
      </c>
      <c r="AU349" s="13">
        <v>1</v>
      </c>
      <c r="AV349" s="13">
        <v>1</v>
      </c>
      <c r="AW349" s="13">
        <v>0</v>
      </c>
      <c r="AX349" s="13">
        <v>0</v>
      </c>
      <c r="AY349" s="13">
        <v>0</v>
      </c>
      <c r="AZ349" s="13">
        <v>0</v>
      </c>
      <c r="BA349" s="13">
        <v>0</v>
      </c>
      <c r="BB349" s="13">
        <v>0</v>
      </c>
      <c r="BC349" s="13">
        <v>0</v>
      </c>
      <c r="BD349" s="13">
        <v>0</v>
      </c>
      <c r="BE349" s="13">
        <v>0.5</v>
      </c>
      <c r="BF349" s="13">
        <v>0.5</v>
      </c>
      <c r="BG349" s="13">
        <v>0</v>
      </c>
      <c r="BH349" s="13">
        <v>0</v>
      </c>
      <c r="BI349" s="13">
        <v>0</v>
      </c>
      <c r="BJ349" s="13">
        <v>0</v>
      </c>
      <c r="BK349" s="13">
        <v>0</v>
      </c>
      <c r="BL349" s="13">
        <v>0</v>
      </c>
      <c r="BM349" s="13">
        <v>0</v>
      </c>
      <c r="BN349" s="13">
        <v>0</v>
      </c>
      <c r="BO349" s="13">
        <v>0</v>
      </c>
      <c r="BP349" s="13">
        <v>1</v>
      </c>
      <c r="BR349" s="42">
        <v>12</v>
      </c>
    </row>
    <row r="350" spans="1:70" s="42" customFormat="1" x14ac:dyDescent="0.15">
      <c r="B350" s="42" t="s">
        <v>2084</v>
      </c>
      <c r="C350" s="42" t="s">
        <v>962</v>
      </c>
      <c r="E350" s="42" t="s">
        <v>415</v>
      </c>
      <c r="G350" s="42">
        <v>0</v>
      </c>
      <c r="H350" s="42">
        <v>14</v>
      </c>
      <c r="I350" s="42" t="s">
        <v>296</v>
      </c>
      <c r="K350" s="42">
        <v>3</v>
      </c>
      <c r="L350" s="42">
        <v>1</v>
      </c>
      <c r="M350" s="42" t="s">
        <v>254</v>
      </c>
      <c r="N350" s="42" t="s">
        <v>396</v>
      </c>
      <c r="O350" s="42">
        <v>0</v>
      </c>
      <c r="P350" s="42" t="s">
        <v>2085</v>
      </c>
      <c r="Q350" s="42" t="s">
        <v>414</v>
      </c>
      <c r="S350" s="42" t="s">
        <v>413</v>
      </c>
      <c r="U350" s="42" t="s">
        <v>412</v>
      </c>
      <c r="Y350" s="42" t="s">
        <v>250</v>
      </c>
      <c r="Z350" s="42" t="s">
        <v>411</v>
      </c>
      <c r="AA350" s="13" t="s">
        <v>251</v>
      </c>
      <c r="AB350" s="13">
        <v>0.15</v>
      </c>
      <c r="AC350" s="13">
        <v>0</v>
      </c>
      <c r="AD350" s="42">
        <v>20</v>
      </c>
      <c r="AE350" s="42">
        <v>1</v>
      </c>
      <c r="AF350" s="13" t="s">
        <v>1026</v>
      </c>
      <c r="AH350" s="13" t="s">
        <v>399</v>
      </c>
      <c r="AI350" s="13">
        <v>1000</v>
      </c>
      <c r="AK350" s="42">
        <v>47199.204626112005</v>
      </c>
      <c r="AN350" s="42" t="s">
        <v>235</v>
      </c>
      <c r="AO350" s="42">
        <v>0</v>
      </c>
      <c r="AP350" s="42" t="s">
        <v>252</v>
      </c>
      <c r="AR350" s="42">
        <v>30679.483006972801</v>
      </c>
      <c r="AS350" s="42">
        <v>11300.015187647999</v>
      </c>
      <c r="AT350" s="42">
        <v>78773.577216131947</v>
      </c>
      <c r="AU350" s="13">
        <v>1</v>
      </c>
      <c r="AV350" s="13">
        <v>1</v>
      </c>
      <c r="AW350" s="13">
        <v>0</v>
      </c>
      <c r="AX350" s="13">
        <v>0</v>
      </c>
      <c r="AY350" s="13">
        <v>0</v>
      </c>
      <c r="AZ350" s="13">
        <v>0</v>
      </c>
      <c r="BA350" s="13">
        <v>0</v>
      </c>
      <c r="BB350" s="13">
        <v>0</v>
      </c>
      <c r="BC350" s="13">
        <v>0</v>
      </c>
      <c r="BD350" s="13">
        <v>0</v>
      </c>
      <c r="BE350" s="13">
        <v>0.5</v>
      </c>
      <c r="BF350" s="13">
        <v>0.5</v>
      </c>
      <c r="BG350" s="13">
        <v>0</v>
      </c>
      <c r="BH350" s="13">
        <v>0</v>
      </c>
      <c r="BI350" s="13">
        <v>0</v>
      </c>
      <c r="BJ350" s="13">
        <v>0</v>
      </c>
      <c r="BK350" s="13">
        <v>0</v>
      </c>
      <c r="BL350" s="13">
        <v>0</v>
      </c>
      <c r="BM350" s="13">
        <v>0</v>
      </c>
      <c r="BN350" s="13">
        <v>0</v>
      </c>
      <c r="BO350" s="13">
        <v>0</v>
      </c>
      <c r="BP350" s="13">
        <v>1</v>
      </c>
      <c r="BR350" s="42">
        <v>12</v>
      </c>
    </row>
    <row r="351" spans="1:70" s="42" customFormat="1" x14ac:dyDescent="0.15">
      <c r="B351" s="42" t="s">
        <v>2086</v>
      </c>
      <c r="C351" s="42" t="s">
        <v>2424</v>
      </c>
      <c r="E351" s="42" t="s">
        <v>2425</v>
      </c>
      <c r="G351" s="42">
        <v>0</v>
      </c>
      <c r="H351" s="42">
        <v>14</v>
      </c>
      <c r="I351" s="42" t="s">
        <v>809</v>
      </c>
      <c r="K351" s="42">
        <v>3</v>
      </c>
      <c r="L351" s="42">
        <v>1</v>
      </c>
      <c r="M351" s="42" t="s">
        <v>254</v>
      </c>
      <c r="N351" s="42" t="s">
        <v>396</v>
      </c>
      <c r="O351" s="42">
        <v>0</v>
      </c>
      <c r="P351" s="42" t="s">
        <v>2087</v>
      </c>
      <c r="Q351" s="42" t="s">
        <v>2426</v>
      </c>
      <c r="S351" s="42" t="s">
        <v>2427</v>
      </c>
      <c r="U351" s="42" t="s">
        <v>2428</v>
      </c>
      <c r="Y351" s="42" t="s">
        <v>250</v>
      </c>
      <c r="Z351" s="42" t="s">
        <v>2429</v>
      </c>
      <c r="AA351" s="13" t="s">
        <v>251</v>
      </c>
      <c r="AB351" s="13">
        <v>0.15</v>
      </c>
      <c r="AC351" s="13">
        <v>0</v>
      </c>
      <c r="AD351" s="42">
        <v>20</v>
      </c>
      <c r="AE351" s="42">
        <v>1</v>
      </c>
      <c r="AF351" s="13" t="s">
        <v>2430</v>
      </c>
      <c r="AH351" s="13" t="s">
        <v>399</v>
      </c>
      <c r="AI351" s="13">
        <v>680</v>
      </c>
      <c r="AK351" s="42">
        <v>46824.607764000008</v>
      </c>
      <c r="AN351" s="42" t="s">
        <v>235</v>
      </c>
      <c r="AO351" s="42">
        <v>0</v>
      </c>
      <c r="AP351" s="42" t="s">
        <v>252</v>
      </c>
      <c r="AR351" s="42">
        <v>30435.995046600005</v>
      </c>
      <c r="AS351" s="42">
        <v>13780.506326400002</v>
      </c>
      <c r="AT351" s="42">
        <v>128636.17426598399</v>
      </c>
      <c r="AU351" s="13">
        <v>1</v>
      </c>
      <c r="AV351" s="13">
        <v>1</v>
      </c>
      <c r="AW351" s="13">
        <v>0</v>
      </c>
      <c r="AX351" s="13">
        <v>0</v>
      </c>
      <c r="AY351" s="13">
        <v>0</v>
      </c>
      <c r="AZ351" s="13">
        <v>0</v>
      </c>
      <c r="BA351" s="13">
        <v>0</v>
      </c>
      <c r="BB351" s="13">
        <v>0</v>
      </c>
      <c r="BC351" s="13">
        <v>0</v>
      </c>
      <c r="BD351" s="13">
        <v>0</v>
      </c>
      <c r="BE351" s="13">
        <v>0.5</v>
      </c>
      <c r="BF351" s="13">
        <v>0.5</v>
      </c>
      <c r="BG351" s="13">
        <v>0</v>
      </c>
      <c r="BH351" s="13">
        <v>0</v>
      </c>
      <c r="BI351" s="13">
        <v>0</v>
      </c>
      <c r="BJ351" s="13">
        <v>0</v>
      </c>
      <c r="BK351" s="13">
        <v>0</v>
      </c>
      <c r="BL351" s="13">
        <v>0</v>
      </c>
      <c r="BM351" s="13">
        <v>0</v>
      </c>
      <c r="BN351" s="13">
        <v>0</v>
      </c>
      <c r="BO351" s="13">
        <v>0</v>
      </c>
      <c r="BP351" s="13">
        <v>1</v>
      </c>
      <c r="BR351" s="42">
        <v>15</v>
      </c>
    </row>
    <row r="352" spans="1:70" s="42" customFormat="1" x14ac:dyDescent="0.15">
      <c r="B352" s="42" t="s">
        <v>2799</v>
      </c>
      <c r="C352" s="42" t="s">
        <v>930</v>
      </c>
      <c r="E352" s="42" t="s">
        <v>404</v>
      </c>
      <c r="G352" s="42">
        <v>0</v>
      </c>
      <c r="H352" s="42">
        <v>14</v>
      </c>
      <c r="I352" s="42" t="s">
        <v>296</v>
      </c>
      <c r="K352" s="42">
        <v>3</v>
      </c>
      <c r="L352" s="42">
        <v>1</v>
      </c>
      <c r="M352" s="42" t="s">
        <v>254</v>
      </c>
      <c r="N352" s="42" t="s">
        <v>396</v>
      </c>
      <c r="O352" s="42">
        <v>0</v>
      </c>
      <c r="P352" s="42" t="s">
        <v>2800</v>
      </c>
      <c r="Q352" s="42" t="s">
        <v>257</v>
      </c>
      <c r="S352" s="42" t="s">
        <v>403</v>
      </c>
      <c r="U352" s="42" t="s">
        <v>402</v>
      </c>
      <c r="Y352" s="42" t="s">
        <v>250</v>
      </c>
      <c r="Z352" s="42" t="s">
        <v>256</v>
      </c>
      <c r="AA352" s="13" t="s">
        <v>251</v>
      </c>
      <c r="AB352" s="13">
        <v>0.15</v>
      </c>
      <c r="AC352" s="13">
        <v>30</v>
      </c>
      <c r="AD352" s="42">
        <v>20</v>
      </c>
      <c r="AE352" s="42">
        <v>1</v>
      </c>
      <c r="AF352" s="13" t="s">
        <v>1019</v>
      </c>
      <c r="AH352" s="13" t="s">
        <v>399</v>
      </c>
      <c r="AI352" s="13">
        <v>1000</v>
      </c>
      <c r="AK352" s="42">
        <v>62370.377541648013</v>
      </c>
      <c r="AN352" s="42" t="s">
        <v>235</v>
      </c>
      <c r="AO352" s="42">
        <v>0</v>
      </c>
      <c r="AP352" s="42" t="s">
        <v>252</v>
      </c>
      <c r="AR352" s="42">
        <v>40540.74540207121</v>
      </c>
      <c r="AS352" s="42">
        <v>11300.015187647999</v>
      </c>
      <c r="AT352" s="42">
        <v>99779.864473767142</v>
      </c>
      <c r="AU352" s="13">
        <v>1</v>
      </c>
      <c r="AV352" s="13">
        <v>1</v>
      </c>
      <c r="AW352" s="13">
        <v>0</v>
      </c>
      <c r="AX352" s="13">
        <v>0</v>
      </c>
      <c r="AY352" s="13">
        <v>0</v>
      </c>
      <c r="AZ352" s="13">
        <v>0</v>
      </c>
      <c r="BA352" s="13">
        <v>0</v>
      </c>
      <c r="BB352" s="13">
        <v>0</v>
      </c>
      <c r="BC352" s="13">
        <v>0</v>
      </c>
      <c r="BD352" s="13">
        <v>0</v>
      </c>
      <c r="BE352" s="13">
        <v>0.5</v>
      </c>
      <c r="BF352" s="13">
        <v>0.5</v>
      </c>
      <c r="BG352" s="13">
        <v>0</v>
      </c>
      <c r="BH352" s="13">
        <v>0</v>
      </c>
      <c r="BI352" s="13">
        <v>0</v>
      </c>
      <c r="BJ352" s="13">
        <v>0</v>
      </c>
      <c r="BK352" s="13">
        <v>0</v>
      </c>
      <c r="BL352" s="13">
        <v>0</v>
      </c>
      <c r="BM352" s="13">
        <v>0</v>
      </c>
      <c r="BN352" s="13">
        <v>0</v>
      </c>
      <c r="BO352" s="13">
        <v>0</v>
      </c>
      <c r="BP352" s="13">
        <v>1</v>
      </c>
      <c r="BR352" s="42">
        <v>17</v>
      </c>
    </row>
    <row r="353" spans="2:70" s="42" customFormat="1" x14ac:dyDescent="0.15">
      <c r="B353" s="42" t="s">
        <v>2088</v>
      </c>
      <c r="C353" s="42" t="s">
        <v>2801</v>
      </c>
      <c r="E353" s="42" t="s">
        <v>2802</v>
      </c>
      <c r="G353" s="42">
        <v>0</v>
      </c>
      <c r="H353" s="42">
        <v>14</v>
      </c>
      <c r="I353" s="42" t="s">
        <v>809</v>
      </c>
      <c r="K353" s="42">
        <v>3</v>
      </c>
      <c r="L353" s="42">
        <v>1</v>
      </c>
      <c r="M353" s="42" t="s">
        <v>254</v>
      </c>
      <c r="N353" s="42" t="s">
        <v>396</v>
      </c>
      <c r="O353" s="42">
        <v>0</v>
      </c>
      <c r="P353" s="42" t="s">
        <v>2089</v>
      </c>
      <c r="Q353" s="42" t="s">
        <v>2803</v>
      </c>
      <c r="S353" s="42" t="s">
        <v>2804</v>
      </c>
      <c r="U353" s="42" t="s">
        <v>2805</v>
      </c>
      <c r="Y353" s="42" t="s">
        <v>250</v>
      </c>
      <c r="Z353" s="42" t="s">
        <v>2806</v>
      </c>
      <c r="AA353" s="13" t="s">
        <v>251</v>
      </c>
      <c r="AB353" s="13">
        <v>0.15</v>
      </c>
      <c r="AC353" s="13">
        <v>0</v>
      </c>
      <c r="AD353" s="42">
        <v>20</v>
      </c>
      <c r="AE353" s="42">
        <v>1</v>
      </c>
      <c r="AF353" s="13" t="s">
        <v>2807</v>
      </c>
      <c r="AH353" s="13" t="s">
        <v>399</v>
      </c>
      <c r="AI353" s="13">
        <v>1000</v>
      </c>
      <c r="AK353" s="42">
        <v>51975.314618040014</v>
      </c>
      <c r="AN353" s="42" t="s">
        <v>235</v>
      </c>
      <c r="AO353" s="42">
        <v>0</v>
      </c>
      <c r="AP353" s="42" t="s">
        <v>252</v>
      </c>
      <c r="AR353" s="42">
        <v>33783.95450172601</v>
      </c>
      <c r="AS353" s="42">
        <v>13780.506326400002</v>
      </c>
      <c r="AT353" s="42">
        <v>140535.02038558753</v>
      </c>
      <c r="AU353" s="13">
        <v>1</v>
      </c>
      <c r="AV353" s="13">
        <v>1</v>
      </c>
      <c r="AW353" s="13">
        <v>0</v>
      </c>
      <c r="AX353" s="13">
        <v>0</v>
      </c>
      <c r="AY353" s="13">
        <v>0</v>
      </c>
      <c r="AZ353" s="13">
        <v>0</v>
      </c>
      <c r="BA353" s="13">
        <v>0</v>
      </c>
      <c r="BB353" s="13">
        <v>0</v>
      </c>
      <c r="BC353" s="13">
        <v>0</v>
      </c>
      <c r="BD353" s="13">
        <v>0</v>
      </c>
      <c r="BE353" s="13">
        <v>0.5</v>
      </c>
      <c r="BF353" s="13">
        <v>0.5</v>
      </c>
      <c r="BG353" s="13">
        <v>0</v>
      </c>
      <c r="BH353" s="13">
        <v>0</v>
      </c>
      <c r="BI353" s="13">
        <v>0</v>
      </c>
      <c r="BJ353" s="13">
        <v>0</v>
      </c>
      <c r="BK353" s="13">
        <v>0</v>
      </c>
      <c r="BL353" s="13">
        <v>0</v>
      </c>
      <c r="BM353" s="13">
        <v>0</v>
      </c>
      <c r="BN353" s="13">
        <v>0</v>
      </c>
      <c r="BO353" s="13">
        <v>0</v>
      </c>
      <c r="BP353" s="13">
        <v>1</v>
      </c>
      <c r="BR353" s="42">
        <v>17</v>
      </c>
    </row>
    <row r="354" spans="2:70" s="42" customFormat="1" x14ac:dyDescent="0.15">
      <c r="B354" s="42" t="s">
        <v>2090</v>
      </c>
      <c r="C354" s="42" t="s">
        <v>2550</v>
      </c>
      <c r="E354" s="42" t="s">
        <v>2551</v>
      </c>
      <c r="G354" s="42">
        <v>1</v>
      </c>
      <c r="H354" s="42">
        <v>14</v>
      </c>
      <c r="I354" s="42" t="s">
        <v>400</v>
      </c>
      <c r="K354" s="42">
        <v>3</v>
      </c>
      <c r="L354" s="42">
        <v>1</v>
      </c>
      <c r="M354" s="42" t="s">
        <v>254</v>
      </c>
      <c r="N354" s="42" t="s">
        <v>396</v>
      </c>
      <c r="O354" s="42">
        <v>0</v>
      </c>
      <c r="P354" s="42" t="s">
        <v>2091</v>
      </c>
      <c r="Q354" s="42" t="s">
        <v>2552</v>
      </c>
      <c r="S354" s="42" t="s">
        <v>2553</v>
      </c>
      <c r="U354" s="42" t="s">
        <v>2554</v>
      </c>
      <c r="Y354" s="42" t="s">
        <v>250</v>
      </c>
      <c r="Z354" s="42" t="s">
        <v>2555</v>
      </c>
      <c r="AA354" s="13" t="s">
        <v>251</v>
      </c>
      <c r="AB354" s="13">
        <v>0.15</v>
      </c>
      <c r="AC354" s="13">
        <v>0</v>
      </c>
      <c r="AD354" s="42">
        <v>20</v>
      </c>
      <c r="AE354" s="42">
        <v>1</v>
      </c>
      <c r="AF354" s="13" t="s">
        <v>2556</v>
      </c>
      <c r="AH354" s="13" t="s">
        <v>399</v>
      </c>
      <c r="AI354" s="13">
        <v>0</v>
      </c>
      <c r="AK354" s="42">
        <v>33362.533031850006</v>
      </c>
      <c r="AN354" s="42" t="s">
        <v>235</v>
      </c>
      <c r="AO354" s="42">
        <v>0</v>
      </c>
      <c r="AP354" s="42" t="s">
        <v>252</v>
      </c>
      <c r="AR354" s="42">
        <v>21685.646470702504</v>
      </c>
      <c r="AS354" s="42">
        <v>16260.997465152002</v>
      </c>
      <c r="AT354" s="42">
        <v>173215.04045786074</v>
      </c>
      <c r="AU354" s="13">
        <v>1</v>
      </c>
      <c r="AV354" s="13">
        <v>1</v>
      </c>
      <c r="AW354" s="13">
        <v>0</v>
      </c>
      <c r="AX354" s="13">
        <v>0</v>
      </c>
      <c r="AY354" s="13">
        <v>0</v>
      </c>
      <c r="AZ354" s="13">
        <v>0</v>
      </c>
      <c r="BA354" s="13">
        <v>0</v>
      </c>
      <c r="BB354" s="13">
        <v>0</v>
      </c>
      <c r="BC354" s="13">
        <v>0</v>
      </c>
      <c r="BD354" s="13">
        <v>0</v>
      </c>
      <c r="BE354" s="13">
        <v>0.4</v>
      </c>
      <c r="BF354" s="13">
        <v>0.4</v>
      </c>
      <c r="BG354" s="13">
        <v>0</v>
      </c>
      <c r="BH354" s="13">
        <v>0</v>
      </c>
      <c r="BI354" s="13">
        <v>0</v>
      </c>
      <c r="BJ354" s="13">
        <v>0</v>
      </c>
      <c r="BK354" s="13">
        <v>0</v>
      </c>
      <c r="BL354" s="13">
        <v>0</v>
      </c>
      <c r="BM354" s="13">
        <v>0</v>
      </c>
      <c r="BN354" s="13">
        <v>0</v>
      </c>
      <c r="BO354" s="13">
        <v>0</v>
      </c>
      <c r="BP354" s="13">
        <v>1</v>
      </c>
      <c r="BQ354" s="13"/>
      <c r="BR354" s="42">
        <v>14</v>
      </c>
    </row>
    <row r="355" spans="2:70" s="42" customFormat="1" x14ac:dyDescent="0.15">
      <c r="B355" s="42" t="s">
        <v>2092</v>
      </c>
      <c r="C355" s="42" t="s">
        <v>944</v>
      </c>
      <c r="E355" s="42" t="s">
        <v>945</v>
      </c>
      <c r="G355" s="42">
        <v>0</v>
      </c>
      <c r="H355" s="42">
        <v>14</v>
      </c>
      <c r="I355" s="42" t="s">
        <v>296</v>
      </c>
      <c r="K355" s="42">
        <v>3</v>
      </c>
      <c r="L355" s="42">
        <v>1</v>
      </c>
      <c r="M355" s="42" t="s">
        <v>254</v>
      </c>
      <c r="N355" s="42" t="s">
        <v>396</v>
      </c>
      <c r="O355" s="42">
        <v>0</v>
      </c>
      <c r="P355" s="42" t="s">
        <v>2093</v>
      </c>
      <c r="Q355" s="42" t="s">
        <v>946</v>
      </c>
      <c r="S355" s="42" t="s">
        <v>947</v>
      </c>
      <c r="U355" s="42" t="s">
        <v>948</v>
      </c>
      <c r="Y355" s="42" t="s">
        <v>250</v>
      </c>
      <c r="Z355" s="42" t="s">
        <v>949</v>
      </c>
      <c r="AA355" s="13" t="s">
        <v>251</v>
      </c>
      <c r="AB355" s="13">
        <v>0.15</v>
      </c>
      <c r="AC355" s="13">
        <v>0</v>
      </c>
      <c r="AD355" s="42">
        <v>20</v>
      </c>
      <c r="AE355" s="42">
        <v>1</v>
      </c>
      <c r="AF355" s="13" t="s">
        <v>1023</v>
      </c>
      <c r="AH355" s="13" t="s">
        <v>399</v>
      </c>
      <c r="AI355" s="13">
        <v>0</v>
      </c>
      <c r="AK355" s="42">
        <v>41580.251694432009</v>
      </c>
      <c r="AN355" s="42" t="s">
        <v>235</v>
      </c>
      <c r="AO355" s="42">
        <v>0</v>
      </c>
      <c r="AP355" s="42" t="s">
        <v>252</v>
      </c>
      <c r="AR355" s="42">
        <v>27027.163601380806</v>
      </c>
      <c r="AS355" s="42">
        <v>11300.015187647999</v>
      </c>
      <c r="AT355" s="42">
        <v>72608.688564434662</v>
      </c>
      <c r="AU355" s="13">
        <v>1</v>
      </c>
      <c r="AV355" s="13">
        <v>1</v>
      </c>
      <c r="AW355" s="13">
        <v>0</v>
      </c>
      <c r="AX355" s="13">
        <v>0</v>
      </c>
      <c r="AY355" s="13">
        <v>0</v>
      </c>
      <c r="AZ355" s="13">
        <v>0</v>
      </c>
      <c r="BA355" s="13">
        <v>0</v>
      </c>
      <c r="BB355" s="13">
        <v>0</v>
      </c>
      <c r="BC355" s="13">
        <v>0</v>
      </c>
      <c r="BD355" s="13">
        <v>0</v>
      </c>
      <c r="BE355" s="13">
        <v>0.4</v>
      </c>
      <c r="BF355" s="13">
        <v>0.4</v>
      </c>
      <c r="BG355" s="13">
        <v>0</v>
      </c>
      <c r="BH355" s="13">
        <v>0</v>
      </c>
      <c r="BI355" s="13">
        <v>0</v>
      </c>
      <c r="BJ355" s="13">
        <v>0</v>
      </c>
      <c r="BK355" s="13">
        <v>0</v>
      </c>
      <c r="BL355" s="13">
        <v>0</v>
      </c>
      <c r="BM355" s="13">
        <v>0</v>
      </c>
      <c r="BN355" s="13">
        <v>0</v>
      </c>
      <c r="BO355" s="13">
        <v>0</v>
      </c>
      <c r="BP355" s="13">
        <v>1</v>
      </c>
      <c r="BR355" s="42">
        <v>10</v>
      </c>
    </row>
    <row r="356" spans="2:70" s="42" customFormat="1" x14ac:dyDescent="0.15">
      <c r="B356" s="42" t="s">
        <v>2808</v>
      </c>
      <c r="C356" s="42" t="s">
        <v>2340</v>
      </c>
      <c r="E356" s="42" t="s">
        <v>2341</v>
      </c>
      <c r="G356" s="42">
        <v>0</v>
      </c>
      <c r="H356" s="42">
        <v>14</v>
      </c>
      <c r="I356" s="42" t="s">
        <v>401</v>
      </c>
      <c r="K356" s="42">
        <v>3</v>
      </c>
      <c r="L356" s="42">
        <v>1</v>
      </c>
      <c r="M356" s="42" t="s">
        <v>254</v>
      </c>
      <c r="N356" s="42" t="s">
        <v>396</v>
      </c>
      <c r="O356" s="42">
        <v>0</v>
      </c>
      <c r="P356" s="42" t="s">
        <v>2809</v>
      </c>
      <c r="Q356" s="42" t="s">
        <v>2342</v>
      </c>
      <c r="S356" s="42" t="s">
        <v>2343</v>
      </c>
      <c r="U356" s="42" t="s">
        <v>2344</v>
      </c>
      <c r="Y356" s="42" t="s">
        <v>250</v>
      </c>
      <c r="Z356" s="42" t="s">
        <v>2345</v>
      </c>
      <c r="AA356" s="13" t="s">
        <v>251</v>
      </c>
      <c r="AB356" s="13">
        <v>0.15</v>
      </c>
      <c r="AC356" s="13">
        <v>0</v>
      </c>
      <c r="AD356" s="42">
        <v>20</v>
      </c>
      <c r="AE356" s="42">
        <v>1</v>
      </c>
      <c r="AF356" s="13" t="s">
        <v>2346</v>
      </c>
      <c r="AH356" s="13" t="s">
        <v>399</v>
      </c>
      <c r="AI356" s="13">
        <v>0</v>
      </c>
      <c r="AK356" s="42">
        <v>54597.492652824018</v>
      </c>
      <c r="AN356" s="42" t="s">
        <v>235</v>
      </c>
      <c r="AO356" s="42">
        <v>0</v>
      </c>
      <c r="AP356" s="42" t="s">
        <v>252</v>
      </c>
      <c r="AR356" s="42">
        <v>35488.370224335609</v>
      </c>
      <c r="AS356" s="42">
        <v>13780.506326400002</v>
      </c>
      <c r="AT356" s="42">
        <v>108884.08970744217</v>
      </c>
      <c r="AU356" s="13">
        <v>1</v>
      </c>
      <c r="AV356" s="13">
        <v>1</v>
      </c>
      <c r="AW356" s="13">
        <v>0</v>
      </c>
      <c r="AX356" s="13">
        <v>0</v>
      </c>
      <c r="AY356" s="13">
        <v>0</v>
      </c>
      <c r="AZ356" s="13">
        <v>0</v>
      </c>
      <c r="BA356" s="13">
        <v>0</v>
      </c>
      <c r="BB356" s="13">
        <v>0</v>
      </c>
      <c r="BC356" s="13">
        <v>0</v>
      </c>
      <c r="BD356" s="13">
        <v>0</v>
      </c>
      <c r="BE356" s="13">
        <v>0.4</v>
      </c>
      <c r="BF356" s="13">
        <v>0.4</v>
      </c>
      <c r="BG356" s="13">
        <v>0</v>
      </c>
      <c r="BH356" s="13">
        <v>0</v>
      </c>
      <c r="BI356" s="13">
        <v>0</v>
      </c>
      <c r="BJ356" s="13">
        <v>0</v>
      </c>
      <c r="BK356" s="13">
        <v>0</v>
      </c>
      <c r="BL356" s="13">
        <v>0</v>
      </c>
      <c r="BM356" s="13">
        <v>0</v>
      </c>
      <c r="BN356" s="13">
        <v>0</v>
      </c>
      <c r="BO356" s="13">
        <v>0</v>
      </c>
      <c r="BP356" s="13">
        <v>1</v>
      </c>
      <c r="BR356" s="42">
        <v>16</v>
      </c>
    </row>
    <row r="357" spans="2:70" s="42" customFormat="1" x14ac:dyDescent="0.15">
      <c r="B357" s="42" t="s">
        <v>2810</v>
      </c>
      <c r="C357" s="11" t="s">
        <v>2560</v>
      </c>
      <c r="E357" s="42" t="s">
        <v>2561</v>
      </c>
      <c r="G357" s="42">
        <v>0</v>
      </c>
      <c r="H357" s="42">
        <v>14</v>
      </c>
      <c r="I357" s="42" t="s">
        <v>397</v>
      </c>
      <c r="K357" s="42">
        <v>3</v>
      </c>
      <c r="L357" s="42">
        <v>1</v>
      </c>
      <c r="M357" s="42" t="s">
        <v>254</v>
      </c>
      <c r="N357" s="42" t="s">
        <v>396</v>
      </c>
      <c r="O357" s="42">
        <v>0</v>
      </c>
      <c r="P357" s="42" t="s">
        <v>2811</v>
      </c>
      <c r="Q357" s="42" t="s">
        <v>2563</v>
      </c>
      <c r="S357" s="42" t="s">
        <v>2564</v>
      </c>
      <c r="U357" s="42" t="s">
        <v>2565</v>
      </c>
      <c r="Y357" s="42" t="s">
        <v>250</v>
      </c>
      <c r="Z357" s="42" t="s">
        <v>2566</v>
      </c>
      <c r="AA357" s="13" t="s">
        <v>251</v>
      </c>
      <c r="AB357" s="13">
        <v>0.15</v>
      </c>
      <c r="AC357" s="13">
        <v>0</v>
      </c>
      <c r="AD357" s="42">
        <v>20</v>
      </c>
      <c r="AE357" s="42">
        <v>1</v>
      </c>
      <c r="AF357" s="13" t="s">
        <v>2567</v>
      </c>
      <c r="AH357" s="13" t="s">
        <v>399</v>
      </c>
      <c r="AI357" s="13">
        <v>0</v>
      </c>
      <c r="AK357" s="42">
        <v>46262.712470832004</v>
      </c>
      <c r="AN357" s="42" t="s">
        <v>235</v>
      </c>
      <c r="AO357" s="42">
        <v>0</v>
      </c>
      <c r="AP357" s="42" t="s">
        <v>252</v>
      </c>
      <c r="AR357" s="42">
        <v>30070.763106040802</v>
      </c>
      <c r="AS357" s="42">
        <v>13780.506326400002</v>
      </c>
      <c r="AT357" s="42">
        <v>141274.67838761691</v>
      </c>
      <c r="AU357" s="13">
        <v>1</v>
      </c>
      <c r="AV357" s="13">
        <v>1</v>
      </c>
      <c r="AW357" s="13">
        <v>0</v>
      </c>
      <c r="AX357" s="13">
        <v>0</v>
      </c>
      <c r="AY357" s="13">
        <v>0</v>
      </c>
      <c r="AZ357" s="13">
        <v>0</v>
      </c>
      <c r="BA357" s="13">
        <v>0</v>
      </c>
      <c r="BB357" s="13">
        <v>0</v>
      </c>
      <c r="BC357" s="13">
        <v>0</v>
      </c>
      <c r="BD357" s="13">
        <v>0</v>
      </c>
      <c r="BE357" s="13">
        <v>0.4</v>
      </c>
      <c r="BF357" s="13">
        <v>0.4</v>
      </c>
      <c r="BG357" s="13">
        <v>0</v>
      </c>
      <c r="BH357" s="13">
        <v>0</v>
      </c>
      <c r="BI357" s="13">
        <v>0</v>
      </c>
      <c r="BJ357" s="13">
        <v>0</v>
      </c>
      <c r="BK357" s="13">
        <v>0</v>
      </c>
      <c r="BL357" s="13">
        <v>0</v>
      </c>
      <c r="BM357" s="13">
        <v>0</v>
      </c>
      <c r="BN357" s="13">
        <v>0</v>
      </c>
      <c r="BO357" s="13">
        <v>0</v>
      </c>
      <c r="BP357" s="13">
        <v>1</v>
      </c>
      <c r="BR357" s="42">
        <v>14</v>
      </c>
    </row>
    <row r="358" spans="2:70" s="42" customFormat="1" x14ac:dyDescent="0.15">
      <c r="B358" s="42" t="s">
        <v>2094</v>
      </c>
      <c r="C358" s="42" t="s">
        <v>2245</v>
      </c>
      <c r="E358" s="42" t="s">
        <v>2246</v>
      </c>
      <c r="G358" s="42">
        <v>1</v>
      </c>
      <c r="H358" s="42">
        <v>14</v>
      </c>
      <c r="I358" s="42" t="s">
        <v>296</v>
      </c>
      <c r="K358" s="42">
        <v>3</v>
      </c>
      <c r="L358" s="42">
        <v>1</v>
      </c>
      <c r="M358" s="42" t="s">
        <v>254</v>
      </c>
      <c r="N358" s="42" t="s">
        <v>396</v>
      </c>
      <c r="O358" s="42">
        <v>0</v>
      </c>
      <c r="P358" s="42" t="s">
        <v>2095</v>
      </c>
      <c r="Q358" s="42" t="s">
        <v>2247</v>
      </c>
      <c r="S358" s="42" t="s">
        <v>2270</v>
      </c>
      <c r="T358" s="11"/>
      <c r="U358" s="42" t="s">
        <v>2248</v>
      </c>
      <c r="Y358" s="42" t="s">
        <v>250</v>
      </c>
      <c r="Z358" s="162" t="s">
        <v>3183</v>
      </c>
      <c r="AA358" s="13" t="s">
        <v>251</v>
      </c>
      <c r="AB358" s="13">
        <v>0.15</v>
      </c>
      <c r="AC358" s="13">
        <v>30</v>
      </c>
      <c r="AD358" s="42">
        <v>20</v>
      </c>
      <c r="AE358" s="42">
        <v>1</v>
      </c>
      <c r="AF358" s="13" t="s">
        <v>2271</v>
      </c>
      <c r="AH358" s="13" t="s">
        <v>399</v>
      </c>
      <c r="AI358" s="13">
        <v>0</v>
      </c>
      <c r="AK358" s="42">
        <v>56189.529316800006</v>
      </c>
      <c r="AN358" s="42" t="s">
        <v>235</v>
      </c>
      <c r="AO358" s="42">
        <v>0</v>
      </c>
      <c r="AP358" s="42" t="s">
        <v>252</v>
      </c>
      <c r="AR358" s="42">
        <v>36523.194055920008</v>
      </c>
      <c r="AS358" s="42">
        <v>11300.015187647999</v>
      </c>
      <c r="AT358" s="42">
        <v>91331.683728848628</v>
      </c>
      <c r="AU358" s="13">
        <v>1</v>
      </c>
      <c r="AV358" s="13">
        <v>1</v>
      </c>
      <c r="AW358" s="13">
        <v>0</v>
      </c>
      <c r="AX358" s="13">
        <v>0</v>
      </c>
      <c r="AY358" s="13">
        <v>0</v>
      </c>
      <c r="AZ358" s="13">
        <v>0</v>
      </c>
      <c r="BA358" s="13">
        <v>0</v>
      </c>
      <c r="BB358" s="13">
        <v>0</v>
      </c>
      <c r="BC358" s="13">
        <v>0</v>
      </c>
      <c r="BD358" s="13">
        <v>0</v>
      </c>
      <c r="BE358" s="13">
        <v>0.4</v>
      </c>
      <c r="BF358" s="13">
        <v>0.4</v>
      </c>
      <c r="BG358" s="13">
        <v>0</v>
      </c>
      <c r="BH358" s="13">
        <v>0</v>
      </c>
      <c r="BI358" s="13">
        <v>0</v>
      </c>
      <c r="BJ358" s="13">
        <v>0</v>
      </c>
      <c r="BK358" s="13">
        <v>0</v>
      </c>
      <c r="BL358" s="13">
        <v>0</v>
      </c>
      <c r="BM358" s="13">
        <v>0</v>
      </c>
      <c r="BN358" s="13">
        <v>0</v>
      </c>
      <c r="BO358" s="13">
        <v>0</v>
      </c>
      <c r="BP358" s="13">
        <v>1</v>
      </c>
      <c r="BR358" s="42">
        <v>15</v>
      </c>
    </row>
    <row r="359" spans="2:70" s="42" customFormat="1" x14ac:dyDescent="0.15">
      <c r="B359" s="42" t="s">
        <v>2096</v>
      </c>
      <c r="C359" s="42" t="s">
        <v>1163</v>
      </c>
      <c r="E359" s="42" t="s">
        <v>1164</v>
      </c>
      <c r="G359" s="42">
        <v>0</v>
      </c>
      <c r="H359" s="42">
        <v>13</v>
      </c>
      <c r="I359" s="42" t="s">
        <v>296</v>
      </c>
      <c r="K359" s="42">
        <v>3</v>
      </c>
      <c r="L359" s="42">
        <v>1</v>
      </c>
      <c r="M359" s="42" t="s">
        <v>254</v>
      </c>
      <c r="N359" s="42" t="s">
        <v>396</v>
      </c>
      <c r="O359" s="42">
        <v>0</v>
      </c>
      <c r="P359" s="42" t="s">
        <v>2097</v>
      </c>
      <c r="Q359" s="42" t="s">
        <v>1165</v>
      </c>
      <c r="S359" s="42" t="s">
        <v>1166</v>
      </c>
      <c r="U359" s="42" t="s">
        <v>1167</v>
      </c>
      <c r="Y359" s="13" t="s">
        <v>3303</v>
      </c>
      <c r="Z359" s="13" t="s">
        <v>444</v>
      </c>
      <c r="AA359" s="13" t="s">
        <v>251</v>
      </c>
      <c r="AB359" s="13">
        <v>0.15</v>
      </c>
      <c r="AC359" s="13">
        <v>0</v>
      </c>
      <c r="AD359" s="42">
        <v>20</v>
      </c>
      <c r="AE359" s="42">
        <v>1</v>
      </c>
      <c r="AF359" s="13" t="s">
        <v>1169</v>
      </c>
      <c r="AH359" s="13" t="s">
        <v>399</v>
      </c>
      <c r="AI359" s="13">
        <v>0</v>
      </c>
      <c r="AK359" s="42">
        <v>62370.377541648013</v>
      </c>
      <c r="AN359" s="42" t="s">
        <v>235</v>
      </c>
      <c r="AO359" s="42">
        <v>0</v>
      </c>
      <c r="AP359" s="42" t="s">
        <v>252</v>
      </c>
      <c r="AR359" s="42">
        <v>40540.74540207121</v>
      </c>
      <c r="AS359" s="42">
        <v>11300.015187647999</v>
      </c>
      <c r="AT359" s="42">
        <v>99779.864473767142</v>
      </c>
      <c r="AU359" s="13">
        <v>1</v>
      </c>
      <c r="AV359" s="13">
        <v>1</v>
      </c>
      <c r="AW359" s="13">
        <v>0</v>
      </c>
      <c r="AX359" s="13">
        <v>0</v>
      </c>
      <c r="AY359" s="13">
        <v>0</v>
      </c>
      <c r="AZ359" s="13">
        <v>0</v>
      </c>
      <c r="BA359" s="13">
        <v>0</v>
      </c>
      <c r="BB359" s="13">
        <v>0</v>
      </c>
      <c r="BC359" s="13">
        <v>0</v>
      </c>
      <c r="BD359" s="13">
        <v>0</v>
      </c>
      <c r="BE359" s="13">
        <v>0.4</v>
      </c>
      <c r="BF359" s="13">
        <v>0.4</v>
      </c>
      <c r="BG359" s="13">
        <v>0</v>
      </c>
      <c r="BH359" s="13">
        <v>0</v>
      </c>
      <c r="BI359" s="13">
        <v>0</v>
      </c>
      <c r="BJ359" s="13">
        <v>0</v>
      </c>
      <c r="BK359" s="13">
        <v>0</v>
      </c>
      <c r="BL359" s="13">
        <v>0</v>
      </c>
      <c r="BM359" s="13">
        <v>0</v>
      </c>
      <c r="BN359" s="13">
        <v>0</v>
      </c>
      <c r="BO359" s="13">
        <v>0</v>
      </c>
      <c r="BP359" s="13">
        <v>1</v>
      </c>
      <c r="BQ359" s="11" t="s">
        <v>2337</v>
      </c>
      <c r="BR359" s="42">
        <v>17</v>
      </c>
    </row>
    <row r="360" spans="2:70" s="42" customFormat="1" x14ac:dyDescent="0.15">
      <c r="B360" s="42" t="s">
        <v>2098</v>
      </c>
      <c r="C360" s="11" t="s">
        <v>862</v>
      </c>
      <c r="E360" s="42" t="s">
        <v>863</v>
      </c>
      <c r="G360" s="42">
        <v>0</v>
      </c>
      <c r="H360" s="42">
        <v>13</v>
      </c>
      <c r="I360" s="42" t="s">
        <v>296</v>
      </c>
      <c r="K360" s="42">
        <v>3</v>
      </c>
      <c r="L360" s="42">
        <v>1</v>
      </c>
      <c r="M360" s="42" t="s">
        <v>254</v>
      </c>
      <c r="N360" s="42" t="s">
        <v>396</v>
      </c>
      <c r="O360" s="42">
        <v>0</v>
      </c>
      <c r="P360" s="42" t="s">
        <v>2099</v>
      </c>
      <c r="Q360" s="42" t="s">
        <v>864</v>
      </c>
      <c r="S360" s="42" t="s">
        <v>865</v>
      </c>
      <c r="U360" s="42" t="s">
        <v>866</v>
      </c>
      <c r="Y360" s="42" t="s">
        <v>250</v>
      </c>
      <c r="Z360" s="42" t="s">
        <v>867</v>
      </c>
      <c r="AA360" s="13" t="s">
        <v>251</v>
      </c>
      <c r="AB360" s="13">
        <v>0.15</v>
      </c>
      <c r="AC360" s="13">
        <v>0</v>
      </c>
      <c r="AD360" s="42">
        <v>20</v>
      </c>
      <c r="AE360" s="42">
        <v>1</v>
      </c>
      <c r="AF360" s="13" t="s">
        <v>1005</v>
      </c>
      <c r="AH360" s="13" t="s">
        <v>399</v>
      </c>
      <c r="AI360" s="13">
        <v>1000</v>
      </c>
      <c r="AK360" s="42">
        <v>53380.052850960004</v>
      </c>
      <c r="AN360" s="42" t="s">
        <v>235</v>
      </c>
      <c r="AO360" s="42">
        <v>0</v>
      </c>
      <c r="AP360" s="42" t="s">
        <v>252</v>
      </c>
      <c r="AR360" s="42">
        <v>34697.034353124007</v>
      </c>
      <c r="AS360" s="42">
        <v>11300.015187647999</v>
      </c>
      <c r="AT360" s="42">
        <v>87221.757961050433</v>
      </c>
      <c r="AU360" s="13">
        <v>1</v>
      </c>
      <c r="AV360" s="13">
        <v>1</v>
      </c>
      <c r="AW360" s="13">
        <v>0</v>
      </c>
      <c r="AX360" s="13">
        <v>0</v>
      </c>
      <c r="AY360" s="13">
        <v>0</v>
      </c>
      <c r="AZ360" s="13">
        <v>0</v>
      </c>
      <c r="BA360" s="13">
        <v>0</v>
      </c>
      <c r="BB360" s="13">
        <v>0</v>
      </c>
      <c r="BC360" s="13">
        <v>0</v>
      </c>
      <c r="BD360" s="13">
        <v>0</v>
      </c>
      <c r="BE360" s="13">
        <v>0.4</v>
      </c>
      <c r="BF360" s="13">
        <v>0.4</v>
      </c>
      <c r="BG360" s="13">
        <v>0</v>
      </c>
      <c r="BH360" s="13">
        <v>0</v>
      </c>
      <c r="BI360" s="13">
        <v>0</v>
      </c>
      <c r="BJ360" s="13">
        <v>0</v>
      </c>
      <c r="BK360" s="13">
        <v>0</v>
      </c>
      <c r="BL360" s="13">
        <v>0</v>
      </c>
      <c r="BM360" s="13">
        <v>0</v>
      </c>
      <c r="BN360" s="13">
        <v>0</v>
      </c>
      <c r="BO360" s="13">
        <v>0</v>
      </c>
      <c r="BP360" s="13">
        <v>1</v>
      </c>
      <c r="BR360" s="42">
        <v>14</v>
      </c>
    </row>
    <row r="361" spans="2:70" s="42" customFormat="1" x14ac:dyDescent="0.15">
      <c r="B361" s="42" t="s">
        <v>2812</v>
      </c>
      <c r="C361" s="11" t="s">
        <v>2370</v>
      </c>
      <c r="E361" s="42" t="s">
        <v>2371</v>
      </c>
      <c r="G361" s="42">
        <v>0</v>
      </c>
      <c r="H361" s="42">
        <v>14</v>
      </c>
      <c r="I361" s="42" t="s">
        <v>296</v>
      </c>
      <c r="K361" s="42">
        <v>3</v>
      </c>
      <c r="L361" s="42">
        <v>1</v>
      </c>
      <c r="M361" s="42" t="s">
        <v>254</v>
      </c>
      <c r="N361" s="42" t="s">
        <v>396</v>
      </c>
      <c r="O361" s="42">
        <v>0</v>
      </c>
      <c r="P361" s="42" t="s">
        <v>2813</v>
      </c>
      <c r="Q361" s="42" t="s">
        <v>2373</v>
      </c>
      <c r="S361" s="42" t="s">
        <v>2374</v>
      </c>
      <c r="U361" s="42" t="s">
        <v>2375</v>
      </c>
      <c r="Y361" s="42" t="s">
        <v>250</v>
      </c>
      <c r="Z361" s="42" t="s">
        <v>2376</v>
      </c>
      <c r="AA361" s="13" t="s">
        <v>251</v>
      </c>
      <c r="AB361" s="13">
        <v>0.15</v>
      </c>
      <c r="AC361" s="13">
        <v>0</v>
      </c>
      <c r="AD361" s="42">
        <v>20</v>
      </c>
      <c r="AE361" s="42">
        <v>1</v>
      </c>
      <c r="AF361" s="13" t="s">
        <v>2377</v>
      </c>
      <c r="AH361" s="13" t="s">
        <v>399</v>
      </c>
      <c r="AI361" s="13">
        <v>1000</v>
      </c>
      <c r="AK361" s="42">
        <v>47199.204626112005</v>
      </c>
      <c r="AN361" s="42" t="s">
        <v>235</v>
      </c>
      <c r="AO361" s="42">
        <v>0</v>
      </c>
      <c r="AP361" s="42" t="s">
        <v>252</v>
      </c>
      <c r="AR361" s="42">
        <v>30679.483006972801</v>
      </c>
      <c r="AS361" s="42">
        <v>11300.015187647999</v>
      </c>
      <c r="AT361" s="42">
        <v>78773.577216131947</v>
      </c>
      <c r="AU361" s="13">
        <v>1</v>
      </c>
      <c r="AV361" s="13">
        <v>1</v>
      </c>
      <c r="AW361" s="13">
        <v>0</v>
      </c>
      <c r="AX361" s="13">
        <v>0</v>
      </c>
      <c r="AY361" s="13">
        <v>0</v>
      </c>
      <c r="AZ361" s="13">
        <v>0</v>
      </c>
      <c r="BA361" s="13">
        <v>0</v>
      </c>
      <c r="BB361" s="13">
        <v>0</v>
      </c>
      <c r="BC361" s="13">
        <v>0</v>
      </c>
      <c r="BD361" s="13">
        <v>0</v>
      </c>
      <c r="BE361" s="13">
        <v>0.4</v>
      </c>
      <c r="BF361" s="13">
        <v>0.4</v>
      </c>
      <c r="BG361" s="13">
        <v>0</v>
      </c>
      <c r="BH361" s="13">
        <v>0</v>
      </c>
      <c r="BI361" s="13">
        <v>0</v>
      </c>
      <c r="BJ361" s="13">
        <v>0</v>
      </c>
      <c r="BK361" s="13">
        <v>0</v>
      </c>
      <c r="BL361" s="13">
        <v>0</v>
      </c>
      <c r="BM361" s="13">
        <v>0</v>
      </c>
      <c r="BN361" s="13">
        <v>0</v>
      </c>
      <c r="BO361" s="13">
        <v>0</v>
      </c>
      <c r="BP361" s="13">
        <v>1</v>
      </c>
      <c r="BR361" s="42">
        <v>10</v>
      </c>
    </row>
    <row r="362" spans="2:70" s="42" customFormat="1" x14ac:dyDescent="0.15">
      <c r="B362" s="42" t="s">
        <v>2814</v>
      </c>
      <c r="C362" s="42" t="s">
        <v>2245</v>
      </c>
      <c r="E362" s="42" t="s">
        <v>2246</v>
      </c>
      <c r="G362" s="42">
        <v>1</v>
      </c>
      <c r="H362" s="42">
        <v>14</v>
      </c>
      <c r="I362" s="42" t="s">
        <v>296</v>
      </c>
      <c r="K362" s="42">
        <v>3</v>
      </c>
      <c r="L362" s="42">
        <v>1</v>
      </c>
      <c r="M362" s="42" t="s">
        <v>254</v>
      </c>
      <c r="N362" s="42" t="s">
        <v>396</v>
      </c>
      <c r="O362" s="42">
        <v>0</v>
      </c>
      <c r="P362" s="42" t="s">
        <v>2815</v>
      </c>
      <c r="Q362" s="42" t="s">
        <v>2247</v>
      </c>
      <c r="S362" s="42" t="s">
        <v>2270</v>
      </c>
      <c r="U362" s="42" t="s">
        <v>2248</v>
      </c>
      <c r="Y362" s="42" t="s">
        <v>250</v>
      </c>
      <c r="Z362" s="162" t="s">
        <v>3183</v>
      </c>
      <c r="AA362" s="13" t="s">
        <v>251</v>
      </c>
      <c r="AB362" s="13">
        <v>0.15</v>
      </c>
      <c r="AC362" s="13">
        <v>30</v>
      </c>
      <c r="AD362" s="42">
        <v>20</v>
      </c>
      <c r="AE362" s="42">
        <v>1</v>
      </c>
      <c r="AF362" s="13" t="s">
        <v>2271</v>
      </c>
      <c r="AH362" s="13" t="s">
        <v>399</v>
      </c>
      <c r="AI362" s="11">
        <v>0</v>
      </c>
      <c r="AK362" s="42">
        <v>56189.529316800006</v>
      </c>
      <c r="AN362" s="42" t="s">
        <v>235</v>
      </c>
      <c r="AO362" s="42">
        <v>0</v>
      </c>
      <c r="AP362" s="42" t="s">
        <v>252</v>
      </c>
      <c r="AR362" s="42">
        <v>36523.194055920008</v>
      </c>
      <c r="AS362" s="42">
        <v>11300.015187647999</v>
      </c>
      <c r="AT362" s="42">
        <v>91331.683728848628</v>
      </c>
      <c r="AU362" s="13">
        <v>1</v>
      </c>
      <c r="AV362" s="13">
        <v>1</v>
      </c>
      <c r="AW362" s="13">
        <v>0</v>
      </c>
      <c r="AX362" s="13">
        <v>0</v>
      </c>
      <c r="AY362" s="13">
        <v>0</v>
      </c>
      <c r="AZ362" s="13">
        <v>0</v>
      </c>
      <c r="BA362" s="13">
        <v>0</v>
      </c>
      <c r="BB362" s="13">
        <v>0</v>
      </c>
      <c r="BC362" s="13">
        <v>0</v>
      </c>
      <c r="BD362" s="13">
        <v>0</v>
      </c>
      <c r="BE362" s="13">
        <v>0.4</v>
      </c>
      <c r="BF362" s="13">
        <v>0.4</v>
      </c>
      <c r="BG362" s="13">
        <v>0</v>
      </c>
      <c r="BH362" s="13">
        <v>0</v>
      </c>
      <c r="BI362" s="13">
        <v>0</v>
      </c>
      <c r="BJ362" s="13">
        <v>0</v>
      </c>
      <c r="BK362" s="13">
        <v>0</v>
      </c>
      <c r="BL362" s="13">
        <v>0</v>
      </c>
      <c r="BM362" s="13">
        <v>0</v>
      </c>
      <c r="BN362" s="13">
        <v>0</v>
      </c>
      <c r="BO362" s="13">
        <v>0</v>
      </c>
      <c r="BP362" s="13">
        <v>1</v>
      </c>
      <c r="BR362" s="42">
        <v>15</v>
      </c>
    </row>
    <row r="363" spans="2:70" s="42" customFormat="1" x14ac:dyDescent="0.15">
      <c r="B363" s="42" t="s">
        <v>2816</v>
      </c>
      <c r="C363" s="42" t="s">
        <v>882</v>
      </c>
      <c r="E363" s="42" t="s">
        <v>883</v>
      </c>
      <c r="G363" s="42">
        <v>1</v>
      </c>
      <c r="H363" s="42">
        <v>14</v>
      </c>
      <c r="I363" s="42" t="s">
        <v>400</v>
      </c>
      <c r="K363" s="42">
        <v>3</v>
      </c>
      <c r="L363" s="42">
        <v>1</v>
      </c>
      <c r="M363" s="42" t="s">
        <v>254</v>
      </c>
      <c r="N363" s="42" t="s">
        <v>396</v>
      </c>
      <c r="O363" s="42">
        <v>0</v>
      </c>
      <c r="P363" s="42" t="s">
        <v>2817</v>
      </c>
      <c r="Q363" s="42" t="s">
        <v>884</v>
      </c>
      <c r="S363" s="42" t="s">
        <v>885</v>
      </c>
      <c r="U363" s="42" t="s">
        <v>886</v>
      </c>
      <c r="Y363" s="42" t="s">
        <v>250</v>
      </c>
      <c r="Z363" s="42" t="s">
        <v>887</v>
      </c>
      <c r="AA363" s="13" t="s">
        <v>251</v>
      </c>
      <c r="AB363" s="13">
        <v>0.15</v>
      </c>
      <c r="AC363" s="13">
        <v>0</v>
      </c>
      <c r="AD363" s="42">
        <v>20</v>
      </c>
      <c r="AE363" s="42">
        <v>1</v>
      </c>
      <c r="AF363" s="13" t="s">
        <v>1010</v>
      </c>
      <c r="AH363" s="13" t="s">
        <v>399</v>
      </c>
      <c r="AI363" s="11">
        <v>0</v>
      </c>
      <c r="AK363" s="42">
        <v>37225.563172380003</v>
      </c>
      <c r="AN363" s="42" t="s">
        <v>235</v>
      </c>
      <c r="AO363" s="42">
        <v>0</v>
      </c>
      <c r="AP363" s="42" t="s">
        <v>252</v>
      </c>
      <c r="AR363" s="42">
        <v>24196.616062047004</v>
      </c>
      <c r="AS363" s="42">
        <v>16260.997465152002</v>
      </c>
      <c r="AT363" s="42">
        <v>189538.9709722141</v>
      </c>
      <c r="AU363" s="13">
        <v>1</v>
      </c>
      <c r="AV363" s="13">
        <v>1</v>
      </c>
      <c r="AW363" s="13">
        <v>0</v>
      </c>
      <c r="AX363" s="13">
        <v>0</v>
      </c>
      <c r="AY363" s="13">
        <v>0</v>
      </c>
      <c r="AZ363" s="13">
        <v>0</v>
      </c>
      <c r="BA363" s="13">
        <v>0</v>
      </c>
      <c r="BB363" s="13">
        <v>0</v>
      </c>
      <c r="BC363" s="13">
        <v>0</v>
      </c>
      <c r="BD363" s="13">
        <v>0</v>
      </c>
      <c r="BE363" s="13">
        <v>0.4</v>
      </c>
      <c r="BF363" s="13">
        <v>0.4</v>
      </c>
      <c r="BG363" s="13">
        <v>0</v>
      </c>
      <c r="BH363" s="13">
        <v>0</v>
      </c>
      <c r="BI363" s="13">
        <v>0</v>
      </c>
      <c r="BJ363" s="13">
        <v>0</v>
      </c>
      <c r="BK363" s="13">
        <v>0</v>
      </c>
      <c r="BL363" s="13">
        <v>0</v>
      </c>
      <c r="BM363" s="13">
        <v>0</v>
      </c>
      <c r="BN363" s="13">
        <v>0</v>
      </c>
      <c r="BO363" s="13">
        <v>0</v>
      </c>
      <c r="BP363" s="13">
        <v>1</v>
      </c>
      <c r="BR363" s="42">
        <v>16</v>
      </c>
    </row>
    <row r="364" spans="2:70" s="42" customFormat="1" x14ac:dyDescent="0.15">
      <c r="B364" s="42" t="s">
        <v>2100</v>
      </c>
      <c r="C364" s="11" t="s">
        <v>2403</v>
      </c>
      <c r="E364" s="42" t="s">
        <v>2404</v>
      </c>
      <c r="G364" s="42">
        <v>0</v>
      </c>
      <c r="H364" s="42">
        <v>14</v>
      </c>
      <c r="I364" s="42" t="s">
        <v>296</v>
      </c>
      <c r="K364" s="42">
        <v>3</v>
      </c>
      <c r="L364" s="42">
        <v>1</v>
      </c>
      <c r="M364" s="42" t="s">
        <v>254</v>
      </c>
      <c r="N364" s="42" t="s">
        <v>396</v>
      </c>
      <c r="O364" s="42">
        <v>0</v>
      </c>
      <c r="P364" s="42" t="s">
        <v>2101</v>
      </c>
      <c r="Q364" s="42" t="s">
        <v>2406</v>
      </c>
      <c r="S364" s="42" t="s">
        <v>2407</v>
      </c>
      <c r="U364" s="42" t="s">
        <v>2408</v>
      </c>
      <c r="Y364" s="42" t="s">
        <v>250</v>
      </c>
      <c r="Z364" s="42" t="s">
        <v>2409</v>
      </c>
      <c r="AA364" s="13" t="s">
        <v>251</v>
      </c>
      <c r="AB364" s="13">
        <v>0.15</v>
      </c>
      <c r="AC364" s="13">
        <v>0</v>
      </c>
      <c r="AD364" s="42">
        <v>20</v>
      </c>
      <c r="AE364" s="42">
        <v>1</v>
      </c>
      <c r="AF364" s="13" t="s">
        <v>2410</v>
      </c>
      <c r="AH364" s="13" t="s">
        <v>399</v>
      </c>
      <c r="AI364" s="11">
        <v>1000</v>
      </c>
      <c r="AK364" s="42">
        <v>53380.052850960004</v>
      </c>
      <c r="AN364" s="42" t="s">
        <v>235</v>
      </c>
      <c r="AO364" s="42">
        <v>0</v>
      </c>
      <c r="AP364" s="42" t="s">
        <v>252</v>
      </c>
      <c r="AR364" s="42">
        <v>34697.034353124007</v>
      </c>
      <c r="AS364" s="42">
        <v>11300.015187647999</v>
      </c>
      <c r="AT364" s="42">
        <v>87221.757961050433</v>
      </c>
      <c r="AU364" s="13">
        <v>1</v>
      </c>
      <c r="AV364" s="13">
        <v>1</v>
      </c>
      <c r="AW364" s="13">
        <v>0</v>
      </c>
      <c r="AX364" s="13">
        <v>0</v>
      </c>
      <c r="AY364" s="13">
        <v>0</v>
      </c>
      <c r="AZ364" s="13">
        <v>0</v>
      </c>
      <c r="BA364" s="13">
        <v>0</v>
      </c>
      <c r="BB364" s="13">
        <v>0</v>
      </c>
      <c r="BC364" s="13">
        <v>0</v>
      </c>
      <c r="BD364" s="13">
        <v>0</v>
      </c>
      <c r="BE364" s="13">
        <v>0.4</v>
      </c>
      <c r="BF364" s="13">
        <v>0.4</v>
      </c>
      <c r="BG364" s="13">
        <v>0</v>
      </c>
      <c r="BH364" s="13">
        <v>0</v>
      </c>
      <c r="BI364" s="13">
        <v>0</v>
      </c>
      <c r="BJ364" s="13">
        <v>0</v>
      </c>
      <c r="BK364" s="13">
        <v>0</v>
      </c>
      <c r="BL364" s="13">
        <v>0</v>
      </c>
      <c r="BM364" s="13">
        <v>0</v>
      </c>
      <c r="BN364" s="13">
        <v>0</v>
      </c>
      <c r="BO364" s="13">
        <v>0</v>
      </c>
      <c r="BP364" s="13">
        <v>1</v>
      </c>
      <c r="BR364" s="42">
        <v>14</v>
      </c>
    </row>
    <row r="365" spans="2:70" s="42" customFormat="1" x14ac:dyDescent="0.15">
      <c r="B365" s="42" t="s">
        <v>2102</v>
      </c>
      <c r="C365" s="11" t="s">
        <v>2818</v>
      </c>
      <c r="E365" s="42" t="s">
        <v>2819</v>
      </c>
      <c r="G365" s="42">
        <v>0</v>
      </c>
      <c r="H365" s="42">
        <v>14</v>
      </c>
      <c r="I365" s="42" t="s">
        <v>296</v>
      </c>
      <c r="K365" s="42">
        <v>3</v>
      </c>
      <c r="L365" s="42">
        <v>1</v>
      </c>
      <c r="M365" s="42" t="s">
        <v>254</v>
      </c>
      <c r="N365" s="42" t="s">
        <v>396</v>
      </c>
      <c r="O365" s="42">
        <v>0</v>
      </c>
      <c r="P365" s="42" t="s">
        <v>2103</v>
      </c>
      <c r="Q365" s="42" t="s">
        <v>2820</v>
      </c>
      <c r="S365" s="42" t="s">
        <v>2821</v>
      </c>
      <c r="U365" s="42" t="s">
        <v>2822</v>
      </c>
      <c r="Y365" s="42" t="s">
        <v>250</v>
      </c>
      <c r="Z365" s="42" t="s">
        <v>235</v>
      </c>
      <c r="AA365" s="13" t="s">
        <v>251</v>
      </c>
      <c r="AB365" s="13">
        <v>0.15</v>
      </c>
      <c r="AC365" s="13">
        <v>0</v>
      </c>
      <c r="AD365" s="42">
        <v>20</v>
      </c>
      <c r="AE365" s="42">
        <v>1</v>
      </c>
      <c r="AF365" s="13" t="s">
        <v>2823</v>
      </c>
      <c r="AH365" s="13" t="s">
        <v>399</v>
      </c>
      <c r="AI365" s="11">
        <v>680</v>
      </c>
      <c r="AK365" s="42">
        <v>47199.204626112005</v>
      </c>
      <c r="AN365" s="42" t="s">
        <v>235</v>
      </c>
      <c r="AO365" s="42">
        <v>0</v>
      </c>
      <c r="AP365" s="42" t="s">
        <v>252</v>
      </c>
      <c r="AR365" s="42">
        <v>30679.483006972801</v>
      </c>
      <c r="AS365" s="42">
        <v>11300.015187647999</v>
      </c>
      <c r="AT365" s="42">
        <v>78773.577216131947</v>
      </c>
      <c r="AU365" s="13">
        <v>1</v>
      </c>
      <c r="AV365" s="13">
        <v>1</v>
      </c>
      <c r="AW365" s="13">
        <v>0</v>
      </c>
      <c r="AX365" s="13">
        <v>0</v>
      </c>
      <c r="AY365" s="13">
        <v>0</v>
      </c>
      <c r="AZ365" s="13">
        <v>0</v>
      </c>
      <c r="BA365" s="13">
        <v>0</v>
      </c>
      <c r="BB365" s="13">
        <v>0</v>
      </c>
      <c r="BC365" s="13">
        <v>0</v>
      </c>
      <c r="BD365" s="13">
        <v>0</v>
      </c>
      <c r="BE365" s="13">
        <v>0.4</v>
      </c>
      <c r="BF365" s="13">
        <v>0.4</v>
      </c>
      <c r="BG365" s="13">
        <v>0</v>
      </c>
      <c r="BH365" s="13">
        <v>0</v>
      </c>
      <c r="BI365" s="13">
        <v>0</v>
      </c>
      <c r="BJ365" s="13">
        <v>0</v>
      </c>
      <c r="BK365" s="13">
        <v>0</v>
      </c>
      <c r="BL365" s="13">
        <v>0</v>
      </c>
      <c r="BM365" s="13">
        <v>0</v>
      </c>
      <c r="BN365" s="13">
        <v>0</v>
      </c>
      <c r="BO365" s="13">
        <v>0</v>
      </c>
      <c r="BP365" s="13">
        <v>1</v>
      </c>
      <c r="BR365" s="42">
        <v>12</v>
      </c>
    </row>
    <row r="366" spans="2:70" s="42" customFormat="1" x14ac:dyDescent="0.15">
      <c r="B366" s="42" t="s">
        <v>2104</v>
      </c>
      <c r="C366" s="42" t="s">
        <v>881</v>
      </c>
      <c r="E366" s="42" t="s">
        <v>726</v>
      </c>
      <c r="G366" s="42">
        <v>0</v>
      </c>
      <c r="H366" s="42">
        <v>12</v>
      </c>
      <c r="I366" s="42" t="s">
        <v>400</v>
      </c>
      <c r="K366" s="42">
        <v>3</v>
      </c>
      <c r="L366" s="42">
        <v>1</v>
      </c>
      <c r="M366" s="42" t="s">
        <v>254</v>
      </c>
      <c r="N366" s="42" t="s">
        <v>396</v>
      </c>
      <c r="O366" s="42">
        <v>0</v>
      </c>
      <c r="P366" s="42" t="s">
        <v>2105</v>
      </c>
      <c r="Q366" s="42" t="s">
        <v>727</v>
      </c>
      <c r="S366" s="42" t="s">
        <v>728</v>
      </c>
      <c r="U366" s="42" t="s">
        <v>729</v>
      </c>
      <c r="Y366" s="42" t="s">
        <v>250</v>
      </c>
      <c r="Z366" s="42" t="s">
        <v>730</v>
      </c>
      <c r="AA366" s="13" t="s">
        <v>251</v>
      </c>
      <c r="AB366" s="13">
        <v>0.15</v>
      </c>
      <c r="AC366" s="13">
        <v>0</v>
      </c>
      <c r="AD366" s="42">
        <v>20</v>
      </c>
      <c r="AE366" s="42">
        <v>1</v>
      </c>
      <c r="AF366" s="13" t="s">
        <v>1009</v>
      </c>
      <c r="AH366" s="13" t="s">
        <v>399</v>
      </c>
      <c r="AI366" s="11">
        <v>0</v>
      </c>
      <c r="AK366" s="42">
        <v>23529.365401410003</v>
      </c>
      <c r="AN366" s="42" t="s">
        <v>235</v>
      </c>
      <c r="AO366" s="42">
        <v>0</v>
      </c>
      <c r="AP366" s="42" t="s">
        <v>252</v>
      </c>
      <c r="AR366" s="42">
        <v>23529.365401410003</v>
      </c>
      <c r="AS366" s="42">
        <v>16260.997465152002</v>
      </c>
      <c r="AT366" s="42">
        <v>215205.25678093731</v>
      </c>
      <c r="AU366" s="13">
        <v>1</v>
      </c>
      <c r="AV366" s="13">
        <v>1</v>
      </c>
      <c r="AW366" s="13">
        <v>0</v>
      </c>
      <c r="AX366" s="13">
        <v>0</v>
      </c>
      <c r="AY366" s="13">
        <v>0</v>
      </c>
      <c r="AZ366" s="13">
        <v>0</v>
      </c>
      <c r="BA366" s="13">
        <v>0</v>
      </c>
      <c r="BB366" s="13">
        <v>0</v>
      </c>
      <c r="BC366" s="13">
        <v>0</v>
      </c>
      <c r="BD366" s="13">
        <v>0</v>
      </c>
      <c r="BE366" s="13">
        <v>0.8</v>
      </c>
      <c r="BF366" s="13">
        <v>0.8</v>
      </c>
      <c r="BG366" s="13">
        <v>0</v>
      </c>
      <c r="BH366" s="13">
        <v>0</v>
      </c>
      <c r="BI366" s="13">
        <v>0</v>
      </c>
      <c r="BJ366" s="13">
        <v>0</v>
      </c>
      <c r="BK366" s="13">
        <v>0</v>
      </c>
      <c r="BL366" s="13">
        <v>0</v>
      </c>
      <c r="BM366" s="13">
        <v>0</v>
      </c>
      <c r="BN366" s="13">
        <v>0</v>
      </c>
      <c r="BO366" s="13">
        <v>0</v>
      </c>
      <c r="BP366" s="13">
        <v>1</v>
      </c>
      <c r="BR366" s="42">
        <v>8</v>
      </c>
    </row>
    <row r="367" spans="2:70" s="42" customFormat="1" x14ac:dyDescent="0.15">
      <c r="B367" s="42" t="s">
        <v>2824</v>
      </c>
      <c r="C367" s="11" t="s">
        <v>2250</v>
      </c>
      <c r="E367" s="42" t="s">
        <v>2251</v>
      </c>
      <c r="G367" s="42">
        <v>1</v>
      </c>
      <c r="H367" s="42">
        <v>13</v>
      </c>
      <c r="I367" s="42" t="s">
        <v>296</v>
      </c>
      <c r="K367" s="42">
        <v>3</v>
      </c>
      <c r="L367" s="42">
        <v>1</v>
      </c>
      <c r="M367" s="42" t="s">
        <v>254</v>
      </c>
      <c r="N367" s="42" t="s">
        <v>396</v>
      </c>
      <c r="O367" s="42">
        <v>0</v>
      </c>
      <c r="P367" s="42" t="s">
        <v>2825</v>
      </c>
      <c r="Q367" s="42" t="s">
        <v>2252</v>
      </c>
      <c r="S367" s="42" t="s">
        <v>2301</v>
      </c>
      <c r="U367" s="42" t="s">
        <v>2253</v>
      </c>
      <c r="Y367" s="42" t="s">
        <v>250</v>
      </c>
      <c r="Z367" s="42" t="s">
        <v>2254</v>
      </c>
      <c r="AA367" s="13" t="s">
        <v>251</v>
      </c>
      <c r="AB367" s="13">
        <v>0.15</v>
      </c>
      <c r="AC367" s="13">
        <v>0</v>
      </c>
      <c r="AD367" s="42">
        <v>20</v>
      </c>
      <c r="AE367" s="42">
        <v>1</v>
      </c>
      <c r="AF367" s="13" t="s">
        <v>2302</v>
      </c>
      <c r="AH367" s="13" t="s">
        <v>399</v>
      </c>
      <c r="AI367" s="11">
        <v>0</v>
      </c>
      <c r="AK367" s="42">
        <v>37646.984642256</v>
      </c>
      <c r="AN367" s="42" t="s">
        <v>235</v>
      </c>
      <c r="AO367" s="42">
        <v>0</v>
      </c>
      <c r="AP367" s="42" t="s">
        <v>252</v>
      </c>
      <c r="AR367" s="42">
        <v>37646.984642256</v>
      </c>
      <c r="AS367" s="42">
        <v>11300.015187647999</v>
      </c>
      <c r="AT367" s="42">
        <v>108365.76759891167</v>
      </c>
      <c r="AU367" s="13">
        <v>1</v>
      </c>
      <c r="AV367" s="13">
        <v>1</v>
      </c>
      <c r="AW367" s="13">
        <v>0</v>
      </c>
      <c r="AX367" s="13">
        <v>0</v>
      </c>
      <c r="AY367" s="13">
        <v>0</v>
      </c>
      <c r="AZ367" s="13">
        <v>0</v>
      </c>
      <c r="BA367" s="13">
        <v>0</v>
      </c>
      <c r="BB367" s="13">
        <v>0</v>
      </c>
      <c r="BC367" s="13">
        <v>0</v>
      </c>
      <c r="BD367" s="13">
        <v>0</v>
      </c>
      <c r="BE367" s="13">
        <v>0.8</v>
      </c>
      <c r="BF367" s="13">
        <v>0.8</v>
      </c>
      <c r="BG367" s="13">
        <v>0</v>
      </c>
      <c r="BH367" s="13">
        <v>0</v>
      </c>
      <c r="BI367" s="13">
        <v>0</v>
      </c>
      <c r="BJ367" s="13">
        <v>0</v>
      </c>
      <c r="BK367" s="13">
        <v>0</v>
      </c>
      <c r="BL367" s="13">
        <v>0</v>
      </c>
      <c r="BM367" s="13">
        <v>0</v>
      </c>
      <c r="BN367" s="13">
        <v>0</v>
      </c>
      <c r="BO367" s="13">
        <v>0</v>
      </c>
      <c r="BP367" s="13">
        <v>1</v>
      </c>
      <c r="BR367" s="42">
        <v>8</v>
      </c>
    </row>
    <row r="368" spans="2:70" s="42" customFormat="1" x14ac:dyDescent="0.15">
      <c r="B368" s="42" t="s">
        <v>2826</v>
      </c>
      <c r="C368" s="42" t="s">
        <v>2250</v>
      </c>
      <c r="E368" s="42" t="s">
        <v>2251</v>
      </c>
      <c r="G368" s="42">
        <v>1</v>
      </c>
      <c r="H368" s="42">
        <v>13</v>
      </c>
      <c r="I368" s="42" t="s">
        <v>296</v>
      </c>
      <c r="K368" s="42">
        <v>3</v>
      </c>
      <c r="L368" s="42">
        <v>1</v>
      </c>
      <c r="M368" s="42" t="s">
        <v>254</v>
      </c>
      <c r="N368" s="42" t="s">
        <v>396</v>
      </c>
      <c r="O368" s="42">
        <v>0</v>
      </c>
      <c r="P368" s="42" t="s">
        <v>2827</v>
      </c>
      <c r="Q368" s="42" t="s">
        <v>2252</v>
      </c>
      <c r="S368" s="42" t="s">
        <v>2301</v>
      </c>
      <c r="U368" s="42" t="s">
        <v>2253</v>
      </c>
      <c r="Y368" s="42" t="s">
        <v>250</v>
      </c>
      <c r="Z368" s="42" t="s">
        <v>2254</v>
      </c>
      <c r="AA368" s="13" t="s">
        <v>251</v>
      </c>
      <c r="AB368" s="13">
        <v>0.15</v>
      </c>
      <c r="AC368" s="13">
        <v>0</v>
      </c>
      <c r="AD368" s="42">
        <v>20</v>
      </c>
      <c r="AE368" s="42">
        <v>1</v>
      </c>
      <c r="AF368" s="13" t="s">
        <v>2302</v>
      </c>
      <c r="AH368" s="13" t="s">
        <v>399</v>
      </c>
      <c r="AI368" s="11">
        <v>0</v>
      </c>
      <c r="AK368" s="42">
        <v>37646.984642256</v>
      </c>
      <c r="AN368" s="42" t="s">
        <v>235</v>
      </c>
      <c r="AO368" s="42">
        <v>0</v>
      </c>
      <c r="AP368" s="42" t="s">
        <v>252</v>
      </c>
      <c r="AR368" s="42">
        <v>37646.984642256</v>
      </c>
      <c r="AS368" s="42">
        <v>11300.015187647999</v>
      </c>
      <c r="AT368" s="42">
        <v>108365.76759891167</v>
      </c>
      <c r="AU368" s="13">
        <v>1</v>
      </c>
      <c r="AV368" s="13">
        <v>1</v>
      </c>
      <c r="AW368" s="13">
        <v>0</v>
      </c>
      <c r="AX368" s="13">
        <v>0</v>
      </c>
      <c r="AY368" s="13">
        <v>0</v>
      </c>
      <c r="AZ368" s="13">
        <v>0</v>
      </c>
      <c r="BA368" s="13">
        <v>0</v>
      </c>
      <c r="BB368" s="13">
        <v>0</v>
      </c>
      <c r="BC368" s="13">
        <v>0</v>
      </c>
      <c r="BD368" s="13">
        <v>0</v>
      </c>
      <c r="BE368" s="13">
        <v>0.8</v>
      </c>
      <c r="BF368" s="13">
        <v>0.8</v>
      </c>
      <c r="BG368" s="13">
        <v>0</v>
      </c>
      <c r="BH368" s="13">
        <v>0</v>
      </c>
      <c r="BI368" s="13">
        <v>0</v>
      </c>
      <c r="BJ368" s="13">
        <v>0</v>
      </c>
      <c r="BK368" s="13">
        <v>0</v>
      </c>
      <c r="BL368" s="13">
        <v>0</v>
      </c>
      <c r="BM368" s="13">
        <v>0</v>
      </c>
      <c r="BN368" s="13">
        <v>0</v>
      </c>
      <c r="BO368" s="13">
        <v>0</v>
      </c>
      <c r="BP368" s="13">
        <v>1</v>
      </c>
      <c r="BR368" s="42">
        <v>8</v>
      </c>
    </row>
    <row r="369" spans="2:70" s="42" customFormat="1" x14ac:dyDescent="0.15">
      <c r="B369" s="42" t="s">
        <v>2828</v>
      </c>
      <c r="C369" s="42" t="s">
        <v>1157</v>
      </c>
      <c r="E369" s="42" t="s">
        <v>1158</v>
      </c>
      <c r="G369" s="42">
        <v>0</v>
      </c>
      <c r="H369" s="42">
        <v>14</v>
      </c>
      <c r="I369" s="42" t="s">
        <v>421</v>
      </c>
      <c r="K369" s="42">
        <v>3</v>
      </c>
      <c r="L369" s="42">
        <v>1</v>
      </c>
      <c r="M369" s="42" t="s">
        <v>254</v>
      </c>
      <c r="N369" s="42" t="s">
        <v>396</v>
      </c>
      <c r="O369" s="42">
        <v>0</v>
      </c>
      <c r="P369" s="42" t="s">
        <v>2829</v>
      </c>
      <c r="Q369" s="42" t="s">
        <v>1159</v>
      </c>
      <c r="S369" s="42" t="s">
        <v>1160</v>
      </c>
      <c r="U369" s="42" t="s">
        <v>1161</v>
      </c>
      <c r="Y369" s="42" t="s">
        <v>250</v>
      </c>
      <c r="Z369" s="42" t="s">
        <v>1162</v>
      </c>
      <c r="AA369" s="13" t="s">
        <v>251</v>
      </c>
      <c r="AB369" s="13">
        <v>0.15</v>
      </c>
      <c r="AC369" s="13">
        <v>30</v>
      </c>
      <c r="AD369" s="42">
        <v>20</v>
      </c>
      <c r="AE369" s="42">
        <v>1</v>
      </c>
      <c r="AF369" s="13" t="s">
        <v>1168</v>
      </c>
      <c r="AH369" s="13" t="s">
        <v>399</v>
      </c>
      <c r="AI369" s="11">
        <v>1000</v>
      </c>
      <c r="AK369" s="42">
        <v>52612.129283630413</v>
      </c>
      <c r="AN369" s="42" t="s">
        <v>235</v>
      </c>
      <c r="AO369" s="42">
        <v>0</v>
      </c>
      <c r="AP369" s="42" t="s">
        <v>252</v>
      </c>
      <c r="AR369" s="42">
        <v>52612.129283630413</v>
      </c>
      <c r="AS369" s="42">
        <v>13780.506326400002</v>
      </c>
      <c r="AT369" s="42">
        <v>251779.78807521405</v>
      </c>
      <c r="AU369" s="13">
        <v>1</v>
      </c>
      <c r="AV369" s="13">
        <v>1</v>
      </c>
      <c r="AW369" s="13">
        <v>0</v>
      </c>
      <c r="AX369" s="13">
        <v>0</v>
      </c>
      <c r="AY369" s="13">
        <v>0</v>
      </c>
      <c r="AZ369" s="13">
        <v>0</v>
      </c>
      <c r="BA369" s="13">
        <v>0</v>
      </c>
      <c r="BB369" s="13">
        <v>0</v>
      </c>
      <c r="BC369" s="13">
        <v>0</v>
      </c>
      <c r="BD369" s="13">
        <v>0</v>
      </c>
      <c r="BE369" s="13">
        <v>0.8</v>
      </c>
      <c r="BF369" s="13">
        <v>0.8</v>
      </c>
      <c r="BG369" s="13">
        <v>0</v>
      </c>
      <c r="BH369" s="13">
        <v>0</v>
      </c>
      <c r="BI369" s="13">
        <v>0</v>
      </c>
      <c r="BJ369" s="13">
        <v>0</v>
      </c>
      <c r="BK369" s="13">
        <v>0</v>
      </c>
      <c r="BL369" s="13">
        <v>0</v>
      </c>
      <c r="BM369" s="13">
        <v>0</v>
      </c>
      <c r="BN369" s="13">
        <v>0</v>
      </c>
      <c r="BO369" s="13">
        <v>0</v>
      </c>
      <c r="BP369" s="13">
        <v>1</v>
      </c>
      <c r="BR369" s="42">
        <v>16</v>
      </c>
    </row>
    <row r="370" spans="2:70" s="42" customFormat="1" x14ac:dyDescent="0.15">
      <c r="B370" s="42" t="s">
        <v>2106</v>
      </c>
      <c r="C370" s="42" t="s">
        <v>2327</v>
      </c>
      <c r="E370" s="42" t="s">
        <v>2328</v>
      </c>
      <c r="G370" s="42">
        <v>0</v>
      </c>
      <c r="H370" s="42">
        <v>14</v>
      </c>
      <c r="I370" s="42" t="s">
        <v>421</v>
      </c>
      <c r="K370" s="42">
        <v>3</v>
      </c>
      <c r="L370" s="42">
        <v>1</v>
      </c>
      <c r="M370" s="42" t="s">
        <v>254</v>
      </c>
      <c r="N370" s="42" t="s">
        <v>396</v>
      </c>
      <c r="O370" s="42">
        <v>0</v>
      </c>
      <c r="P370" s="42" t="s">
        <v>2107</v>
      </c>
      <c r="Q370" s="42" t="s">
        <v>2330</v>
      </c>
      <c r="S370" s="42" t="s">
        <v>2331</v>
      </c>
      <c r="U370" s="42" t="s">
        <v>2332</v>
      </c>
      <c r="Y370" s="42" t="s">
        <v>250</v>
      </c>
      <c r="Z370" s="42" t="s">
        <v>2333</v>
      </c>
      <c r="AA370" s="13" t="s">
        <v>251</v>
      </c>
      <c r="AB370" s="13">
        <v>0.15</v>
      </c>
      <c r="AC370" s="13">
        <v>0</v>
      </c>
      <c r="AD370" s="42">
        <v>20</v>
      </c>
      <c r="AE370" s="42">
        <v>1</v>
      </c>
      <c r="AF370" s="13" t="s">
        <v>2334</v>
      </c>
      <c r="AH370" s="13" t="s">
        <v>399</v>
      </c>
      <c r="AI370" s="11">
        <v>0</v>
      </c>
      <c r="AK370" s="42">
        <v>47152.380018348005</v>
      </c>
      <c r="AN370" s="42" t="s">
        <v>235</v>
      </c>
      <c r="AO370" s="42">
        <v>0</v>
      </c>
      <c r="AP370" s="42" t="s">
        <v>252</v>
      </c>
      <c r="AR370" s="42">
        <v>47152.380018348005</v>
      </c>
      <c r="AS370" s="42">
        <v>13780.506326400002</v>
      </c>
      <c r="AT370" s="42">
        <v>230095.40441323389</v>
      </c>
      <c r="AU370" s="13">
        <v>1</v>
      </c>
      <c r="AV370" s="13">
        <v>1</v>
      </c>
      <c r="AW370" s="13">
        <v>0</v>
      </c>
      <c r="AX370" s="13">
        <v>0</v>
      </c>
      <c r="AY370" s="13">
        <v>0</v>
      </c>
      <c r="AZ370" s="13">
        <v>0</v>
      </c>
      <c r="BA370" s="13">
        <v>0</v>
      </c>
      <c r="BB370" s="13">
        <v>0</v>
      </c>
      <c r="BC370" s="13">
        <v>0</v>
      </c>
      <c r="BD370" s="13">
        <v>0</v>
      </c>
      <c r="BE370" s="13">
        <v>0.8</v>
      </c>
      <c r="BF370" s="13">
        <v>0.8</v>
      </c>
      <c r="BG370" s="13">
        <v>0</v>
      </c>
      <c r="BH370" s="13">
        <v>0</v>
      </c>
      <c r="BI370" s="13">
        <v>0</v>
      </c>
      <c r="BJ370" s="13">
        <v>0</v>
      </c>
      <c r="BK370" s="13">
        <v>0</v>
      </c>
      <c r="BL370" s="13">
        <v>0</v>
      </c>
      <c r="BM370" s="13">
        <v>0</v>
      </c>
      <c r="BN370" s="13">
        <v>0</v>
      </c>
      <c r="BO370" s="13">
        <v>0</v>
      </c>
      <c r="BP370" s="13">
        <v>1</v>
      </c>
      <c r="BR370" s="42">
        <v>14</v>
      </c>
    </row>
    <row r="371" spans="2:70" s="42" customFormat="1" x14ac:dyDescent="0.15">
      <c r="B371" s="42" t="s">
        <v>2108</v>
      </c>
      <c r="C371" s="42" t="s">
        <v>2403</v>
      </c>
      <c r="E371" s="42" t="s">
        <v>2404</v>
      </c>
      <c r="G371" s="42">
        <v>0</v>
      </c>
      <c r="H371" s="42">
        <v>14</v>
      </c>
      <c r="I371" s="42" t="s">
        <v>296</v>
      </c>
      <c r="K371" s="42">
        <v>3</v>
      </c>
      <c r="L371" s="42">
        <v>1</v>
      </c>
      <c r="M371" s="42" t="s">
        <v>254</v>
      </c>
      <c r="N371" s="42" t="s">
        <v>396</v>
      </c>
      <c r="O371" s="42">
        <v>0</v>
      </c>
      <c r="P371" s="42" t="s">
        <v>2109</v>
      </c>
      <c r="Q371" s="42" t="s">
        <v>2406</v>
      </c>
      <c r="S371" s="42" t="s">
        <v>2407</v>
      </c>
      <c r="U371" s="42" t="s">
        <v>2408</v>
      </c>
      <c r="Y371" s="42" t="s">
        <v>250</v>
      </c>
      <c r="Z371" s="42" t="s">
        <v>2409</v>
      </c>
      <c r="AA371" s="13" t="s">
        <v>251</v>
      </c>
      <c r="AB371" s="13">
        <v>0.15</v>
      </c>
      <c r="AC371" s="13">
        <v>0</v>
      </c>
      <c r="AD371" s="42">
        <v>20</v>
      </c>
      <c r="AE371" s="42">
        <v>1</v>
      </c>
      <c r="AF371" s="13" t="s">
        <v>2410</v>
      </c>
      <c r="AH371" s="13" t="s">
        <v>399</v>
      </c>
      <c r="AI371" s="13">
        <v>0</v>
      </c>
      <c r="AK371" s="42">
        <v>53380.052850960004</v>
      </c>
      <c r="AN371" s="42" t="s">
        <v>235</v>
      </c>
      <c r="AO371" s="42">
        <v>0</v>
      </c>
      <c r="AP371" s="42" t="s">
        <v>252</v>
      </c>
      <c r="AR371" s="42">
        <v>53380.052850960004</v>
      </c>
      <c r="AS371" s="42">
        <v>11300.015187647999</v>
      </c>
      <c r="AT371" s="42">
        <v>138447.2348588102</v>
      </c>
      <c r="AU371" s="13">
        <v>1</v>
      </c>
      <c r="AV371" s="13">
        <v>1</v>
      </c>
      <c r="AW371" s="13">
        <v>0</v>
      </c>
      <c r="AX371" s="13">
        <v>0</v>
      </c>
      <c r="AY371" s="13">
        <v>0</v>
      </c>
      <c r="AZ371" s="13">
        <v>0</v>
      </c>
      <c r="BA371" s="13">
        <v>0</v>
      </c>
      <c r="BB371" s="13">
        <v>0</v>
      </c>
      <c r="BC371" s="13">
        <v>0</v>
      </c>
      <c r="BD371" s="13">
        <v>0</v>
      </c>
      <c r="BE371" s="13">
        <v>0.8</v>
      </c>
      <c r="BF371" s="13">
        <v>0.8</v>
      </c>
      <c r="BG371" s="13">
        <v>0</v>
      </c>
      <c r="BH371" s="13">
        <v>0</v>
      </c>
      <c r="BI371" s="13">
        <v>0</v>
      </c>
      <c r="BJ371" s="13">
        <v>0</v>
      </c>
      <c r="BK371" s="13">
        <v>0</v>
      </c>
      <c r="BL371" s="13">
        <v>0</v>
      </c>
      <c r="BM371" s="13">
        <v>0</v>
      </c>
      <c r="BN371" s="13">
        <v>0</v>
      </c>
      <c r="BO371" s="13">
        <v>0</v>
      </c>
      <c r="BP371" s="13">
        <v>1</v>
      </c>
      <c r="BR371" s="42">
        <v>14</v>
      </c>
    </row>
    <row r="372" spans="2:70" s="42" customFormat="1" x14ac:dyDescent="0.15">
      <c r="B372" s="42" t="s">
        <v>2830</v>
      </c>
      <c r="C372" s="42" t="s">
        <v>938</v>
      </c>
      <c r="E372" s="42" t="s">
        <v>939</v>
      </c>
      <c r="G372" s="42">
        <v>0</v>
      </c>
      <c r="H372" s="42">
        <v>14</v>
      </c>
      <c r="I372" s="42" t="s">
        <v>400</v>
      </c>
      <c r="K372" s="42">
        <v>3</v>
      </c>
      <c r="L372" s="42">
        <v>1</v>
      </c>
      <c r="M372" s="42" t="s">
        <v>254</v>
      </c>
      <c r="N372" s="42" t="s">
        <v>396</v>
      </c>
      <c r="O372" s="42">
        <v>0</v>
      </c>
      <c r="P372" s="42" t="s">
        <v>2831</v>
      </c>
      <c r="Q372" s="42" t="s">
        <v>940</v>
      </c>
      <c r="S372" s="42" t="s">
        <v>941</v>
      </c>
      <c r="U372" s="42" t="s">
        <v>942</v>
      </c>
      <c r="Y372" s="42" t="s">
        <v>250</v>
      </c>
      <c r="Z372" s="42" t="s">
        <v>943</v>
      </c>
      <c r="AA372" s="13" t="s">
        <v>251</v>
      </c>
      <c r="AB372" s="13">
        <v>0.15</v>
      </c>
      <c r="AC372" s="13">
        <v>30</v>
      </c>
      <c r="AD372" s="42">
        <v>20</v>
      </c>
      <c r="AE372" s="42">
        <v>1</v>
      </c>
      <c r="AF372" s="13" t="s">
        <v>1022</v>
      </c>
      <c r="AH372" s="13" t="s">
        <v>399</v>
      </c>
      <c r="AI372" s="13">
        <v>0</v>
      </c>
      <c r="AK372" s="42">
        <v>35118.455823000004</v>
      </c>
      <c r="AN372" s="42" t="s">
        <v>235</v>
      </c>
      <c r="AO372" s="42">
        <v>0</v>
      </c>
      <c r="AP372" s="42" t="s">
        <v>252</v>
      </c>
      <c r="AR372" s="42">
        <v>35118.455823000004</v>
      </c>
      <c r="AS372" s="42">
        <v>16260.997465152002</v>
      </c>
      <c r="AT372" s="42">
        <v>287900.00907148799</v>
      </c>
      <c r="AU372" s="13">
        <v>1</v>
      </c>
      <c r="AV372" s="13">
        <v>1</v>
      </c>
      <c r="AW372" s="13">
        <v>0</v>
      </c>
      <c r="AX372" s="13">
        <v>0</v>
      </c>
      <c r="AY372" s="13">
        <v>0</v>
      </c>
      <c r="AZ372" s="13">
        <v>0</v>
      </c>
      <c r="BA372" s="13">
        <v>0</v>
      </c>
      <c r="BB372" s="13">
        <v>0</v>
      </c>
      <c r="BC372" s="13">
        <v>0</v>
      </c>
      <c r="BD372" s="13">
        <v>0</v>
      </c>
      <c r="BE372" s="13">
        <v>0.8</v>
      </c>
      <c r="BF372" s="13">
        <v>0.8</v>
      </c>
      <c r="BG372" s="13">
        <v>0</v>
      </c>
      <c r="BH372" s="13">
        <v>0</v>
      </c>
      <c r="BI372" s="13">
        <v>0</v>
      </c>
      <c r="BJ372" s="13">
        <v>0</v>
      </c>
      <c r="BK372" s="13">
        <v>0</v>
      </c>
      <c r="BL372" s="13">
        <v>0</v>
      </c>
      <c r="BM372" s="13">
        <v>0</v>
      </c>
      <c r="BN372" s="13">
        <v>0</v>
      </c>
      <c r="BO372" s="13">
        <v>0</v>
      </c>
      <c r="BP372" s="13">
        <v>1</v>
      </c>
      <c r="BR372" s="42">
        <v>15</v>
      </c>
    </row>
    <row r="373" spans="2:70" s="42" customFormat="1" x14ac:dyDescent="0.15">
      <c r="B373" s="42" t="s">
        <v>2110</v>
      </c>
      <c r="C373" s="42" t="s">
        <v>930</v>
      </c>
      <c r="E373" s="42" t="s">
        <v>404</v>
      </c>
      <c r="G373" s="42">
        <v>0</v>
      </c>
      <c r="H373" s="42">
        <v>14</v>
      </c>
      <c r="I373" s="42" t="s">
        <v>296</v>
      </c>
      <c r="K373" s="42">
        <v>3</v>
      </c>
      <c r="L373" s="42">
        <v>1</v>
      </c>
      <c r="M373" s="42" t="s">
        <v>254</v>
      </c>
      <c r="N373" s="42" t="s">
        <v>396</v>
      </c>
      <c r="O373" s="42">
        <v>0</v>
      </c>
      <c r="P373" s="42" t="s">
        <v>2111</v>
      </c>
      <c r="Q373" s="42" t="s">
        <v>257</v>
      </c>
      <c r="S373" s="42" t="s">
        <v>403</v>
      </c>
      <c r="U373" s="42" t="s">
        <v>402</v>
      </c>
      <c r="Y373" s="42" t="s">
        <v>250</v>
      </c>
      <c r="Z373" s="42" t="s">
        <v>256</v>
      </c>
      <c r="AA373" s="13" t="s">
        <v>251</v>
      </c>
      <c r="AB373" s="13">
        <v>0.15</v>
      </c>
      <c r="AC373" s="13">
        <v>0</v>
      </c>
      <c r="AD373" s="42">
        <v>20</v>
      </c>
      <c r="AE373" s="42">
        <v>1</v>
      </c>
      <c r="AF373" s="13" t="s">
        <v>1019</v>
      </c>
      <c r="AH373" s="13" t="s">
        <v>399</v>
      </c>
      <c r="AI373" s="13">
        <v>0</v>
      </c>
      <c r="AK373" s="42">
        <v>62370.377541648013</v>
      </c>
      <c r="AN373" s="42" t="s">
        <v>235</v>
      </c>
      <c r="AO373" s="42">
        <v>0</v>
      </c>
      <c r="AP373" s="42" t="s">
        <v>252</v>
      </c>
      <c r="AR373" s="42">
        <v>62370.377541648013</v>
      </c>
      <c r="AS373" s="42">
        <v>11300.015187647999</v>
      </c>
      <c r="AT373" s="42">
        <v>158380.73725994784</v>
      </c>
      <c r="AU373" s="13">
        <v>1</v>
      </c>
      <c r="AV373" s="13">
        <v>1</v>
      </c>
      <c r="AW373" s="13">
        <v>0</v>
      </c>
      <c r="AX373" s="13">
        <v>0</v>
      </c>
      <c r="AY373" s="13">
        <v>0</v>
      </c>
      <c r="AZ373" s="13">
        <v>0</v>
      </c>
      <c r="BA373" s="13">
        <v>0</v>
      </c>
      <c r="BB373" s="13">
        <v>0</v>
      </c>
      <c r="BC373" s="13">
        <v>0</v>
      </c>
      <c r="BD373" s="13">
        <v>0</v>
      </c>
      <c r="BE373" s="13">
        <v>0.8</v>
      </c>
      <c r="BF373" s="13">
        <v>0.8</v>
      </c>
      <c r="BG373" s="13">
        <v>0</v>
      </c>
      <c r="BH373" s="13">
        <v>0</v>
      </c>
      <c r="BI373" s="13">
        <v>0</v>
      </c>
      <c r="BJ373" s="13">
        <v>0</v>
      </c>
      <c r="BK373" s="13">
        <v>0</v>
      </c>
      <c r="BL373" s="13">
        <v>0</v>
      </c>
      <c r="BM373" s="13">
        <v>0</v>
      </c>
      <c r="BN373" s="13">
        <v>0</v>
      </c>
      <c r="BO373" s="13">
        <v>0</v>
      </c>
      <c r="BP373" s="13">
        <v>1</v>
      </c>
      <c r="BR373" s="42">
        <v>17</v>
      </c>
    </row>
    <row r="374" spans="2:70" s="42" customFormat="1" x14ac:dyDescent="0.15">
      <c r="B374" s="42" t="s">
        <v>2112</v>
      </c>
      <c r="C374" s="11" t="s">
        <v>2319</v>
      </c>
      <c r="E374" s="42" t="s">
        <v>2320</v>
      </c>
      <c r="G374" s="42">
        <v>0</v>
      </c>
      <c r="H374" s="42">
        <v>15</v>
      </c>
      <c r="I374" s="42" t="s">
        <v>296</v>
      </c>
      <c r="K374" s="42">
        <v>3</v>
      </c>
      <c r="L374" s="42">
        <v>1</v>
      </c>
      <c r="M374" s="42" t="s">
        <v>254</v>
      </c>
      <c r="N374" s="42" t="s">
        <v>396</v>
      </c>
      <c r="O374" s="42">
        <v>0</v>
      </c>
      <c r="P374" s="42" t="s">
        <v>2113</v>
      </c>
      <c r="Q374" s="42" t="s">
        <v>2321</v>
      </c>
      <c r="S374" s="42" t="s">
        <v>2322</v>
      </c>
      <c r="U374" s="42" t="s">
        <v>2323</v>
      </c>
      <c r="Y374" s="42" t="s">
        <v>250</v>
      </c>
      <c r="Z374" s="42" t="s">
        <v>2324</v>
      </c>
      <c r="AA374" s="13" t="s">
        <v>251</v>
      </c>
      <c r="AB374" s="13">
        <v>0.15</v>
      </c>
      <c r="AC374" s="13">
        <v>0</v>
      </c>
      <c r="AD374" s="42">
        <v>20</v>
      </c>
      <c r="AE374" s="42">
        <v>1</v>
      </c>
      <c r="AF374" s="13" t="s">
        <v>2325</v>
      </c>
      <c r="AH374" s="13" t="s">
        <v>399</v>
      </c>
      <c r="AI374" s="13">
        <v>0</v>
      </c>
      <c r="AK374" s="42">
        <v>56189.529316800006</v>
      </c>
      <c r="AN374" s="42" t="s">
        <v>235</v>
      </c>
      <c r="AO374" s="42">
        <v>0</v>
      </c>
      <c r="AP374" s="42" t="s">
        <v>252</v>
      </c>
      <c r="AR374" s="42">
        <v>56189.529316800006</v>
      </c>
      <c r="AS374" s="42">
        <v>11300.015187647999</v>
      </c>
      <c r="AT374" s="42">
        <v>144970.92655372797</v>
      </c>
      <c r="AU374" s="13">
        <v>1</v>
      </c>
      <c r="AV374" s="13">
        <v>1</v>
      </c>
      <c r="AW374" s="13">
        <v>0</v>
      </c>
      <c r="AX374" s="13">
        <v>0</v>
      </c>
      <c r="AY374" s="13">
        <v>0</v>
      </c>
      <c r="AZ374" s="13">
        <v>0</v>
      </c>
      <c r="BA374" s="13">
        <v>0</v>
      </c>
      <c r="BB374" s="13">
        <v>0</v>
      </c>
      <c r="BC374" s="13">
        <v>0</v>
      </c>
      <c r="BD374" s="13">
        <v>0</v>
      </c>
      <c r="BE374" s="13">
        <v>0.8</v>
      </c>
      <c r="BF374" s="13">
        <v>0.8</v>
      </c>
      <c r="BG374" s="13">
        <v>0</v>
      </c>
      <c r="BH374" s="13">
        <v>0</v>
      </c>
      <c r="BI374" s="13">
        <v>0</v>
      </c>
      <c r="BJ374" s="13">
        <v>0</v>
      </c>
      <c r="BK374" s="13">
        <v>0</v>
      </c>
      <c r="BL374" s="13">
        <v>0</v>
      </c>
      <c r="BM374" s="13">
        <v>0</v>
      </c>
      <c r="BN374" s="13">
        <v>0</v>
      </c>
      <c r="BO374" s="13">
        <v>0</v>
      </c>
      <c r="BP374" s="13">
        <v>1</v>
      </c>
      <c r="BR374" s="42">
        <v>17</v>
      </c>
    </row>
    <row r="375" spans="2:70" s="42" customFormat="1" x14ac:dyDescent="0.15">
      <c r="B375" s="42" t="s">
        <v>2114</v>
      </c>
      <c r="C375" s="42" t="s">
        <v>2311</v>
      </c>
      <c r="E375" s="42" t="s">
        <v>2312</v>
      </c>
      <c r="G375" s="42">
        <v>0</v>
      </c>
      <c r="H375" s="42">
        <v>14</v>
      </c>
      <c r="I375" s="42" t="s">
        <v>421</v>
      </c>
      <c r="K375" s="42">
        <v>3</v>
      </c>
      <c r="L375" s="42">
        <v>1</v>
      </c>
      <c r="M375" s="42" t="s">
        <v>254</v>
      </c>
      <c r="N375" s="42" t="s">
        <v>396</v>
      </c>
      <c r="O375" s="42">
        <v>0</v>
      </c>
      <c r="P375" s="42" t="s">
        <v>2115</v>
      </c>
      <c r="Q375" s="42" t="s">
        <v>2314</v>
      </c>
      <c r="S375" s="42" t="s">
        <v>2315</v>
      </c>
      <c r="U375" s="42" t="s">
        <v>2316</v>
      </c>
      <c r="Y375" s="42" t="s">
        <v>250</v>
      </c>
      <c r="Z375" s="42" t="s">
        <v>2317</v>
      </c>
      <c r="AA375" s="13" t="s">
        <v>251</v>
      </c>
      <c r="AB375" s="13">
        <v>0.15</v>
      </c>
      <c r="AC375" s="13">
        <v>0</v>
      </c>
      <c r="AD375" s="42">
        <v>20</v>
      </c>
      <c r="AE375" s="42">
        <v>1</v>
      </c>
      <c r="AF375" s="13" t="s">
        <v>2318</v>
      </c>
      <c r="AH375" s="13" t="s">
        <v>399</v>
      </c>
      <c r="AI375" s="13">
        <v>1000</v>
      </c>
      <c r="AK375" s="42">
        <v>58071.878548912813</v>
      </c>
      <c r="AN375" s="42" t="s">
        <v>235</v>
      </c>
      <c r="AO375" s="42">
        <v>0</v>
      </c>
      <c r="AP375" s="42" t="s">
        <v>252</v>
      </c>
      <c r="AR375" s="42">
        <v>58071.878548912813</v>
      </c>
      <c r="AS375" s="42">
        <v>13780.506326400002</v>
      </c>
      <c r="AT375" s="42">
        <v>274066.51572780474</v>
      </c>
      <c r="AU375" s="13">
        <v>1</v>
      </c>
      <c r="AV375" s="13">
        <v>1</v>
      </c>
      <c r="AW375" s="13">
        <v>0</v>
      </c>
      <c r="AX375" s="13">
        <v>0</v>
      </c>
      <c r="AY375" s="13">
        <v>0</v>
      </c>
      <c r="AZ375" s="13">
        <v>0</v>
      </c>
      <c r="BA375" s="13">
        <v>0</v>
      </c>
      <c r="BB375" s="13">
        <v>0</v>
      </c>
      <c r="BC375" s="13">
        <v>0</v>
      </c>
      <c r="BD375" s="13">
        <v>0</v>
      </c>
      <c r="BE375" s="13">
        <v>0.8</v>
      </c>
      <c r="BF375" s="13">
        <v>0.8</v>
      </c>
      <c r="BG375" s="13">
        <v>0</v>
      </c>
      <c r="BH375" s="13">
        <v>0</v>
      </c>
      <c r="BI375" s="13">
        <v>0</v>
      </c>
      <c r="BJ375" s="13">
        <v>0</v>
      </c>
      <c r="BK375" s="13">
        <v>0</v>
      </c>
      <c r="BL375" s="13">
        <v>0</v>
      </c>
      <c r="BM375" s="13">
        <v>0</v>
      </c>
      <c r="BN375" s="13">
        <v>0</v>
      </c>
      <c r="BO375" s="13">
        <v>0</v>
      </c>
      <c r="BP375" s="13">
        <v>1</v>
      </c>
      <c r="BR375" s="42">
        <v>18</v>
      </c>
    </row>
    <row r="376" spans="2:70" s="42" customFormat="1" x14ac:dyDescent="0.15">
      <c r="B376" s="42" t="s">
        <v>2832</v>
      </c>
      <c r="C376" s="42" t="s">
        <v>2833</v>
      </c>
      <c r="E376" s="42" t="s">
        <v>2834</v>
      </c>
      <c r="G376" s="42">
        <v>1</v>
      </c>
      <c r="H376" s="42">
        <v>12</v>
      </c>
      <c r="I376" s="42" t="s">
        <v>400</v>
      </c>
      <c r="K376" s="42">
        <v>3</v>
      </c>
      <c r="L376" s="42">
        <v>1</v>
      </c>
      <c r="M376" s="42" t="s">
        <v>254</v>
      </c>
      <c r="N376" s="42" t="s">
        <v>396</v>
      </c>
      <c r="O376" s="42">
        <v>0</v>
      </c>
      <c r="P376" s="42" t="s">
        <v>2835</v>
      </c>
      <c r="Q376" s="42" t="s">
        <v>2836</v>
      </c>
      <c r="S376" s="42" t="s">
        <v>2837</v>
      </c>
      <c r="U376" s="42" t="s">
        <v>2838</v>
      </c>
      <c r="Y376" s="42" t="s">
        <v>250</v>
      </c>
      <c r="Z376" s="42" t="s">
        <v>2839</v>
      </c>
      <c r="AA376" s="13" t="s">
        <v>251</v>
      </c>
      <c r="AB376" s="13">
        <v>0.15</v>
      </c>
      <c r="AC376" s="13">
        <v>0</v>
      </c>
      <c r="AD376" s="42">
        <v>20</v>
      </c>
      <c r="AE376" s="42">
        <v>1</v>
      </c>
      <c r="AF376" s="13" t="s">
        <v>2840</v>
      </c>
      <c r="AH376" s="13" t="s">
        <v>399</v>
      </c>
      <c r="AI376" s="13">
        <v>0</v>
      </c>
      <c r="AK376" s="42">
        <v>35118.455823000004</v>
      </c>
      <c r="AN376" s="42" t="s">
        <v>235</v>
      </c>
      <c r="AO376" s="42">
        <v>0</v>
      </c>
      <c r="AP376" s="42" t="s">
        <v>252</v>
      </c>
      <c r="AR376" s="42">
        <v>35118.455823000004</v>
      </c>
      <c r="AS376" s="42">
        <v>16260.997465152002</v>
      </c>
      <c r="AT376" s="42">
        <v>287900.00907148799</v>
      </c>
      <c r="AU376" s="13">
        <v>1</v>
      </c>
      <c r="AV376" s="13">
        <v>1</v>
      </c>
      <c r="AW376" s="13">
        <v>0</v>
      </c>
      <c r="AX376" s="13">
        <v>0</v>
      </c>
      <c r="AY376" s="13">
        <v>0</v>
      </c>
      <c r="AZ376" s="13">
        <v>0</v>
      </c>
      <c r="BA376" s="13">
        <v>0</v>
      </c>
      <c r="BB376" s="13">
        <v>0</v>
      </c>
      <c r="BC376" s="13">
        <v>0</v>
      </c>
      <c r="BD376" s="13">
        <v>0</v>
      </c>
      <c r="BE376" s="13">
        <v>0.8</v>
      </c>
      <c r="BF376" s="13">
        <v>0.8</v>
      </c>
      <c r="BG376" s="13">
        <v>0</v>
      </c>
      <c r="BH376" s="13">
        <v>0</v>
      </c>
      <c r="BI376" s="13">
        <v>0</v>
      </c>
      <c r="BJ376" s="13">
        <v>0</v>
      </c>
      <c r="BK376" s="13">
        <v>0</v>
      </c>
      <c r="BL376" s="13">
        <v>0</v>
      </c>
      <c r="BM376" s="13">
        <v>0</v>
      </c>
      <c r="BN376" s="13">
        <v>0</v>
      </c>
      <c r="BO376" s="13">
        <v>0</v>
      </c>
      <c r="BP376" s="13">
        <v>1</v>
      </c>
      <c r="BR376" s="42">
        <v>15</v>
      </c>
    </row>
    <row r="377" spans="2:70" s="42" customFormat="1" x14ac:dyDescent="0.15">
      <c r="B377" s="42" t="s">
        <v>2116</v>
      </c>
      <c r="C377" s="42" t="s">
        <v>912</v>
      </c>
      <c r="E377" s="42" t="s">
        <v>913</v>
      </c>
      <c r="G377" s="42">
        <v>0</v>
      </c>
      <c r="H377" s="42">
        <v>14</v>
      </c>
      <c r="I377" s="42" t="s">
        <v>400</v>
      </c>
      <c r="K377" s="42">
        <v>3</v>
      </c>
      <c r="L377" s="42">
        <v>1</v>
      </c>
      <c r="M377" s="42" t="s">
        <v>254</v>
      </c>
      <c r="N377" s="42" t="s">
        <v>396</v>
      </c>
      <c r="O377" s="42">
        <v>0</v>
      </c>
      <c r="P377" s="42" t="s">
        <v>2117</v>
      </c>
      <c r="Q377" s="42" t="s">
        <v>914</v>
      </c>
      <c r="S377" s="42" t="s">
        <v>915</v>
      </c>
      <c r="U377" s="42" t="s">
        <v>916</v>
      </c>
      <c r="Y377" s="42" t="s">
        <v>250</v>
      </c>
      <c r="Z377" s="42" t="s">
        <v>917</v>
      </c>
      <c r="AA377" s="13" t="s">
        <v>251</v>
      </c>
      <c r="AB377" s="13">
        <v>0.15</v>
      </c>
      <c r="AC377" s="13">
        <v>0</v>
      </c>
      <c r="AD377" s="42">
        <v>20</v>
      </c>
      <c r="AE377" s="42">
        <v>1</v>
      </c>
      <c r="AF377" s="13" t="s">
        <v>1015</v>
      </c>
      <c r="AH377" s="13" t="s">
        <v>399</v>
      </c>
      <c r="AI377" s="13">
        <v>0</v>
      </c>
      <c r="AK377" s="42">
        <v>41088.593312910001</v>
      </c>
      <c r="AN377" s="42" t="s">
        <v>235</v>
      </c>
      <c r="AO377" s="42">
        <v>0</v>
      </c>
      <c r="AP377" s="42" t="s">
        <v>252</v>
      </c>
      <c r="AR377" s="42">
        <v>41088.593312910001</v>
      </c>
      <c r="AS377" s="42">
        <v>16260.997465152002</v>
      </c>
      <c r="AT377" s="42">
        <v>327486.26031881757</v>
      </c>
      <c r="AU377" s="13">
        <v>1</v>
      </c>
      <c r="AV377" s="13">
        <v>1</v>
      </c>
      <c r="AW377" s="13">
        <v>0</v>
      </c>
      <c r="AX377" s="13">
        <v>0</v>
      </c>
      <c r="AY377" s="13">
        <v>0</v>
      </c>
      <c r="AZ377" s="13">
        <v>0</v>
      </c>
      <c r="BA377" s="13">
        <v>0</v>
      </c>
      <c r="BB377" s="13">
        <v>0</v>
      </c>
      <c r="BC377" s="13">
        <v>0</v>
      </c>
      <c r="BD377" s="13">
        <v>0</v>
      </c>
      <c r="BE377" s="13">
        <v>0.8</v>
      </c>
      <c r="BF377" s="13">
        <v>0.8</v>
      </c>
      <c r="BG377" s="13">
        <v>0</v>
      </c>
      <c r="BH377" s="13">
        <v>0</v>
      </c>
      <c r="BI377" s="13">
        <v>0</v>
      </c>
      <c r="BJ377" s="13">
        <v>0</v>
      </c>
      <c r="BK377" s="13">
        <v>0</v>
      </c>
      <c r="BL377" s="13">
        <v>0</v>
      </c>
      <c r="BM377" s="13">
        <v>0</v>
      </c>
      <c r="BN377" s="13">
        <v>0</v>
      </c>
      <c r="BO377" s="13">
        <v>0</v>
      </c>
      <c r="BP377" s="13">
        <v>1</v>
      </c>
      <c r="BR377" s="42">
        <v>18</v>
      </c>
    </row>
    <row r="378" spans="2:70" s="42" customFormat="1" x14ac:dyDescent="0.15">
      <c r="B378" s="42" t="s">
        <v>2841</v>
      </c>
      <c r="C378" s="11" t="s">
        <v>856</v>
      </c>
      <c r="E378" s="42" t="s">
        <v>857</v>
      </c>
      <c r="G378" s="42">
        <v>0</v>
      </c>
      <c r="H378" s="42">
        <v>12</v>
      </c>
      <c r="I378" s="42" t="s">
        <v>400</v>
      </c>
      <c r="K378" s="42">
        <v>3</v>
      </c>
      <c r="L378" s="42">
        <v>1</v>
      </c>
      <c r="M378" s="42" t="s">
        <v>254</v>
      </c>
      <c r="N378" s="42" t="s">
        <v>396</v>
      </c>
      <c r="O378" s="42">
        <v>0</v>
      </c>
      <c r="P378" s="42" t="s">
        <v>2842</v>
      </c>
      <c r="Q378" s="42" t="s">
        <v>858</v>
      </c>
      <c r="S378" s="42" t="s">
        <v>859</v>
      </c>
      <c r="U378" s="42" t="s">
        <v>860</v>
      </c>
      <c r="Y378" s="42" t="s">
        <v>250</v>
      </c>
      <c r="Z378" s="42" t="s">
        <v>861</v>
      </c>
      <c r="AA378" s="13" t="s">
        <v>251</v>
      </c>
      <c r="AB378" s="13">
        <v>0.15</v>
      </c>
      <c r="AC378" s="13">
        <v>0</v>
      </c>
      <c r="AD378" s="42">
        <v>20</v>
      </c>
      <c r="AE378" s="42">
        <v>1</v>
      </c>
      <c r="AF378" s="13" t="s">
        <v>1004</v>
      </c>
      <c r="AH378" s="13" t="s">
        <v>399</v>
      </c>
      <c r="AI378" s="13">
        <v>0</v>
      </c>
      <c r="AK378" s="42">
        <v>33362.533031850006</v>
      </c>
      <c r="AN378" s="42" t="s">
        <v>235</v>
      </c>
      <c r="AO378" s="42">
        <v>0</v>
      </c>
      <c r="AP378" s="42" t="s">
        <v>252</v>
      </c>
      <c r="AR378" s="42">
        <v>33362.533031850006</v>
      </c>
      <c r="AS378" s="42">
        <v>16260.997465152002</v>
      </c>
      <c r="AT378" s="42">
        <v>274944.50866327103</v>
      </c>
      <c r="AU378" s="13">
        <v>1</v>
      </c>
      <c r="AV378" s="13">
        <v>1</v>
      </c>
      <c r="AW378" s="13">
        <v>0</v>
      </c>
      <c r="AX378" s="13">
        <v>0</v>
      </c>
      <c r="AY378" s="13">
        <v>0</v>
      </c>
      <c r="AZ378" s="13">
        <v>0</v>
      </c>
      <c r="BA378" s="13">
        <v>0</v>
      </c>
      <c r="BB378" s="13">
        <v>0</v>
      </c>
      <c r="BC378" s="13">
        <v>0</v>
      </c>
      <c r="BD378" s="13">
        <v>0</v>
      </c>
      <c r="BE378" s="13">
        <v>0.8</v>
      </c>
      <c r="BF378" s="13">
        <v>0.8</v>
      </c>
      <c r="BG378" s="13">
        <v>0</v>
      </c>
      <c r="BH378" s="13">
        <v>0</v>
      </c>
      <c r="BI378" s="13">
        <v>0</v>
      </c>
      <c r="BJ378" s="13">
        <v>0</v>
      </c>
      <c r="BK378" s="13">
        <v>0</v>
      </c>
      <c r="BL378" s="13">
        <v>0</v>
      </c>
      <c r="BM378" s="13">
        <v>0</v>
      </c>
      <c r="BN378" s="13">
        <v>0</v>
      </c>
      <c r="BO378" s="13">
        <v>0</v>
      </c>
      <c r="BP378" s="13">
        <v>1</v>
      </c>
      <c r="BR378" s="42">
        <v>14</v>
      </c>
    </row>
    <row r="379" spans="2:70" s="42" customFormat="1" x14ac:dyDescent="0.15">
      <c r="B379" s="42" t="s">
        <v>2118</v>
      </c>
      <c r="C379" s="42" t="s">
        <v>2250</v>
      </c>
      <c r="E379" s="42" t="s">
        <v>2251</v>
      </c>
      <c r="G379" s="42">
        <v>1</v>
      </c>
      <c r="H379" s="42">
        <v>13</v>
      </c>
      <c r="I379" s="42" t="s">
        <v>296</v>
      </c>
      <c r="K379" s="42">
        <v>3</v>
      </c>
      <c r="L379" s="42">
        <v>1</v>
      </c>
      <c r="M379" s="42" t="s">
        <v>254</v>
      </c>
      <c r="N379" s="42" t="s">
        <v>396</v>
      </c>
      <c r="O379" s="42">
        <v>0</v>
      </c>
      <c r="P379" s="42" t="s">
        <v>2119</v>
      </c>
      <c r="Q379" s="42" t="s">
        <v>2252</v>
      </c>
      <c r="S379" s="42" t="s">
        <v>2301</v>
      </c>
      <c r="U379" s="42" t="s">
        <v>2253</v>
      </c>
      <c r="Y379" s="42" t="s">
        <v>250</v>
      </c>
      <c r="Z379" s="42" t="s">
        <v>2254</v>
      </c>
      <c r="AA379" s="13" t="s">
        <v>251</v>
      </c>
      <c r="AB379" s="13">
        <v>0.15</v>
      </c>
      <c r="AC379" s="13">
        <v>0</v>
      </c>
      <c r="AD379" s="42">
        <v>20</v>
      </c>
      <c r="AE379" s="42">
        <v>1</v>
      </c>
      <c r="AF379" s="13" t="s">
        <v>2302</v>
      </c>
      <c r="AH379" s="13" t="s">
        <v>399</v>
      </c>
      <c r="AI379" s="13">
        <v>0</v>
      </c>
      <c r="AK379" s="42">
        <v>37646.984642256</v>
      </c>
      <c r="AN379" s="42" t="s">
        <v>235</v>
      </c>
      <c r="AO379" s="42">
        <v>0</v>
      </c>
      <c r="AP379" s="42" t="s">
        <v>252</v>
      </c>
      <c r="AR379" s="42">
        <v>37646.984642256</v>
      </c>
      <c r="AS379" s="42">
        <v>11300.015187647999</v>
      </c>
      <c r="AT379" s="42">
        <v>108365.76759891167</v>
      </c>
      <c r="AU379" s="13">
        <v>1</v>
      </c>
      <c r="AV379" s="13">
        <v>1</v>
      </c>
      <c r="AW379" s="13">
        <v>0</v>
      </c>
      <c r="AX379" s="13">
        <v>0</v>
      </c>
      <c r="AY379" s="13">
        <v>0</v>
      </c>
      <c r="AZ379" s="13">
        <v>0</v>
      </c>
      <c r="BA379" s="13">
        <v>0</v>
      </c>
      <c r="BB379" s="13">
        <v>0</v>
      </c>
      <c r="BC379" s="13">
        <v>0</v>
      </c>
      <c r="BD379" s="13">
        <v>0</v>
      </c>
      <c r="BE379" s="13">
        <v>0.8</v>
      </c>
      <c r="BF379" s="13">
        <v>0.8</v>
      </c>
      <c r="BG379" s="13">
        <v>0</v>
      </c>
      <c r="BH379" s="13">
        <v>0</v>
      </c>
      <c r="BI379" s="13">
        <v>0</v>
      </c>
      <c r="BJ379" s="13">
        <v>0</v>
      </c>
      <c r="BK379" s="13">
        <v>0</v>
      </c>
      <c r="BL379" s="13">
        <v>0</v>
      </c>
      <c r="BM379" s="13">
        <v>0</v>
      </c>
      <c r="BN379" s="13">
        <v>0</v>
      </c>
      <c r="BO379" s="13">
        <v>0</v>
      </c>
      <c r="BP379" s="13">
        <v>1</v>
      </c>
      <c r="BR379" s="42">
        <v>8</v>
      </c>
    </row>
    <row r="380" spans="2:70" s="42" customFormat="1" x14ac:dyDescent="0.15">
      <c r="B380" s="42" t="s">
        <v>2843</v>
      </c>
      <c r="C380" s="42" t="s">
        <v>930</v>
      </c>
      <c r="E380" s="42" t="s">
        <v>404</v>
      </c>
      <c r="G380" s="42">
        <v>0</v>
      </c>
      <c r="H380" s="42">
        <v>14</v>
      </c>
      <c r="I380" s="42" t="s">
        <v>296</v>
      </c>
      <c r="K380" s="42">
        <v>3</v>
      </c>
      <c r="L380" s="42">
        <v>1</v>
      </c>
      <c r="M380" s="42" t="s">
        <v>254</v>
      </c>
      <c r="N380" s="42" t="s">
        <v>396</v>
      </c>
      <c r="O380" s="42">
        <v>0</v>
      </c>
      <c r="P380" s="42" t="s">
        <v>2844</v>
      </c>
      <c r="Q380" s="42" t="s">
        <v>257</v>
      </c>
      <c r="S380" s="42" t="s">
        <v>403</v>
      </c>
      <c r="U380" s="42" t="s">
        <v>402</v>
      </c>
      <c r="Y380" s="42" t="s">
        <v>250</v>
      </c>
      <c r="Z380" s="42" t="s">
        <v>256</v>
      </c>
      <c r="AA380" s="13" t="s">
        <v>251</v>
      </c>
      <c r="AB380" s="13">
        <v>0.15</v>
      </c>
      <c r="AC380" s="13">
        <v>30</v>
      </c>
      <c r="AD380" s="42">
        <v>20</v>
      </c>
      <c r="AE380" s="42">
        <v>1</v>
      </c>
      <c r="AF380" s="13" t="s">
        <v>1019</v>
      </c>
      <c r="AH380" s="13" t="s">
        <v>399</v>
      </c>
      <c r="AI380" s="13">
        <v>680</v>
      </c>
      <c r="AK380" s="42">
        <v>62370.377541648013</v>
      </c>
      <c r="AN380" s="42" t="s">
        <v>235</v>
      </c>
      <c r="AO380" s="42">
        <v>0</v>
      </c>
      <c r="AP380" s="42" t="s">
        <v>252</v>
      </c>
      <c r="AR380" s="42">
        <v>62370.377541648013</v>
      </c>
      <c r="AS380" s="42">
        <v>11300.015187647999</v>
      </c>
      <c r="AT380" s="42">
        <v>158380.73725994784</v>
      </c>
      <c r="AU380" s="13">
        <v>1</v>
      </c>
      <c r="AV380" s="13">
        <v>1</v>
      </c>
      <c r="AW380" s="13">
        <v>0</v>
      </c>
      <c r="AX380" s="13">
        <v>0</v>
      </c>
      <c r="AY380" s="13">
        <v>0</v>
      </c>
      <c r="AZ380" s="13">
        <v>0</v>
      </c>
      <c r="BA380" s="13">
        <v>0</v>
      </c>
      <c r="BB380" s="13">
        <v>0</v>
      </c>
      <c r="BC380" s="13">
        <v>0</v>
      </c>
      <c r="BD380" s="13">
        <v>0</v>
      </c>
      <c r="BE380" s="13">
        <v>0.8</v>
      </c>
      <c r="BF380" s="13">
        <v>0.8</v>
      </c>
      <c r="BG380" s="13">
        <v>0</v>
      </c>
      <c r="BH380" s="13">
        <v>0</v>
      </c>
      <c r="BI380" s="13">
        <v>0</v>
      </c>
      <c r="BJ380" s="13">
        <v>0</v>
      </c>
      <c r="BK380" s="13">
        <v>0</v>
      </c>
      <c r="BL380" s="13">
        <v>0</v>
      </c>
      <c r="BM380" s="13">
        <v>0</v>
      </c>
      <c r="BN380" s="13">
        <v>0</v>
      </c>
      <c r="BO380" s="13">
        <v>0</v>
      </c>
      <c r="BP380" s="13">
        <v>1</v>
      </c>
      <c r="BR380" s="42">
        <v>17</v>
      </c>
    </row>
    <row r="381" spans="2:70" s="42" customFormat="1" x14ac:dyDescent="0.15">
      <c r="B381" s="42" t="s">
        <v>2845</v>
      </c>
      <c r="C381" s="42" t="s">
        <v>2245</v>
      </c>
      <c r="E381" s="42" t="s">
        <v>2246</v>
      </c>
      <c r="G381" s="42">
        <v>1</v>
      </c>
      <c r="H381" s="42">
        <v>14</v>
      </c>
      <c r="I381" s="42" t="s">
        <v>296</v>
      </c>
      <c r="K381" s="42">
        <v>3</v>
      </c>
      <c r="L381" s="42">
        <v>1</v>
      </c>
      <c r="M381" s="42" t="s">
        <v>254</v>
      </c>
      <c r="N381" s="42" t="s">
        <v>396</v>
      </c>
      <c r="O381" s="42">
        <v>0</v>
      </c>
      <c r="P381" s="42" t="s">
        <v>2846</v>
      </c>
      <c r="Q381" s="42" t="s">
        <v>2247</v>
      </c>
      <c r="S381" s="42" t="s">
        <v>2270</v>
      </c>
      <c r="U381" s="42" t="s">
        <v>2248</v>
      </c>
      <c r="Y381" s="42" t="s">
        <v>250</v>
      </c>
      <c r="Z381" s="162" t="s">
        <v>3183</v>
      </c>
      <c r="AA381" s="13" t="s">
        <v>251</v>
      </c>
      <c r="AB381" s="13">
        <v>0.15</v>
      </c>
      <c r="AC381" s="13">
        <v>0</v>
      </c>
      <c r="AD381" s="42">
        <v>20</v>
      </c>
      <c r="AE381" s="42">
        <v>1</v>
      </c>
      <c r="AF381" s="13" t="s">
        <v>2271</v>
      </c>
      <c r="AH381" s="13" t="s">
        <v>399</v>
      </c>
      <c r="AI381" s="13">
        <v>0</v>
      </c>
      <c r="AK381" s="42">
        <v>56189.529316800006</v>
      </c>
      <c r="AN381" s="42" t="s">
        <v>235</v>
      </c>
      <c r="AO381" s="42">
        <v>0</v>
      </c>
      <c r="AP381" s="42" t="s">
        <v>252</v>
      </c>
      <c r="AR381" s="42">
        <v>56189.529316800006</v>
      </c>
      <c r="AS381" s="42">
        <v>11300.015187647999</v>
      </c>
      <c r="AT381" s="42">
        <v>144970.92655372797</v>
      </c>
      <c r="AU381" s="13">
        <v>1</v>
      </c>
      <c r="AV381" s="13">
        <v>1</v>
      </c>
      <c r="AW381" s="13">
        <v>0</v>
      </c>
      <c r="AX381" s="13">
        <v>0</v>
      </c>
      <c r="AY381" s="13">
        <v>0</v>
      </c>
      <c r="AZ381" s="13">
        <v>0</v>
      </c>
      <c r="BA381" s="13">
        <v>0</v>
      </c>
      <c r="BB381" s="13">
        <v>0</v>
      </c>
      <c r="BC381" s="13">
        <v>0</v>
      </c>
      <c r="BD381" s="13">
        <v>0</v>
      </c>
      <c r="BE381" s="13">
        <v>0.8</v>
      </c>
      <c r="BF381" s="13">
        <v>0.8</v>
      </c>
      <c r="BG381" s="13">
        <v>0</v>
      </c>
      <c r="BH381" s="13">
        <v>0</v>
      </c>
      <c r="BI381" s="13">
        <v>0</v>
      </c>
      <c r="BJ381" s="13">
        <v>0</v>
      </c>
      <c r="BK381" s="13">
        <v>0</v>
      </c>
      <c r="BL381" s="13">
        <v>0</v>
      </c>
      <c r="BM381" s="13">
        <v>0</v>
      </c>
      <c r="BN381" s="13">
        <v>0</v>
      </c>
      <c r="BO381" s="13">
        <v>0</v>
      </c>
      <c r="BP381" s="13">
        <v>1</v>
      </c>
      <c r="BR381" s="42">
        <v>15</v>
      </c>
    </row>
    <row r="382" spans="2:70" s="42" customFormat="1" x14ac:dyDescent="0.15">
      <c r="B382" s="42" t="s">
        <v>2847</v>
      </c>
      <c r="C382" s="11" t="s">
        <v>2370</v>
      </c>
      <c r="E382" s="42" t="s">
        <v>2371</v>
      </c>
      <c r="G382" s="42">
        <v>0</v>
      </c>
      <c r="H382" s="42">
        <v>14</v>
      </c>
      <c r="I382" s="42" t="s">
        <v>296</v>
      </c>
      <c r="K382" s="42">
        <v>3</v>
      </c>
      <c r="L382" s="42">
        <v>1</v>
      </c>
      <c r="M382" s="42" t="s">
        <v>254</v>
      </c>
      <c r="N382" s="42" t="s">
        <v>396</v>
      </c>
      <c r="O382" s="42">
        <v>0</v>
      </c>
      <c r="P382" s="42" t="s">
        <v>2848</v>
      </c>
      <c r="Q382" s="42" t="s">
        <v>2373</v>
      </c>
      <c r="S382" s="42" t="s">
        <v>2374</v>
      </c>
      <c r="U382" s="42" t="s">
        <v>2375</v>
      </c>
      <c r="Y382" s="42" t="s">
        <v>250</v>
      </c>
      <c r="Z382" s="42" t="s">
        <v>2376</v>
      </c>
      <c r="AA382" s="13" t="s">
        <v>251</v>
      </c>
      <c r="AB382" s="13">
        <v>0.15</v>
      </c>
      <c r="AC382" s="13">
        <v>0</v>
      </c>
      <c r="AD382" s="42">
        <v>20</v>
      </c>
      <c r="AE382" s="42">
        <v>1</v>
      </c>
      <c r="AF382" s="13" t="s">
        <v>2377</v>
      </c>
      <c r="AH382" s="13" t="s">
        <v>399</v>
      </c>
      <c r="AI382" s="13">
        <v>800</v>
      </c>
      <c r="AK382" s="42">
        <v>47199.204626112005</v>
      </c>
      <c r="AN382" s="42" t="s">
        <v>235</v>
      </c>
      <c r="AO382" s="42">
        <v>0</v>
      </c>
      <c r="AP382" s="42" t="s">
        <v>252</v>
      </c>
      <c r="AR382" s="42">
        <v>47199.204626112005</v>
      </c>
      <c r="AS382" s="42">
        <v>11300.015187647999</v>
      </c>
      <c r="AT382" s="42">
        <v>125037.42415259039</v>
      </c>
      <c r="AU382" s="13">
        <v>1</v>
      </c>
      <c r="AV382" s="13">
        <v>1</v>
      </c>
      <c r="AW382" s="13">
        <v>0</v>
      </c>
      <c r="AX382" s="13">
        <v>0</v>
      </c>
      <c r="AY382" s="13">
        <v>0</v>
      </c>
      <c r="AZ382" s="13">
        <v>0</v>
      </c>
      <c r="BA382" s="13">
        <v>0</v>
      </c>
      <c r="BB382" s="13">
        <v>0</v>
      </c>
      <c r="BC382" s="13">
        <v>0</v>
      </c>
      <c r="BD382" s="13">
        <v>0</v>
      </c>
      <c r="BE382" s="13">
        <v>0.8</v>
      </c>
      <c r="BF382" s="13">
        <v>0.8</v>
      </c>
      <c r="BG382" s="13">
        <v>0</v>
      </c>
      <c r="BH382" s="13">
        <v>0</v>
      </c>
      <c r="BI382" s="13">
        <v>0</v>
      </c>
      <c r="BJ382" s="13">
        <v>0</v>
      </c>
      <c r="BK382" s="13">
        <v>0</v>
      </c>
      <c r="BL382" s="13">
        <v>0</v>
      </c>
      <c r="BM382" s="13">
        <v>0</v>
      </c>
      <c r="BN382" s="13">
        <v>0</v>
      </c>
      <c r="BO382" s="13">
        <v>0</v>
      </c>
      <c r="BP382" s="13">
        <v>1</v>
      </c>
      <c r="BR382" s="42">
        <v>10</v>
      </c>
    </row>
    <row r="383" spans="2:70" s="42" customFormat="1" x14ac:dyDescent="0.15">
      <c r="B383" s="42" t="s">
        <v>2849</v>
      </c>
      <c r="C383" s="13" t="s">
        <v>2403</v>
      </c>
      <c r="E383" s="42" t="s">
        <v>2404</v>
      </c>
      <c r="G383" s="42">
        <v>0</v>
      </c>
      <c r="H383" s="42">
        <v>14</v>
      </c>
      <c r="I383" s="42" t="s">
        <v>296</v>
      </c>
      <c r="K383" s="42">
        <v>3</v>
      </c>
      <c r="L383" s="42">
        <v>1</v>
      </c>
      <c r="M383" s="42" t="s">
        <v>254</v>
      </c>
      <c r="N383" s="42" t="s">
        <v>396</v>
      </c>
      <c r="O383" s="42">
        <v>0</v>
      </c>
      <c r="P383" s="42" t="s">
        <v>2850</v>
      </c>
      <c r="Q383" s="42" t="s">
        <v>2406</v>
      </c>
      <c r="S383" s="42" t="s">
        <v>2407</v>
      </c>
      <c r="U383" s="42" t="s">
        <v>2408</v>
      </c>
      <c r="Y383" s="42" t="s">
        <v>250</v>
      </c>
      <c r="Z383" s="42" t="s">
        <v>2409</v>
      </c>
      <c r="AA383" s="13" t="s">
        <v>251</v>
      </c>
      <c r="AB383" s="13">
        <v>0.15</v>
      </c>
      <c r="AC383" s="13">
        <v>0</v>
      </c>
      <c r="AD383" s="42">
        <v>20</v>
      </c>
      <c r="AE383" s="42">
        <v>1</v>
      </c>
      <c r="AF383" s="13" t="s">
        <v>2410</v>
      </c>
      <c r="AH383" s="13" t="s">
        <v>399</v>
      </c>
      <c r="AI383" s="13">
        <v>1000</v>
      </c>
      <c r="AK383" s="42">
        <v>53380.052850960004</v>
      </c>
      <c r="AN383" s="42" t="s">
        <v>235</v>
      </c>
      <c r="AO383" s="42">
        <v>0</v>
      </c>
      <c r="AP383" s="42" t="s">
        <v>252</v>
      </c>
      <c r="AR383" s="42">
        <v>53380.052850960004</v>
      </c>
      <c r="AS383" s="42">
        <v>11300.015187647999</v>
      </c>
      <c r="AT383" s="42">
        <v>138447.2348588102</v>
      </c>
      <c r="AU383" s="13">
        <v>1</v>
      </c>
      <c r="AV383" s="13">
        <v>1</v>
      </c>
      <c r="AW383" s="13">
        <v>0</v>
      </c>
      <c r="AX383" s="13">
        <v>0</v>
      </c>
      <c r="AY383" s="13">
        <v>0</v>
      </c>
      <c r="AZ383" s="13">
        <v>0</v>
      </c>
      <c r="BA383" s="13">
        <v>0</v>
      </c>
      <c r="BB383" s="13">
        <v>0</v>
      </c>
      <c r="BC383" s="13">
        <v>0</v>
      </c>
      <c r="BD383" s="13">
        <v>0</v>
      </c>
      <c r="BE383" s="13">
        <v>0.8</v>
      </c>
      <c r="BF383" s="13">
        <v>0.8</v>
      </c>
      <c r="BG383" s="13">
        <v>0</v>
      </c>
      <c r="BH383" s="13">
        <v>0</v>
      </c>
      <c r="BI383" s="13">
        <v>0</v>
      </c>
      <c r="BJ383" s="13">
        <v>0</v>
      </c>
      <c r="BK383" s="13">
        <v>0</v>
      </c>
      <c r="BL383" s="13">
        <v>0</v>
      </c>
      <c r="BM383" s="13">
        <v>0</v>
      </c>
      <c r="BN383" s="13">
        <v>0</v>
      </c>
      <c r="BO383" s="13">
        <v>0</v>
      </c>
      <c r="BP383" s="13">
        <v>1</v>
      </c>
      <c r="BR383" s="42">
        <v>14</v>
      </c>
    </row>
    <row r="384" spans="2:70" s="42" customFormat="1" x14ac:dyDescent="0.15">
      <c r="B384" s="42" t="s">
        <v>2851</v>
      </c>
      <c r="C384" s="11" t="s">
        <v>2245</v>
      </c>
      <c r="E384" s="42" t="s">
        <v>2246</v>
      </c>
      <c r="G384" s="42">
        <v>1</v>
      </c>
      <c r="H384" s="42">
        <v>14</v>
      </c>
      <c r="I384" s="42" t="s">
        <v>296</v>
      </c>
      <c r="K384" s="42">
        <v>3</v>
      </c>
      <c r="L384" s="42">
        <v>1</v>
      </c>
      <c r="M384" s="42" t="s">
        <v>254</v>
      </c>
      <c r="N384" s="42" t="s">
        <v>396</v>
      </c>
      <c r="O384" s="42">
        <v>0</v>
      </c>
      <c r="P384" s="42" t="s">
        <v>2852</v>
      </c>
      <c r="Q384" s="42" t="s">
        <v>2247</v>
      </c>
      <c r="S384" s="42" t="s">
        <v>2270</v>
      </c>
      <c r="U384" s="42" t="s">
        <v>2248</v>
      </c>
      <c r="Y384" s="42" t="s">
        <v>250</v>
      </c>
      <c r="Z384" s="162" t="s">
        <v>3183</v>
      </c>
      <c r="AA384" s="13" t="s">
        <v>251</v>
      </c>
      <c r="AB384" s="13">
        <v>0.15</v>
      </c>
      <c r="AC384" s="13">
        <v>30</v>
      </c>
      <c r="AD384" s="42">
        <v>20</v>
      </c>
      <c r="AE384" s="42">
        <v>1</v>
      </c>
      <c r="AF384" s="13" t="s">
        <v>2271</v>
      </c>
      <c r="AH384" s="13" t="s">
        <v>399</v>
      </c>
      <c r="AI384" s="13">
        <v>0</v>
      </c>
      <c r="AK384" s="42">
        <v>56189.529316800006</v>
      </c>
      <c r="AN384" s="42" t="s">
        <v>235</v>
      </c>
      <c r="AO384" s="42">
        <v>0</v>
      </c>
      <c r="AP384" s="42" t="s">
        <v>252</v>
      </c>
      <c r="AR384" s="42">
        <v>56189.529316800006</v>
      </c>
      <c r="AS384" s="42">
        <v>11300.015187647999</v>
      </c>
      <c r="AT384" s="42">
        <v>144970.92655372797</v>
      </c>
      <c r="AU384" s="13">
        <v>1</v>
      </c>
      <c r="AV384" s="13">
        <v>1</v>
      </c>
      <c r="AW384" s="13">
        <v>0</v>
      </c>
      <c r="AX384" s="13">
        <v>0</v>
      </c>
      <c r="AY384" s="13">
        <v>0</v>
      </c>
      <c r="AZ384" s="13">
        <v>0</v>
      </c>
      <c r="BA384" s="13">
        <v>0</v>
      </c>
      <c r="BB384" s="13">
        <v>0</v>
      </c>
      <c r="BC384" s="13">
        <v>0</v>
      </c>
      <c r="BD384" s="13">
        <v>0</v>
      </c>
      <c r="BE384" s="13">
        <v>0.8</v>
      </c>
      <c r="BF384" s="13">
        <v>0.8</v>
      </c>
      <c r="BG384" s="13">
        <v>0</v>
      </c>
      <c r="BH384" s="13">
        <v>0</v>
      </c>
      <c r="BI384" s="13">
        <v>0</v>
      </c>
      <c r="BJ384" s="13">
        <v>0</v>
      </c>
      <c r="BK384" s="13">
        <v>0</v>
      </c>
      <c r="BL384" s="13">
        <v>0</v>
      </c>
      <c r="BM384" s="13">
        <v>0</v>
      </c>
      <c r="BN384" s="13">
        <v>0</v>
      </c>
      <c r="BO384" s="13">
        <v>0</v>
      </c>
      <c r="BP384" s="13">
        <v>1</v>
      </c>
      <c r="BR384" s="42">
        <v>15</v>
      </c>
    </row>
    <row r="385" spans="2:70" s="42" customFormat="1" x14ac:dyDescent="0.15">
      <c r="B385" s="42" t="s">
        <v>2853</v>
      </c>
      <c r="C385" s="42" t="s">
        <v>944</v>
      </c>
      <c r="E385" s="42" t="s">
        <v>945</v>
      </c>
      <c r="G385" s="42">
        <v>0</v>
      </c>
      <c r="H385" s="42">
        <v>14</v>
      </c>
      <c r="I385" s="42" t="s">
        <v>296</v>
      </c>
      <c r="K385" s="42">
        <v>3</v>
      </c>
      <c r="L385" s="42">
        <v>1</v>
      </c>
      <c r="M385" s="42" t="s">
        <v>254</v>
      </c>
      <c r="N385" s="42" t="s">
        <v>396</v>
      </c>
      <c r="O385" s="42">
        <v>0</v>
      </c>
      <c r="P385" s="42" t="s">
        <v>2854</v>
      </c>
      <c r="Q385" s="42" t="s">
        <v>946</v>
      </c>
      <c r="S385" s="42" t="s">
        <v>947</v>
      </c>
      <c r="U385" s="42" t="s">
        <v>948</v>
      </c>
      <c r="Y385" s="42" t="s">
        <v>250</v>
      </c>
      <c r="Z385" s="42" t="s">
        <v>949</v>
      </c>
      <c r="AA385" s="13" t="s">
        <v>251</v>
      </c>
      <c r="AB385" s="13">
        <v>0.15</v>
      </c>
      <c r="AC385" s="13">
        <v>0</v>
      </c>
      <c r="AD385" s="42">
        <v>20</v>
      </c>
      <c r="AE385" s="42">
        <v>1</v>
      </c>
      <c r="AF385" s="13" t="s">
        <v>1023</v>
      </c>
      <c r="AH385" s="13" t="s">
        <v>399</v>
      </c>
      <c r="AI385" s="13">
        <v>800</v>
      </c>
      <c r="AK385" s="42">
        <v>41580.251694432009</v>
      </c>
      <c r="AN385" s="42" t="s">
        <v>235</v>
      </c>
      <c r="AO385" s="42">
        <v>0</v>
      </c>
      <c r="AP385" s="42" t="s">
        <v>252</v>
      </c>
      <c r="AR385" s="42">
        <v>41580.251694432009</v>
      </c>
      <c r="AS385" s="42">
        <v>11300.015187647999</v>
      </c>
      <c r="AT385" s="42">
        <v>115251.88661021375</v>
      </c>
      <c r="AU385" s="13">
        <v>1</v>
      </c>
      <c r="AV385" s="13">
        <v>1</v>
      </c>
      <c r="AW385" s="13">
        <v>0</v>
      </c>
      <c r="AX385" s="13">
        <v>0</v>
      </c>
      <c r="AY385" s="13">
        <v>0</v>
      </c>
      <c r="AZ385" s="13">
        <v>0</v>
      </c>
      <c r="BA385" s="13">
        <v>0</v>
      </c>
      <c r="BB385" s="13">
        <v>0</v>
      </c>
      <c r="BC385" s="13">
        <v>0</v>
      </c>
      <c r="BD385" s="13">
        <v>0</v>
      </c>
      <c r="BE385" s="13">
        <v>0.8</v>
      </c>
      <c r="BF385" s="13">
        <v>0.8</v>
      </c>
      <c r="BG385" s="13">
        <v>0</v>
      </c>
      <c r="BH385" s="13">
        <v>0</v>
      </c>
      <c r="BI385" s="13">
        <v>0</v>
      </c>
      <c r="BJ385" s="13">
        <v>0</v>
      </c>
      <c r="BK385" s="13">
        <v>0</v>
      </c>
      <c r="BL385" s="13">
        <v>0</v>
      </c>
      <c r="BM385" s="13">
        <v>0</v>
      </c>
      <c r="BN385" s="13">
        <v>0</v>
      </c>
      <c r="BO385" s="13">
        <v>0</v>
      </c>
      <c r="BP385" s="13">
        <v>1</v>
      </c>
      <c r="BQ385" s="13"/>
      <c r="BR385" s="42">
        <v>10</v>
      </c>
    </row>
    <row r="386" spans="2:70" s="42" customFormat="1" x14ac:dyDescent="0.15">
      <c r="B386" s="42" t="s">
        <v>2855</v>
      </c>
      <c r="C386" s="42" t="s">
        <v>2856</v>
      </c>
      <c r="E386" s="42" t="s">
        <v>2857</v>
      </c>
      <c r="G386" s="42">
        <v>0</v>
      </c>
      <c r="H386" s="42">
        <v>14</v>
      </c>
      <c r="I386" s="42" t="s">
        <v>397</v>
      </c>
      <c r="K386" s="42">
        <v>3</v>
      </c>
      <c r="L386" s="42">
        <v>1</v>
      </c>
      <c r="M386" s="42" t="s">
        <v>254</v>
      </c>
      <c r="N386" s="42" t="s">
        <v>396</v>
      </c>
      <c r="O386" s="42">
        <v>0</v>
      </c>
      <c r="P386" s="42" t="s">
        <v>2858</v>
      </c>
      <c r="Q386" s="42" t="s">
        <v>2859</v>
      </c>
      <c r="S386" s="42" t="s">
        <v>2860</v>
      </c>
      <c r="U386" s="42" t="s">
        <v>2861</v>
      </c>
      <c r="Y386" s="42" t="s">
        <v>250</v>
      </c>
      <c r="Z386" s="42" t="s">
        <v>2862</v>
      </c>
      <c r="AA386" s="13" t="s">
        <v>251</v>
      </c>
      <c r="AB386" s="13">
        <v>0.15</v>
      </c>
      <c r="AC386" s="13">
        <v>0</v>
      </c>
      <c r="AD386" s="42">
        <v>20</v>
      </c>
      <c r="AE386" s="42">
        <v>1</v>
      </c>
      <c r="AF386" s="13" t="s">
        <v>2863</v>
      </c>
      <c r="AH386" s="13" t="s">
        <v>399</v>
      </c>
      <c r="AI386" s="13">
        <v>0</v>
      </c>
      <c r="AK386" s="42">
        <v>36036.218135174408</v>
      </c>
      <c r="AN386" s="42" t="s">
        <v>235</v>
      </c>
      <c r="AO386" s="42">
        <v>0</v>
      </c>
      <c r="AP386" s="42" t="s">
        <v>252</v>
      </c>
      <c r="AR386" s="42">
        <v>36036.218135174408</v>
      </c>
      <c r="AS386" s="42">
        <v>13780.506326400002</v>
      </c>
      <c r="AT386" s="42">
        <v>186675.59098837437</v>
      </c>
      <c r="AU386" s="13">
        <v>1</v>
      </c>
      <c r="AV386" s="13">
        <v>1</v>
      </c>
      <c r="AW386" s="13">
        <v>0</v>
      </c>
      <c r="AX386" s="13">
        <v>0</v>
      </c>
      <c r="AY386" s="13">
        <v>0</v>
      </c>
      <c r="AZ386" s="13">
        <v>0</v>
      </c>
      <c r="BA386" s="13">
        <v>0</v>
      </c>
      <c r="BB386" s="13">
        <v>0</v>
      </c>
      <c r="BC386" s="13">
        <v>0</v>
      </c>
      <c r="BD386" s="13">
        <v>0</v>
      </c>
      <c r="BE386" s="13">
        <v>0.8</v>
      </c>
      <c r="BF386" s="13">
        <v>0.8</v>
      </c>
      <c r="BG386" s="13">
        <v>0</v>
      </c>
      <c r="BH386" s="13">
        <v>0</v>
      </c>
      <c r="BI386" s="13">
        <v>0</v>
      </c>
      <c r="BJ386" s="13">
        <v>0</v>
      </c>
      <c r="BK386" s="13">
        <v>0</v>
      </c>
      <c r="BL386" s="13">
        <v>0</v>
      </c>
      <c r="BM386" s="13">
        <v>0</v>
      </c>
      <c r="BN386" s="13">
        <v>0</v>
      </c>
      <c r="BO386" s="13">
        <v>0</v>
      </c>
      <c r="BP386" s="13">
        <v>1</v>
      </c>
      <c r="BQ386" s="13"/>
      <c r="BR386" s="42">
        <v>10</v>
      </c>
    </row>
    <row r="387" spans="2:70" s="42" customFormat="1" x14ac:dyDescent="0.15">
      <c r="B387" s="42" t="s">
        <v>2864</v>
      </c>
      <c r="C387" s="11" t="s">
        <v>2403</v>
      </c>
      <c r="E387" s="42" t="s">
        <v>2404</v>
      </c>
      <c r="G387" s="42">
        <v>0</v>
      </c>
      <c r="H387" s="42">
        <v>14</v>
      </c>
      <c r="I387" s="42" t="s">
        <v>296</v>
      </c>
      <c r="K387" s="42">
        <v>3</v>
      </c>
      <c r="L387" s="42">
        <v>1</v>
      </c>
      <c r="M387" s="42" t="s">
        <v>254</v>
      </c>
      <c r="N387" s="42" t="s">
        <v>396</v>
      </c>
      <c r="O387" s="42">
        <v>0</v>
      </c>
      <c r="P387" s="42" t="s">
        <v>2865</v>
      </c>
      <c r="Q387" s="42" t="s">
        <v>2406</v>
      </c>
      <c r="S387" s="42" t="s">
        <v>2407</v>
      </c>
      <c r="U387" s="42" t="s">
        <v>2408</v>
      </c>
      <c r="Y387" s="42" t="s">
        <v>250</v>
      </c>
      <c r="Z387" s="42" t="s">
        <v>2409</v>
      </c>
      <c r="AA387" s="13" t="s">
        <v>251</v>
      </c>
      <c r="AB387" s="13">
        <v>0.15</v>
      </c>
      <c r="AC387" s="13">
        <v>0</v>
      </c>
      <c r="AD387" s="42">
        <v>20</v>
      </c>
      <c r="AE387" s="42">
        <v>1</v>
      </c>
      <c r="AF387" s="13" t="s">
        <v>2410</v>
      </c>
      <c r="AH387" s="42" t="s">
        <v>399</v>
      </c>
      <c r="AI387" s="13">
        <v>1000</v>
      </c>
      <c r="AK387" s="42">
        <v>53380.052850960004</v>
      </c>
      <c r="AN387" s="42" t="s">
        <v>235</v>
      </c>
      <c r="AO387" s="42">
        <v>0</v>
      </c>
      <c r="AP387" s="42" t="s">
        <v>252</v>
      </c>
      <c r="AR387" s="42">
        <v>53380.052850960004</v>
      </c>
      <c r="AS387" s="42">
        <v>11300.015187647999</v>
      </c>
      <c r="AT387" s="42">
        <v>138447.2348588102</v>
      </c>
      <c r="AU387" s="13">
        <v>1</v>
      </c>
      <c r="AV387" s="13">
        <v>1</v>
      </c>
      <c r="AW387" s="13">
        <v>0</v>
      </c>
      <c r="AX387" s="13">
        <v>0</v>
      </c>
      <c r="AY387" s="13">
        <v>0</v>
      </c>
      <c r="AZ387" s="13">
        <v>0</v>
      </c>
      <c r="BA387" s="13">
        <v>0</v>
      </c>
      <c r="BB387" s="13">
        <v>0</v>
      </c>
      <c r="BC387" s="13">
        <v>0</v>
      </c>
      <c r="BD387" s="13">
        <v>0</v>
      </c>
      <c r="BE387" s="13">
        <v>0.8</v>
      </c>
      <c r="BF387" s="13">
        <v>0.8</v>
      </c>
      <c r="BG387" s="13">
        <v>0</v>
      </c>
      <c r="BH387" s="13">
        <v>0</v>
      </c>
      <c r="BI387" s="13">
        <v>0</v>
      </c>
      <c r="BJ387" s="13">
        <v>0</v>
      </c>
      <c r="BK387" s="13">
        <v>0</v>
      </c>
      <c r="BL387" s="13">
        <v>0</v>
      </c>
      <c r="BM387" s="13">
        <v>0</v>
      </c>
      <c r="BN387" s="13">
        <v>0</v>
      </c>
      <c r="BO387" s="13">
        <v>0</v>
      </c>
      <c r="BP387" s="13">
        <v>1</v>
      </c>
      <c r="BR387" s="42">
        <v>14</v>
      </c>
    </row>
    <row r="388" spans="2:70" s="42" customFormat="1" x14ac:dyDescent="0.15">
      <c r="B388" s="42" t="s">
        <v>2866</v>
      </c>
      <c r="C388" s="42" t="s">
        <v>888</v>
      </c>
      <c r="E388" s="42" t="s">
        <v>889</v>
      </c>
      <c r="G388" s="42">
        <v>0</v>
      </c>
      <c r="H388" s="42">
        <v>13</v>
      </c>
      <c r="I388" s="42" t="s">
        <v>890</v>
      </c>
      <c r="K388" s="42">
        <v>3</v>
      </c>
      <c r="L388" s="42">
        <v>1</v>
      </c>
      <c r="M388" s="42" t="s">
        <v>254</v>
      </c>
      <c r="N388" s="42" t="s">
        <v>396</v>
      </c>
      <c r="O388" s="42">
        <v>0</v>
      </c>
      <c r="P388" s="42" t="s">
        <v>2867</v>
      </c>
      <c r="Q388" s="42" t="s">
        <v>891</v>
      </c>
      <c r="S388" s="42" t="s">
        <v>892</v>
      </c>
      <c r="U388" s="42" t="s">
        <v>893</v>
      </c>
      <c r="Y388" s="42" t="s">
        <v>250</v>
      </c>
      <c r="Z388" s="42" t="s">
        <v>894</v>
      </c>
      <c r="AA388" s="13" t="s">
        <v>251</v>
      </c>
      <c r="AB388" s="13">
        <v>0.15</v>
      </c>
      <c r="AC388" s="13">
        <v>0</v>
      </c>
      <c r="AD388" s="42">
        <v>20</v>
      </c>
      <c r="AE388" s="42">
        <v>1</v>
      </c>
      <c r="AF388" s="13" t="s">
        <v>1011</v>
      </c>
      <c r="AH388" s="42" t="s">
        <v>399</v>
      </c>
      <c r="AI388" s="13">
        <v>0</v>
      </c>
      <c r="AK388" s="42">
        <v>49165.838152200013</v>
      </c>
      <c r="AN388" s="42" t="s">
        <v>235</v>
      </c>
      <c r="AO388" s="42">
        <v>0</v>
      </c>
      <c r="AP388" s="42" t="s">
        <v>252</v>
      </c>
      <c r="AR388" s="42">
        <v>49165.838152200013</v>
      </c>
      <c r="AS388" s="42">
        <v>13780.506326400002</v>
      </c>
      <c r="AT388" s="42">
        <v>212351.77974067201</v>
      </c>
      <c r="AU388" s="13">
        <v>1</v>
      </c>
      <c r="AV388" s="13">
        <v>1</v>
      </c>
      <c r="AW388" s="13">
        <v>0</v>
      </c>
      <c r="AX388" s="13">
        <v>0</v>
      </c>
      <c r="AY388" s="13">
        <v>0</v>
      </c>
      <c r="AZ388" s="13">
        <v>0</v>
      </c>
      <c r="BA388" s="13">
        <v>0</v>
      </c>
      <c r="BB388" s="13">
        <v>0</v>
      </c>
      <c r="BC388" s="13">
        <v>0</v>
      </c>
      <c r="BD388" s="13">
        <v>0</v>
      </c>
      <c r="BE388" s="13">
        <v>0.5</v>
      </c>
      <c r="BF388" s="13">
        <v>0.5</v>
      </c>
      <c r="BG388" s="13">
        <v>0</v>
      </c>
      <c r="BH388" s="13">
        <v>0</v>
      </c>
      <c r="BI388" s="13">
        <v>0</v>
      </c>
      <c r="BJ388" s="13">
        <v>0</v>
      </c>
      <c r="BK388" s="13">
        <v>0</v>
      </c>
      <c r="BL388" s="13">
        <v>0</v>
      </c>
      <c r="BM388" s="13">
        <v>0</v>
      </c>
      <c r="BN388" s="13">
        <v>0</v>
      </c>
      <c r="BO388" s="13">
        <v>0</v>
      </c>
      <c r="BP388" s="13">
        <v>1</v>
      </c>
      <c r="BR388" s="42">
        <v>15</v>
      </c>
    </row>
    <row r="389" spans="2:70" s="42" customFormat="1" x14ac:dyDescent="0.15">
      <c r="B389" s="42" t="s">
        <v>2120</v>
      </c>
      <c r="C389" s="11" t="s">
        <v>815</v>
      </c>
      <c r="E389" s="42" t="s">
        <v>816</v>
      </c>
      <c r="G389" s="42">
        <v>0</v>
      </c>
      <c r="H389" s="42">
        <v>14</v>
      </c>
      <c r="I389" s="42" t="s">
        <v>401</v>
      </c>
      <c r="K389" s="42">
        <v>3</v>
      </c>
      <c r="L389" s="42">
        <v>1</v>
      </c>
      <c r="M389" s="42" t="s">
        <v>254</v>
      </c>
      <c r="N389" s="42" t="s">
        <v>396</v>
      </c>
      <c r="O389" s="42">
        <v>0</v>
      </c>
      <c r="P389" s="42" t="s">
        <v>2121</v>
      </c>
      <c r="Q389" s="42" t="s">
        <v>817</v>
      </c>
      <c r="S389" s="42" t="s">
        <v>818</v>
      </c>
      <c r="U389" s="42" t="s">
        <v>819</v>
      </c>
      <c r="Y389" s="42" t="s">
        <v>250</v>
      </c>
      <c r="Z389" s="42" t="s">
        <v>820</v>
      </c>
      <c r="AA389" s="13" t="s">
        <v>251</v>
      </c>
      <c r="AB389" s="13">
        <v>0.15</v>
      </c>
      <c r="AC389" s="13">
        <v>0</v>
      </c>
      <c r="AD389" s="42">
        <v>20</v>
      </c>
      <c r="AE389" s="42">
        <v>1</v>
      </c>
      <c r="AF389" s="13" t="s">
        <v>1016</v>
      </c>
      <c r="AH389" s="42" t="s">
        <v>399</v>
      </c>
      <c r="AI389" s="13">
        <v>680</v>
      </c>
      <c r="AK389" s="42">
        <v>45841.291000956007</v>
      </c>
      <c r="AN389" s="42" t="s">
        <v>235</v>
      </c>
      <c r="AO389" s="42">
        <v>0</v>
      </c>
      <c r="AP389" s="42" t="s">
        <v>252</v>
      </c>
      <c r="AR389" s="42">
        <v>45841.291000956007</v>
      </c>
      <c r="AS389" s="42">
        <v>13780.506326400002</v>
      </c>
      <c r="AT389" s="42">
        <v>150090.85047391779</v>
      </c>
      <c r="AU389" s="13">
        <v>1</v>
      </c>
      <c r="AV389" s="13">
        <v>1</v>
      </c>
      <c r="AW389" s="13">
        <v>0</v>
      </c>
      <c r="AX389" s="13">
        <v>0</v>
      </c>
      <c r="AY389" s="13">
        <v>0</v>
      </c>
      <c r="AZ389" s="13">
        <v>0</v>
      </c>
      <c r="BA389" s="13">
        <v>0</v>
      </c>
      <c r="BB389" s="13">
        <v>0</v>
      </c>
      <c r="BC389" s="13">
        <v>0</v>
      </c>
      <c r="BD389" s="13">
        <v>0</v>
      </c>
      <c r="BE389" s="13">
        <v>0.5</v>
      </c>
      <c r="BF389" s="13">
        <v>0.5</v>
      </c>
      <c r="BG389" s="13">
        <v>0</v>
      </c>
      <c r="BH389" s="13">
        <v>0</v>
      </c>
      <c r="BI389" s="13">
        <v>0</v>
      </c>
      <c r="BJ389" s="13">
        <v>0</v>
      </c>
      <c r="BK389" s="13">
        <v>0</v>
      </c>
      <c r="BL389" s="13">
        <v>0</v>
      </c>
      <c r="BM389" s="13">
        <v>0</v>
      </c>
      <c r="BN389" s="13">
        <v>0</v>
      </c>
      <c r="BO389" s="13">
        <v>0</v>
      </c>
      <c r="BP389" s="13">
        <v>1</v>
      </c>
      <c r="BR389" s="42">
        <v>13</v>
      </c>
    </row>
    <row r="390" spans="2:70" s="42" customFormat="1" x14ac:dyDescent="0.15">
      <c r="B390" s="42" t="s">
        <v>2122</v>
      </c>
      <c r="C390" s="42" t="s">
        <v>2250</v>
      </c>
      <c r="E390" s="42" t="s">
        <v>2251</v>
      </c>
      <c r="G390" s="42">
        <v>1</v>
      </c>
      <c r="H390" s="42">
        <v>13</v>
      </c>
      <c r="I390" s="42" t="s">
        <v>296</v>
      </c>
      <c r="K390" s="42">
        <v>3</v>
      </c>
      <c r="L390" s="42">
        <v>1</v>
      </c>
      <c r="M390" s="42" t="s">
        <v>254</v>
      </c>
      <c r="N390" s="42" t="s">
        <v>396</v>
      </c>
      <c r="O390" s="42">
        <v>0</v>
      </c>
      <c r="P390" s="42" t="s">
        <v>2123</v>
      </c>
      <c r="Q390" s="42" t="s">
        <v>2252</v>
      </c>
      <c r="S390" s="42" t="s">
        <v>2301</v>
      </c>
      <c r="U390" s="42" t="s">
        <v>2253</v>
      </c>
      <c r="Y390" s="42" t="s">
        <v>250</v>
      </c>
      <c r="Z390" s="42" t="s">
        <v>2254</v>
      </c>
      <c r="AA390" s="13" t="s">
        <v>251</v>
      </c>
      <c r="AB390" s="13">
        <v>0.15</v>
      </c>
      <c r="AC390" s="13">
        <v>0</v>
      </c>
      <c r="AD390" s="42">
        <v>20</v>
      </c>
      <c r="AE390" s="42">
        <v>1</v>
      </c>
      <c r="AF390" s="13" t="s">
        <v>2302</v>
      </c>
      <c r="AH390" s="42" t="s">
        <v>399</v>
      </c>
      <c r="AI390" s="13">
        <v>800</v>
      </c>
      <c r="AK390" s="42">
        <v>37646.984642256</v>
      </c>
      <c r="AN390" s="42" t="s">
        <v>235</v>
      </c>
      <c r="AO390" s="42">
        <v>0</v>
      </c>
      <c r="AP390" s="42" t="s">
        <v>252</v>
      </c>
      <c r="AR390" s="42">
        <v>37646.984642256</v>
      </c>
      <c r="AS390" s="42">
        <v>11300.015187647999</v>
      </c>
      <c r="AT390" s="42">
        <v>108365.76759891167</v>
      </c>
      <c r="AU390" s="13">
        <v>1</v>
      </c>
      <c r="AV390" s="13">
        <v>1</v>
      </c>
      <c r="AW390" s="13">
        <v>0</v>
      </c>
      <c r="AX390" s="13">
        <v>0</v>
      </c>
      <c r="AY390" s="13">
        <v>0</v>
      </c>
      <c r="AZ390" s="13">
        <v>0</v>
      </c>
      <c r="BA390" s="13">
        <v>0</v>
      </c>
      <c r="BB390" s="13">
        <v>0</v>
      </c>
      <c r="BC390" s="13">
        <v>0</v>
      </c>
      <c r="BD390" s="13">
        <v>0</v>
      </c>
      <c r="BE390" s="13">
        <v>0.5</v>
      </c>
      <c r="BF390" s="13">
        <v>0.5</v>
      </c>
      <c r="BG390" s="13">
        <v>0</v>
      </c>
      <c r="BH390" s="13">
        <v>0</v>
      </c>
      <c r="BI390" s="13">
        <v>0</v>
      </c>
      <c r="BJ390" s="13">
        <v>0</v>
      </c>
      <c r="BK390" s="13">
        <v>0</v>
      </c>
      <c r="BL390" s="13">
        <v>0</v>
      </c>
      <c r="BM390" s="13">
        <v>0</v>
      </c>
      <c r="BN390" s="13">
        <v>0</v>
      </c>
      <c r="BO390" s="13">
        <v>0</v>
      </c>
      <c r="BP390" s="13">
        <v>1</v>
      </c>
      <c r="BR390" s="42">
        <v>8</v>
      </c>
    </row>
    <row r="391" spans="2:70" s="42" customFormat="1" x14ac:dyDescent="0.15">
      <c r="B391" s="42" t="s">
        <v>2868</v>
      </c>
      <c r="C391" s="13" t="s">
        <v>888</v>
      </c>
      <c r="E391" s="42" t="s">
        <v>889</v>
      </c>
      <c r="G391" s="42">
        <v>0</v>
      </c>
      <c r="H391" s="42">
        <v>13</v>
      </c>
      <c r="I391" s="42" t="s">
        <v>890</v>
      </c>
      <c r="K391" s="42">
        <v>3</v>
      </c>
      <c r="L391" s="42">
        <v>1</v>
      </c>
      <c r="M391" s="42" t="s">
        <v>254</v>
      </c>
      <c r="N391" s="42" t="s">
        <v>396</v>
      </c>
      <c r="O391" s="42">
        <v>0</v>
      </c>
      <c r="P391" s="42" t="s">
        <v>2869</v>
      </c>
      <c r="Q391" s="42" t="s">
        <v>891</v>
      </c>
      <c r="S391" s="42" t="s">
        <v>892</v>
      </c>
      <c r="U391" s="42" t="s">
        <v>893</v>
      </c>
      <c r="Y391" s="42" t="s">
        <v>250</v>
      </c>
      <c r="Z391" s="42" t="s">
        <v>894</v>
      </c>
      <c r="AA391" s="13" t="s">
        <v>251</v>
      </c>
      <c r="AB391" s="13">
        <v>0.15</v>
      </c>
      <c r="AC391" s="13">
        <v>0</v>
      </c>
      <c r="AD391" s="42">
        <v>20</v>
      </c>
      <c r="AE391" s="42">
        <v>1</v>
      </c>
      <c r="AF391" s="13" t="s">
        <v>1011</v>
      </c>
      <c r="AH391" s="42" t="s">
        <v>399</v>
      </c>
      <c r="AI391" s="13">
        <v>0</v>
      </c>
      <c r="AK391" s="42">
        <v>49165.838152200013</v>
      </c>
      <c r="AN391" s="42" t="s">
        <v>235</v>
      </c>
      <c r="AO391" s="42">
        <v>0</v>
      </c>
      <c r="AP391" s="42" t="s">
        <v>252</v>
      </c>
      <c r="AR391" s="42">
        <v>49165.838152200013</v>
      </c>
      <c r="AS391" s="42">
        <v>13780.506326400002</v>
      </c>
      <c r="AT391" s="42">
        <v>212351.77974067201</v>
      </c>
      <c r="AU391" s="13">
        <v>1</v>
      </c>
      <c r="AV391" s="13">
        <v>1</v>
      </c>
      <c r="AW391" s="13">
        <v>0</v>
      </c>
      <c r="AX391" s="13">
        <v>0</v>
      </c>
      <c r="AY391" s="13">
        <v>0</v>
      </c>
      <c r="AZ391" s="13">
        <v>0</v>
      </c>
      <c r="BA391" s="13">
        <v>0</v>
      </c>
      <c r="BB391" s="13">
        <v>0</v>
      </c>
      <c r="BC391" s="13">
        <v>0</v>
      </c>
      <c r="BD391" s="13">
        <v>0</v>
      </c>
      <c r="BE391" s="13">
        <v>0.5</v>
      </c>
      <c r="BF391" s="13">
        <v>0.5</v>
      </c>
      <c r="BG391" s="13">
        <v>0</v>
      </c>
      <c r="BH391" s="13">
        <v>0</v>
      </c>
      <c r="BI391" s="13">
        <v>0</v>
      </c>
      <c r="BJ391" s="13">
        <v>0</v>
      </c>
      <c r="BK391" s="13">
        <v>0</v>
      </c>
      <c r="BL391" s="13">
        <v>0</v>
      </c>
      <c r="BM391" s="13">
        <v>0</v>
      </c>
      <c r="BN391" s="13">
        <v>0</v>
      </c>
      <c r="BO391" s="13">
        <v>0</v>
      </c>
      <c r="BP391" s="13">
        <v>1</v>
      </c>
      <c r="BR391" s="42">
        <v>15</v>
      </c>
    </row>
    <row r="392" spans="2:70" s="42" customFormat="1" x14ac:dyDescent="0.15">
      <c r="B392" s="42" t="s">
        <v>2870</v>
      </c>
      <c r="C392" s="42" t="s">
        <v>2871</v>
      </c>
      <c r="E392" s="42" t="s">
        <v>2872</v>
      </c>
      <c r="G392" s="42">
        <v>0</v>
      </c>
      <c r="H392" s="42">
        <v>14</v>
      </c>
      <c r="I392" s="42" t="s">
        <v>397</v>
      </c>
      <c r="K392" s="42">
        <v>3</v>
      </c>
      <c r="L392" s="42">
        <v>1</v>
      </c>
      <c r="M392" s="42" t="s">
        <v>254</v>
      </c>
      <c r="N392" s="42" t="s">
        <v>396</v>
      </c>
      <c r="O392" s="42">
        <v>0</v>
      </c>
      <c r="P392" s="42" t="s">
        <v>2873</v>
      </c>
      <c r="Q392" s="42" t="s">
        <v>2874</v>
      </c>
      <c r="S392" s="42" t="s">
        <v>2875</v>
      </c>
      <c r="U392" s="42" t="s">
        <v>2876</v>
      </c>
      <c r="Y392" s="42" t="s">
        <v>250</v>
      </c>
      <c r="Z392" s="42" t="s">
        <v>2877</v>
      </c>
      <c r="AA392" s="13" t="s">
        <v>251</v>
      </c>
      <c r="AB392" s="13">
        <v>0.15</v>
      </c>
      <c r="AC392" s="13">
        <v>30</v>
      </c>
      <c r="AD392" s="42">
        <v>20</v>
      </c>
      <c r="AE392" s="42">
        <v>1</v>
      </c>
      <c r="AF392" s="13" t="s">
        <v>2878</v>
      </c>
      <c r="AH392" s="13" t="s">
        <v>399</v>
      </c>
      <c r="AI392" s="13">
        <v>1000</v>
      </c>
      <c r="AK392" s="42">
        <v>48697.592074560009</v>
      </c>
      <c r="AN392" s="42" t="s">
        <v>235</v>
      </c>
      <c r="AO392" s="42">
        <v>0</v>
      </c>
      <c r="AP392" s="42" t="s">
        <v>252</v>
      </c>
      <c r="AR392" s="42">
        <v>48697.592074560009</v>
      </c>
      <c r="AS392" s="42">
        <v>13780.506326400002</v>
      </c>
      <c r="AT392" s="42">
        <v>234812.06413631997</v>
      </c>
      <c r="AU392" s="13">
        <v>1</v>
      </c>
      <c r="AV392" s="13">
        <v>1</v>
      </c>
      <c r="AW392" s="13">
        <v>0</v>
      </c>
      <c r="AX392" s="13">
        <v>0</v>
      </c>
      <c r="AY392" s="13">
        <v>0</v>
      </c>
      <c r="AZ392" s="13">
        <v>0</v>
      </c>
      <c r="BA392" s="13">
        <v>0</v>
      </c>
      <c r="BB392" s="13">
        <v>0</v>
      </c>
      <c r="BC392" s="13">
        <v>0</v>
      </c>
      <c r="BD392" s="13">
        <v>0</v>
      </c>
      <c r="BE392" s="13">
        <v>0.5</v>
      </c>
      <c r="BF392" s="13">
        <v>0.5</v>
      </c>
      <c r="BG392" s="13">
        <v>0</v>
      </c>
      <c r="BH392" s="13">
        <v>0</v>
      </c>
      <c r="BI392" s="13">
        <v>0</v>
      </c>
      <c r="BJ392" s="13">
        <v>0</v>
      </c>
      <c r="BK392" s="13">
        <v>0</v>
      </c>
      <c r="BL392" s="13">
        <v>0</v>
      </c>
      <c r="BM392" s="13">
        <v>0</v>
      </c>
      <c r="BN392" s="13">
        <v>0</v>
      </c>
      <c r="BO392" s="13">
        <v>0</v>
      </c>
      <c r="BP392" s="13">
        <v>1</v>
      </c>
      <c r="BR392" s="42">
        <v>15</v>
      </c>
    </row>
    <row r="393" spans="2:70" s="42" customFormat="1" x14ac:dyDescent="0.15">
      <c r="B393" s="42" t="s">
        <v>2124</v>
      </c>
      <c r="C393" s="42" t="s">
        <v>2245</v>
      </c>
      <c r="E393" s="42" t="s">
        <v>2246</v>
      </c>
      <c r="G393" s="42">
        <v>1</v>
      </c>
      <c r="H393" s="42">
        <v>14</v>
      </c>
      <c r="I393" s="42" t="s">
        <v>296</v>
      </c>
      <c r="K393" s="42">
        <v>3</v>
      </c>
      <c r="L393" s="42">
        <v>1</v>
      </c>
      <c r="M393" s="42" t="s">
        <v>254</v>
      </c>
      <c r="N393" s="42" t="s">
        <v>396</v>
      </c>
      <c r="O393" s="42">
        <v>0</v>
      </c>
      <c r="P393" s="42" t="s">
        <v>2125</v>
      </c>
      <c r="Q393" s="42" t="s">
        <v>2247</v>
      </c>
      <c r="S393" s="42" t="s">
        <v>2270</v>
      </c>
      <c r="U393" s="42" t="s">
        <v>2248</v>
      </c>
      <c r="Y393" s="42" t="s">
        <v>250</v>
      </c>
      <c r="Z393" s="162" t="s">
        <v>3183</v>
      </c>
      <c r="AA393" s="13" t="s">
        <v>251</v>
      </c>
      <c r="AB393" s="13">
        <v>0.15</v>
      </c>
      <c r="AC393" s="13">
        <v>0</v>
      </c>
      <c r="AD393" s="42">
        <v>20</v>
      </c>
      <c r="AE393" s="42">
        <v>1</v>
      </c>
      <c r="AF393" s="13" t="s">
        <v>2271</v>
      </c>
      <c r="AH393" s="42" t="s">
        <v>399</v>
      </c>
      <c r="AI393" s="13">
        <v>0</v>
      </c>
      <c r="AK393" s="42">
        <v>56189.529316800006</v>
      </c>
      <c r="AN393" s="42" t="s">
        <v>235</v>
      </c>
      <c r="AO393" s="42">
        <v>0</v>
      </c>
      <c r="AP393" s="42" t="s">
        <v>252</v>
      </c>
      <c r="AR393" s="42">
        <v>56189.529316800006</v>
      </c>
      <c r="AS393" s="42">
        <v>11300.015187647999</v>
      </c>
      <c r="AT393" s="42">
        <v>144970.92655372797</v>
      </c>
      <c r="AU393" s="13">
        <v>1</v>
      </c>
      <c r="AV393" s="13">
        <v>1</v>
      </c>
      <c r="AW393" s="13">
        <v>0</v>
      </c>
      <c r="AX393" s="13">
        <v>0</v>
      </c>
      <c r="AY393" s="13">
        <v>0</v>
      </c>
      <c r="AZ393" s="13">
        <v>0</v>
      </c>
      <c r="BA393" s="13">
        <v>0</v>
      </c>
      <c r="BB393" s="13">
        <v>0</v>
      </c>
      <c r="BC393" s="13">
        <v>0</v>
      </c>
      <c r="BD393" s="13">
        <v>0</v>
      </c>
      <c r="BE393" s="13">
        <v>0.5</v>
      </c>
      <c r="BF393" s="13">
        <v>0.5</v>
      </c>
      <c r="BG393" s="13">
        <v>0</v>
      </c>
      <c r="BH393" s="13">
        <v>0</v>
      </c>
      <c r="BI393" s="13">
        <v>0</v>
      </c>
      <c r="BJ393" s="13">
        <v>0</v>
      </c>
      <c r="BK393" s="13">
        <v>0</v>
      </c>
      <c r="BL393" s="13">
        <v>0</v>
      </c>
      <c r="BM393" s="13">
        <v>0</v>
      </c>
      <c r="BN393" s="13">
        <v>0</v>
      </c>
      <c r="BO393" s="13">
        <v>0</v>
      </c>
      <c r="BP393" s="13">
        <v>1</v>
      </c>
      <c r="BR393" s="42">
        <v>15</v>
      </c>
    </row>
    <row r="394" spans="2:70" s="42" customFormat="1" x14ac:dyDescent="0.15">
      <c r="B394" s="42" t="s">
        <v>2879</v>
      </c>
      <c r="C394" s="42" t="s">
        <v>2250</v>
      </c>
      <c r="E394" s="42" t="s">
        <v>2251</v>
      </c>
      <c r="G394" s="42">
        <v>1</v>
      </c>
      <c r="H394" s="42">
        <v>13</v>
      </c>
      <c r="I394" s="42" t="s">
        <v>296</v>
      </c>
      <c r="K394" s="42">
        <v>3</v>
      </c>
      <c r="L394" s="42">
        <v>1</v>
      </c>
      <c r="M394" s="42" t="s">
        <v>254</v>
      </c>
      <c r="N394" s="42" t="s">
        <v>396</v>
      </c>
      <c r="O394" s="42">
        <v>0</v>
      </c>
      <c r="P394" s="42" t="s">
        <v>2880</v>
      </c>
      <c r="Q394" s="42" t="s">
        <v>2252</v>
      </c>
      <c r="S394" s="42" t="s">
        <v>2301</v>
      </c>
      <c r="U394" s="42" t="s">
        <v>2253</v>
      </c>
      <c r="Y394" s="42" t="s">
        <v>250</v>
      </c>
      <c r="Z394" s="42" t="s">
        <v>2254</v>
      </c>
      <c r="AA394" s="13" t="s">
        <v>251</v>
      </c>
      <c r="AB394" s="13">
        <v>0.15</v>
      </c>
      <c r="AC394" s="13">
        <v>0</v>
      </c>
      <c r="AD394" s="42">
        <v>20</v>
      </c>
      <c r="AE394" s="42">
        <v>1</v>
      </c>
      <c r="AF394" s="13" t="s">
        <v>2302</v>
      </c>
      <c r="AH394" s="42" t="s">
        <v>399</v>
      </c>
      <c r="AI394" s="13">
        <v>800</v>
      </c>
      <c r="AK394" s="42">
        <v>37646.984642256</v>
      </c>
      <c r="AN394" s="42" t="s">
        <v>235</v>
      </c>
      <c r="AO394" s="42">
        <v>0</v>
      </c>
      <c r="AP394" s="42" t="s">
        <v>252</v>
      </c>
      <c r="AR394" s="42">
        <v>37646.984642256</v>
      </c>
      <c r="AS394" s="42">
        <v>11300.015187647999</v>
      </c>
      <c r="AT394" s="42">
        <v>108365.76759891167</v>
      </c>
      <c r="AU394" s="13">
        <v>1</v>
      </c>
      <c r="AV394" s="13">
        <v>1</v>
      </c>
      <c r="AW394" s="13">
        <v>0</v>
      </c>
      <c r="AX394" s="13">
        <v>0</v>
      </c>
      <c r="AY394" s="13">
        <v>0</v>
      </c>
      <c r="AZ394" s="13">
        <v>0</v>
      </c>
      <c r="BA394" s="13">
        <v>0</v>
      </c>
      <c r="BB394" s="13">
        <v>0</v>
      </c>
      <c r="BC394" s="13">
        <v>0</v>
      </c>
      <c r="BD394" s="13">
        <v>0</v>
      </c>
      <c r="BE394" s="13">
        <v>0.5</v>
      </c>
      <c r="BF394" s="13">
        <v>0.5</v>
      </c>
      <c r="BG394" s="13">
        <v>0</v>
      </c>
      <c r="BH394" s="13">
        <v>0</v>
      </c>
      <c r="BI394" s="13">
        <v>0</v>
      </c>
      <c r="BJ394" s="13">
        <v>0</v>
      </c>
      <c r="BK394" s="13">
        <v>0</v>
      </c>
      <c r="BL394" s="13">
        <v>0</v>
      </c>
      <c r="BM394" s="13">
        <v>0</v>
      </c>
      <c r="BN394" s="13">
        <v>0</v>
      </c>
      <c r="BO394" s="13">
        <v>0</v>
      </c>
      <c r="BP394" s="13">
        <v>1</v>
      </c>
      <c r="BR394" s="42">
        <v>8</v>
      </c>
    </row>
    <row r="395" spans="2:70" s="42" customFormat="1" x14ac:dyDescent="0.15">
      <c r="B395" s="42" t="s">
        <v>2881</v>
      </c>
      <c r="C395" s="13" t="s">
        <v>895</v>
      </c>
      <c r="E395" s="42" t="s">
        <v>854</v>
      </c>
      <c r="G395" s="42">
        <v>0</v>
      </c>
      <c r="H395" s="42">
        <v>13</v>
      </c>
      <c r="I395" s="42" t="s">
        <v>890</v>
      </c>
      <c r="K395" s="42">
        <v>3</v>
      </c>
      <c r="L395" s="42">
        <v>1</v>
      </c>
      <c r="M395" s="42" t="s">
        <v>254</v>
      </c>
      <c r="N395" s="42" t="s">
        <v>396</v>
      </c>
      <c r="O395" s="42">
        <v>0</v>
      </c>
      <c r="P395" s="42" t="s">
        <v>2882</v>
      </c>
      <c r="Q395" s="42" t="s">
        <v>896</v>
      </c>
      <c r="S395" s="42" t="s">
        <v>897</v>
      </c>
      <c r="U395" s="42" t="s">
        <v>898</v>
      </c>
      <c r="Y395" s="42" t="s">
        <v>250</v>
      </c>
      <c r="Z395" s="42" t="s">
        <v>899</v>
      </c>
      <c r="AA395" s="13" t="s">
        <v>251</v>
      </c>
      <c r="AB395" s="13">
        <v>0.15</v>
      </c>
      <c r="AC395" s="13">
        <v>0</v>
      </c>
      <c r="AD395" s="42">
        <v>20</v>
      </c>
      <c r="AE395" s="42">
        <v>1</v>
      </c>
      <c r="AF395" s="13" t="s">
        <v>1012</v>
      </c>
      <c r="AH395" s="42" t="s">
        <v>399</v>
      </c>
      <c r="AI395" s="13">
        <v>0</v>
      </c>
      <c r="AK395" s="42">
        <v>41299.304047848011</v>
      </c>
      <c r="AN395" s="42" t="s">
        <v>235</v>
      </c>
      <c r="AO395" s="42">
        <v>0</v>
      </c>
      <c r="AP395" s="42" t="s">
        <v>252</v>
      </c>
      <c r="AR395" s="42">
        <v>41299.304047848011</v>
      </c>
      <c r="AS395" s="42">
        <v>13780.506326400002</v>
      </c>
      <c r="AT395" s="42">
        <v>183153.4100263296</v>
      </c>
      <c r="AU395" s="13">
        <v>1</v>
      </c>
      <c r="AV395" s="13">
        <v>1</v>
      </c>
      <c r="AW395" s="13">
        <v>0</v>
      </c>
      <c r="AX395" s="13">
        <v>0</v>
      </c>
      <c r="AY395" s="13">
        <v>0</v>
      </c>
      <c r="AZ395" s="13">
        <v>0</v>
      </c>
      <c r="BA395" s="13">
        <v>0</v>
      </c>
      <c r="BB395" s="13">
        <v>0</v>
      </c>
      <c r="BC395" s="13">
        <v>0</v>
      </c>
      <c r="BD395" s="13">
        <v>0</v>
      </c>
      <c r="BE395" s="13">
        <v>0.5</v>
      </c>
      <c r="BF395" s="13">
        <v>0.5</v>
      </c>
      <c r="BG395" s="13">
        <v>0</v>
      </c>
      <c r="BH395" s="13">
        <v>0</v>
      </c>
      <c r="BI395" s="13">
        <v>0</v>
      </c>
      <c r="BJ395" s="13">
        <v>0</v>
      </c>
      <c r="BK395" s="13">
        <v>0</v>
      </c>
      <c r="BL395" s="13">
        <v>0</v>
      </c>
      <c r="BM395" s="13">
        <v>0</v>
      </c>
      <c r="BN395" s="13">
        <v>0</v>
      </c>
      <c r="BO395" s="13">
        <v>0</v>
      </c>
      <c r="BP395" s="13">
        <v>1</v>
      </c>
      <c r="BR395" s="42">
        <v>12</v>
      </c>
    </row>
    <row r="396" spans="2:70" s="42" customFormat="1" x14ac:dyDescent="0.15">
      <c r="B396" s="42" t="s">
        <v>2126</v>
      </c>
      <c r="C396" s="11" t="s">
        <v>2424</v>
      </c>
      <c r="E396" s="42" t="s">
        <v>2425</v>
      </c>
      <c r="G396" s="42">
        <v>0</v>
      </c>
      <c r="H396" s="42">
        <v>14</v>
      </c>
      <c r="I396" s="42" t="s">
        <v>809</v>
      </c>
      <c r="K396" s="42">
        <v>3</v>
      </c>
      <c r="L396" s="42">
        <v>1</v>
      </c>
      <c r="M396" s="42" t="s">
        <v>254</v>
      </c>
      <c r="N396" s="42" t="s">
        <v>396</v>
      </c>
      <c r="O396" s="42">
        <v>0</v>
      </c>
      <c r="P396" s="42" t="s">
        <v>2127</v>
      </c>
      <c r="Q396" s="42" t="s">
        <v>2426</v>
      </c>
      <c r="S396" s="42" t="s">
        <v>2427</v>
      </c>
      <c r="U396" s="42" t="s">
        <v>2428</v>
      </c>
      <c r="Y396" s="42" t="s">
        <v>250</v>
      </c>
      <c r="Z396" s="42" t="s">
        <v>2429</v>
      </c>
      <c r="AA396" s="13" t="s">
        <v>251</v>
      </c>
      <c r="AB396" s="13">
        <v>0.15</v>
      </c>
      <c r="AC396" s="13">
        <v>30</v>
      </c>
      <c r="AD396" s="42">
        <v>20</v>
      </c>
      <c r="AE396" s="42">
        <v>1</v>
      </c>
      <c r="AF396" s="13" t="s">
        <v>2430</v>
      </c>
      <c r="AH396" s="42" t="s">
        <v>399</v>
      </c>
      <c r="AI396" s="13">
        <v>1000</v>
      </c>
      <c r="AK396" s="42">
        <v>46824.607764000008</v>
      </c>
      <c r="AN396" s="42" t="s">
        <v>235</v>
      </c>
      <c r="AO396" s="42">
        <v>0</v>
      </c>
      <c r="AP396" s="42" t="s">
        <v>252</v>
      </c>
      <c r="AR396" s="42">
        <v>46824.607764000008</v>
      </c>
      <c r="AS396" s="42">
        <v>13780.506326400002</v>
      </c>
      <c r="AT396" s="42">
        <v>204184.4035968</v>
      </c>
      <c r="AU396" s="13">
        <v>1</v>
      </c>
      <c r="AV396" s="13">
        <v>1</v>
      </c>
      <c r="AW396" s="13">
        <v>0</v>
      </c>
      <c r="AX396" s="13">
        <v>0</v>
      </c>
      <c r="AY396" s="13">
        <v>0</v>
      </c>
      <c r="AZ396" s="13">
        <v>0</v>
      </c>
      <c r="BA396" s="13">
        <v>0</v>
      </c>
      <c r="BB396" s="13">
        <v>0</v>
      </c>
      <c r="BC396" s="13">
        <v>0</v>
      </c>
      <c r="BD396" s="13">
        <v>0</v>
      </c>
      <c r="BE396" s="13">
        <v>0.5</v>
      </c>
      <c r="BF396" s="13">
        <v>0.5</v>
      </c>
      <c r="BG396" s="13">
        <v>0</v>
      </c>
      <c r="BH396" s="13">
        <v>0</v>
      </c>
      <c r="BI396" s="13">
        <v>0</v>
      </c>
      <c r="BJ396" s="13">
        <v>0</v>
      </c>
      <c r="BK396" s="13">
        <v>0</v>
      </c>
      <c r="BL396" s="13">
        <v>0</v>
      </c>
      <c r="BM396" s="13">
        <v>0</v>
      </c>
      <c r="BN396" s="13">
        <v>0</v>
      </c>
      <c r="BO396" s="13">
        <v>0</v>
      </c>
      <c r="BP396" s="13">
        <v>1</v>
      </c>
      <c r="BR396" s="42">
        <v>15</v>
      </c>
    </row>
    <row r="397" spans="2:70" s="42" customFormat="1" x14ac:dyDescent="0.15">
      <c r="B397" s="42" t="s">
        <v>2883</v>
      </c>
      <c r="C397" s="13" t="s">
        <v>2245</v>
      </c>
      <c r="E397" s="42" t="s">
        <v>2246</v>
      </c>
      <c r="G397" s="42">
        <v>1</v>
      </c>
      <c r="H397" s="42">
        <v>14</v>
      </c>
      <c r="I397" s="42" t="s">
        <v>296</v>
      </c>
      <c r="K397" s="42">
        <v>3</v>
      </c>
      <c r="L397" s="42">
        <v>1</v>
      </c>
      <c r="M397" s="42" t="s">
        <v>254</v>
      </c>
      <c r="N397" s="42" t="s">
        <v>396</v>
      </c>
      <c r="O397" s="42">
        <v>0</v>
      </c>
      <c r="P397" s="42" t="s">
        <v>2884</v>
      </c>
      <c r="Q397" s="42" t="s">
        <v>2247</v>
      </c>
      <c r="S397" s="42" t="s">
        <v>2270</v>
      </c>
      <c r="U397" s="42" t="s">
        <v>2248</v>
      </c>
      <c r="Y397" s="42" t="s">
        <v>250</v>
      </c>
      <c r="Z397" s="162" t="s">
        <v>3183</v>
      </c>
      <c r="AA397" s="13" t="s">
        <v>251</v>
      </c>
      <c r="AB397" s="13">
        <v>0.15</v>
      </c>
      <c r="AC397" s="13">
        <v>0</v>
      </c>
      <c r="AD397" s="42">
        <v>20</v>
      </c>
      <c r="AE397" s="42">
        <v>1</v>
      </c>
      <c r="AF397" s="13" t="s">
        <v>2271</v>
      </c>
      <c r="AH397" s="42" t="s">
        <v>399</v>
      </c>
      <c r="AI397" s="13">
        <v>800</v>
      </c>
      <c r="AK397" s="42">
        <v>56189.529316800006</v>
      </c>
      <c r="AN397" s="42" t="s">
        <v>235</v>
      </c>
      <c r="AO397" s="42">
        <v>0</v>
      </c>
      <c r="AP397" s="42" t="s">
        <v>252</v>
      </c>
      <c r="AR397" s="42">
        <v>56189.529316800006</v>
      </c>
      <c r="AS397" s="42">
        <v>11300.015187647999</v>
      </c>
      <c r="AT397" s="42">
        <v>144970.92655372797</v>
      </c>
      <c r="AU397" s="13">
        <v>1</v>
      </c>
      <c r="AV397" s="13">
        <v>1</v>
      </c>
      <c r="AW397" s="13">
        <v>0</v>
      </c>
      <c r="AX397" s="13">
        <v>0</v>
      </c>
      <c r="AY397" s="13">
        <v>0</v>
      </c>
      <c r="AZ397" s="13">
        <v>0</v>
      </c>
      <c r="BA397" s="13">
        <v>0</v>
      </c>
      <c r="BB397" s="13">
        <v>0</v>
      </c>
      <c r="BC397" s="13">
        <v>0</v>
      </c>
      <c r="BD397" s="13">
        <v>0</v>
      </c>
      <c r="BE397" s="13">
        <v>0.5</v>
      </c>
      <c r="BF397" s="13">
        <v>0.5</v>
      </c>
      <c r="BG397" s="13">
        <v>0</v>
      </c>
      <c r="BH397" s="13">
        <v>0</v>
      </c>
      <c r="BI397" s="13">
        <v>0</v>
      </c>
      <c r="BJ397" s="13">
        <v>0</v>
      </c>
      <c r="BK397" s="13">
        <v>0</v>
      </c>
      <c r="BL397" s="13">
        <v>0</v>
      </c>
      <c r="BM397" s="13">
        <v>0</v>
      </c>
      <c r="BN397" s="13">
        <v>0</v>
      </c>
      <c r="BO397" s="13">
        <v>0</v>
      </c>
      <c r="BP397" s="13">
        <v>1</v>
      </c>
      <c r="BR397" s="42">
        <v>15</v>
      </c>
    </row>
    <row r="398" spans="2:70" s="42" customFormat="1" x14ac:dyDescent="0.15">
      <c r="B398" s="42" t="s">
        <v>2885</v>
      </c>
      <c r="C398" s="11" t="s">
        <v>2250</v>
      </c>
      <c r="E398" s="42" t="s">
        <v>2251</v>
      </c>
      <c r="G398" s="42">
        <v>1</v>
      </c>
      <c r="H398" s="42">
        <v>13</v>
      </c>
      <c r="I398" s="42" t="s">
        <v>296</v>
      </c>
      <c r="K398" s="42">
        <v>3</v>
      </c>
      <c r="L398" s="42">
        <v>1</v>
      </c>
      <c r="M398" s="42" t="s">
        <v>254</v>
      </c>
      <c r="N398" s="42" t="s">
        <v>396</v>
      </c>
      <c r="O398" s="42">
        <v>0</v>
      </c>
      <c r="P398" s="42" t="s">
        <v>2886</v>
      </c>
      <c r="Q398" s="42" t="s">
        <v>2252</v>
      </c>
      <c r="S398" s="42" t="s">
        <v>2301</v>
      </c>
      <c r="U398" s="42" t="s">
        <v>2253</v>
      </c>
      <c r="Y398" s="42" t="s">
        <v>250</v>
      </c>
      <c r="Z398" s="42" t="s">
        <v>2254</v>
      </c>
      <c r="AA398" s="13" t="s">
        <v>251</v>
      </c>
      <c r="AB398" s="13">
        <v>0.15</v>
      </c>
      <c r="AC398" s="13">
        <v>0</v>
      </c>
      <c r="AD398" s="42">
        <v>20</v>
      </c>
      <c r="AE398" s="42">
        <v>1</v>
      </c>
      <c r="AF398" s="13" t="s">
        <v>2302</v>
      </c>
      <c r="AH398" s="42" t="s">
        <v>399</v>
      </c>
      <c r="AI398" s="13">
        <v>0</v>
      </c>
      <c r="AK398" s="42">
        <v>37646.984642256</v>
      </c>
      <c r="AN398" s="42" t="s">
        <v>235</v>
      </c>
      <c r="AO398" s="42">
        <v>0</v>
      </c>
      <c r="AP398" s="42" t="s">
        <v>252</v>
      </c>
      <c r="AR398" s="42">
        <v>37646.984642256</v>
      </c>
      <c r="AS398" s="42">
        <v>11300.015187647999</v>
      </c>
      <c r="AT398" s="42">
        <v>108365.76759891167</v>
      </c>
      <c r="AU398" s="13">
        <v>1</v>
      </c>
      <c r="AV398" s="13">
        <v>1</v>
      </c>
      <c r="AW398" s="13">
        <v>0</v>
      </c>
      <c r="AX398" s="13">
        <v>0</v>
      </c>
      <c r="AY398" s="13">
        <v>0</v>
      </c>
      <c r="AZ398" s="13">
        <v>0</v>
      </c>
      <c r="BA398" s="13">
        <v>0</v>
      </c>
      <c r="BB398" s="13">
        <v>0</v>
      </c>
      <c r="BC398" s="13">
        <v>0</v>
      </c>
      <c r="BD398" s="13">
        <v>0</v>
      </c>
      <c r="BE398" s="13">
        <v>0.5</v>
      </c>
      <c r="BF398" s="13">
        <v>0.5</v>
      </c>
      <c r="BG398" s="13">
        <v>0</v>
      </c>
      <c r="BH398" s="13">
        <v>0</v>
      </c>
      <c r="BI398" s="13">
        <v>0</v>
      </c>
      <c r="BJ398" s="13">
        <v>0</v>
      </c>
      <c r="BK398" s="13">
        <v>0</v>
      </c>
      <c r="BL398" s="13">
        <v>0</v>
      </c>
      <c r="BM398" s="13">
        <v>0</v>
      </c>
      <c r="BN398" s="13">
        <v>0</v>
      </c>
      <c r="BO398" s="13">
        <v>0</v>
      </c>
      <c r="BP398" s="13">
        <v>1</v>
      </c>
      <c r="BR398" s="42">
        <v>8</v>
      </c>
    </row>
    <row r="399" spans="2:70" s="42" customFormat="1" x14ac:dyDescent="0.15">
      <c r="B399" s="42" t="s">
        <v>2128</v>
      </c>
      <c r="C399" s="11" t="s">
        <v>2327</v>
      </c>
      <c r="E399" s="42" t="s">
        <v>2328</v>
      </c>
      <c r="G399" s="42">
        <v>0</v>
      </c>
      <c r="H399" s="42">
        <v>14</v>
      </c>
      <c r="I399" s="42" t="s">
        <v>421</v>
      </c>
      <c r="K399" s="42">
        <v>3</v>
      </c>
      <c r="L399" s="42">
        <v>1</v>
      </c>
      <c r="M399" s="42" t="s">
        <v>254</v>
      </c>
      <c r="N399" s="42" t="s">
        <v>396</v>
      </c>
      <c r="O399" s="42">
        <v>0</v>
      </c>
      <c r="P399" s="42" t="s">
        <v>2129</v>
      </c>
      <c r="Q399" s="42" t="s">
        <v>2330</v>
      </c>
      <c r="S399" s="42" t="s">
        <v>2331</v>
      </c>
      <c r="U399" s="42" t="s">
        <v>2332</v>
      </c>
      <c r="Y399" s="42" t="s">
        <v>250</v>
      </c>
      <c r="Z399" s="42" t="s">
        <v>2333</v>
      </c>
      <c r="AA399" s="13" t="s">
        <v>251</v>
      </c>
      <c r="AB399" s="13">
        <v>0.15</v>
      </c>
      <c r="AC399" s="13">
        <v>0</v>
      </c>
      <c r="AD399" s="42">
        <v>20</v>
      </c>
      <c r="AE399" s="42">
        <v>1</v>
      </c>
      <c r="AF399" s="13" t="s">
        <v>2334</v>
      </c>
      <c r="AH399" s="42" t="s">
        <v>399</v>
      </c>
      <c r="AI399" s="13">
        <v>0</v>
      </c>
      <c r="AK399" s="42">
        <v>47152.380018348005</v>
      </c>
      <c r="AN399" s="42" t="s">
        <v>235</v>
      </c>
      <c r="AO399" s="42">
        <v>0</v>
      </c>
      <c r="AP399" s="42" t="s">
        <v>252</v>
      </c>
      <c r="AR399" s="42">
        <v>47152.380018348005</v>
      </c>
      <c r="AS399" s="42">
        <v>13780.506326400002</v>
      </c>
      <c r="AT399" s="42">
        <v>230095.40441323389</v>
      </c>
      <c r="AU399" s="13">
        <v>1</v>
      </c>
      <c r="AV399" s="13">
        <v>1</v>
      </c>
      <c r="AW399" s="13">
        <v>0</v>
      </c>
      <c r="AX399" s="13">
        <v>0</v>
      </c>
      <c r="AY399" s="13">
        <v>0</v>
      </c>
      <c r="AZ399" s="13">
        <v>0</v>
      </c>
      <c r="BA399" s="13">
        <v>0</v>
      </c>
      <c r="BB399" s="13">
        <v>0</v>
      </c>
      <c r="BC399" s="13">
        <v>0</v>
      </c>
      <c r="BD399" s="13">
        <v>0</v>
      </c>
      <c r="BE399" s="13">
        <v>0.5</v>
      </c>
      <c r="BF399" s="13">
        <v>0.5</v>
      </c>
      <c r="BG399" s="13">
        <v>0</v>
      </c>
      <c r="BH399" s="13">
        <v>0</v>
      </c>
      <c r="BI399" s="13">
        <v>0</v>
      </c>
      <c r="BJ399" s="13">
        <v>0</v>
      </c>
      <c r="BK399" s="13">
        <v>0</v>
      </c>
      <c r="BL399" s="13">
        <v>0</v>
      </c>
      <c r="BM399" s="13">
        <v>0</v>
      </c>
      <c r="BN399" s="13">
        <v>0</v>
      </c>
      <c r="BO399" s="13">
        <v>0</v>
      </c>
      <c r="BP399" s="13">
        <v>1</v>
      </c>
      <c r="BR399" s="42">
        <v>14</v>
      </c>
    </row>
    <row r="400" spans="2:70" s="42" customFormat="1" x14ac:dyDescent="0.15">
      <c r="B400" s="42" t="s">
        <v>2130</v>
      </c>
      <c r="C400" s="13" t="s">
        <v>2327</v>
      </c>
      <c r="E400" s="42" t="s">
        <v>2328</v>
      </c>
      <c r="G400" s="42">
        <v>0</v>
      </c>
      <c r="H400" s="42">
        <v>14</v>
      </c>
      <c r="I400" s="42" t="s">
        <v>421</v>
      </c>
      <c r="K400" s="42">
        <v>3</v>
      </c>
      <c r="L400" s="42">
        <v>1</v>
      </c>
      <c r="M400" s="42" t="s">
        <v>254</v>
      </c>
      <c r="N400" s="42" t="s">
        <v>396</v>
      </c>
      <c r="O400" s="42">
        <v>0</v>
      </c>
      <c r="P400" s="42" t="s">
        <v>2131</v>
      </c>
      <c r="Q400" s="42" t="s">
        <v>2330</v>
      </c>
      <c r="S400" s="42" t="s">
        <v>2331</v>
      </c>
      <c r="U400" s="42" t="s">
        <v>2332</v>
      </c>
      <c r="Y400" s="42" t="s">
        <v>250</v>
      </c>
      <c r="Z400" s="42" t="s">
        <v>2333</v>
      </c>
      <c r="AA400" s="13" t="s">
        <v>251</v>
      </c>
      <c r="AB400" s="13">
        <v>0.15</v>
      </c>
      <c r="AC400" s="13">
        <v>30</v>
      </c>
      <c r="AD400" s="42">
        <v>20</v>
      </c>
      <c r="AE400" s="42">
        <v>1</v>
      </c>
      <c r="AF400" s="13" t="s">
        <v>2334</v>
      </c>
      <c r="AH400" s="42" t="s">
        <v>399</v>
      </c>
      <c r="AI400" s="13">
        <v>0</v>
      </c>
      <c r="AK400" s="42">
        <v>47152.380018348005</v>
      </c>
      <c r="AN400" s="42" t="s">
        <v>235</v>
      </c>
      <c r="AO400" s="42">
        <v>0</v>
      </c>
      <c r="AP400" s="42" t="s">
        <v>252</v>
      </c>
      <c r="AR400" s="42">
        <v>47152.380018348005</v>
      </c>
      <c r="AS400" s="42">
        <v>13780.506326400002</v>
      </c>
      <c r="AT400" s="42">
        <v>230095.40441323389</v>
      </c>
      <c r="AU400" s="13">
        <v>1</v>
      </c>
      <c r="AV400" s="13">
        <v>1</v>
      </c>
      <c r="AW400" s="13">
        <v>0</v>
      </c>
      <c r="AX400" s="13">
        <v>0</v>
      </c>
      <c r="AY400" s="13">
        <v>0</v>
      </c>
      <c r="AZ400" s="13">
        <v>0</v>
      </c>
      <c r="BA400" s="13">
        <v>0</v>
      </c>
      <c r="BB400" s="13">
        <v>0</v>
      </c>
      <c r="BC400" s="13">
        <v>0</v>
      </c>
      <c r="BD400" s="13">
        <v>0</v>
      </c>
      <c r="BE400" s="13">
        <v>0.5</v>
      </c>
      <c r="BF400" s="13">
        <v>0.5</v>
      </c>
      <c r="BG400" s="13">
        <v>0</v>
      </c>
      <c r="BH400" s="13">
        <v>0</v>
      </c>
      <c r="BI400" s="13">
        <v>0</v>
      </c>
      <c r="BJ400" s="13">
        <v>0</v>
      </c>
      <c r="BK400" s="13">
        <v>0</v>
      </c>
      <c r="BL400" s="13">
        <v>0</v>
      </c>
      <c r="BM400" s="13">
        <v>0</v>
      </c>
      <c r="BN400" s="13">
        <v>0</v>
      </c>
      <c r="BO400" s="13">
        <v>0</v>
      </c>
      <c r="BP400" s="13">
        <v>1</v>
      </c>
      <c r="BR400" s="42">
        <v>14</v>
      </c>
    </row>
    <row r="401" spans="2:70" s="42" customFormat="1" x14ac:dyDescent="0.15">
      <c r="B401" s="42" t="s">
        <v>2887</v>
      </c>
      <c r="C401" s="13" t="s">
        <v>2801</v>
      </c>
      <c r="E401" s="42" t="s">
        <v>2802</v>
      </c>
      <c r="G401" s="42">
        <v>0</v>
      </c>
      <c r="H401" s="42">
        <v>14</v>
      </c>
      <c r="I401" s="42" t="s">
        <v>809</v>
      </c>
      <c r="K401" s="42">
        <v>3</v>
      </c>
      <c r="L401" s="42">
        <v>1</v>
      </c>
      <c r="M401" s="42" t="s">
        <v>254</v>
      </c>
      <c r="N401" s="42" t="s">
        <v>396</v>
      </c>
      <c r="O401" s="42">
        <v>0</v>
      </c>
      <c r="P401" s="42" t="s">
        <v>2888</v>
      </c>
      <c r="Q401" s="42" t="s">
        <v>2803</v>
      </c>
      <c r="S401" s="42" t="s">
        <v>2804</v>
      </c>
      <c r="U401" s="42" t="s">
        <v>2805</v>
      </c>
      <c r="Y401" s="42" t="s">
        <v>250</v>
      </c>
      <c r="Z401" s="42" t="s">
        <v>2806</v>
      </c>
      <c r="AA401" s="13" t="s">
        <v>251</v>
      </c>
      <c r="AB401" s="13">
        <v>0.15</v>
      </c>
      <c r="AC401" s="13">
        <v>0</v>
      </c>
      <c r="AD401" s="42">
        <v>20</v>
      </c>
      <c r="AE401" s="42">
        <v>1</v>
      </c>
      <c r="AF401" s="13" t="s">
        <v>2807</v>
      </c>
      <c r="AH401" s="42" t="s">
        <v>399</v>
      </c>
      <c r="AI401" s="13">
        <v>1000</v>
      </c>
      <c r="AK401" s="42">
        <v>51975.314618040014</v>
      </c>
      <c r="AN401" s="42" t="s">
        <v>235</v>
      </c>
      <c r="AO401" s="42">
        <v>0</v>
      </c>
      <c r="AP401" s="42" t="s">
        <v>252</v>
      </c>
      <c r="AR401" s="42">
        <v>51975.314618040014</v>
      </c>
      <c r="AS401" s="42">
        <v>13780.506326400002</v>
      </c>
      <c r="AT401" s="42">
        <v>223071.46092950398</v>
      </c>
      <c r="AU401" s="13">
        <v>1</v>
      </c>
      <c r="AV401" s="13">
        <v>1</v>
      </c>
      <c r="AW401" s="13">
        <v>0</v>
      </c>
      <c r="AX401" s="13">
        <v>0</v>
      </c>
      <c r="AY401" s="13">
        <v>0</v>
      </c>
      <c r="AZ401" s="13">
        <v>0</v>
      </c>
      <c r="BA401" s="13">
        <v>0</v>
      </c>
      <c r="BB401" s="13">
        <v>0</v>
      </c>
      <c r="BC401" s="13">
        <v>0</v>
      </c>
      <c r="BD401" s="13">
        <v>0</v>
      </c>
      <c r="BE401" s="13">
        <v>0.5</v>
      </c>
      <c r="BF401" s="13">
        <v>0.5</v>
      </c>
      <c r="BG401" s="13">
        <v>0</v>
      </c>
      <c r="BH401" s="13">
        <v>0</v>
      </c>
      <c r="BI401" s="13">
        <v>0</v>
      </c>
      <c r="BJ401" s="13">
        <v>0</v>
      </c>
      <c r="BK401" s="13">
        <v>0</v>
      </c>
      <c r="BL401" s="13">
        <v>0</v>
      </c>
      <c r="BM401" s="13">
        <v>0</v>
      </c>
      <c r="BN401" s="13">
        <v>0</v>
      </c>
      <c r="BO401" s="13">
        <v>0</v>
      </c>
      <c r="BP401" s="13">
        <v>1</v>
      </c>
      <c r="BR401" s="42">
        <v>17</v>
      </c>
    </row>
    <row r="402" spans="2:70" s="42" customFormat="1" x14ac:dyDescent="0.15">
      <c r="B402" s="42" t="s">
        <v>2889</v>
      </c>
      <c r="C402" s="42" t="s">
        <v>2245</v>
      </c>
      <c r="E402" s="42" t="s">
        <v>2246</v>
      </c>
      <c r="G402" s="42">
        <v>1</v>
      </c>
      <c r="H402" s="42">
        <v>14</v>
      </c>
      <c r="I402" s="42" t="s">
        <v>296</v>
      </c>
      <c r="K402" s="42">
        <v>3</v>
      </c>
      <c r="L402" s="42">
        <v>1</v>
      </c>
      <c r="M402" s="42" t="s">
        <v>254</v>
      </c>
      <c r="N402" s="42" t="s">
        <v>396</v>
      </c>
      <c r="O402" s="42">
        <v>0</v>
      </c>
      <c r="P402" s="42" t="s">
        <v>2890</v>
      </c>
      <c r="Q402" s="42" t="s">
        <v>2247</v>
      </c>
      <c r="S402" s="42" t="s">
        <v>2270</v>
      </c>
      <c r="U402" s="42" t="s">
        <v>2248</v>
      </c>
      <c r="Y402" s="42" t="s">
        <v>250</v>
      </c>
      <c r="Z402" s="162" t="s">
        <v>3183</v>
      </c>
      <c r="AA402" s="13" t="s">
        <v>251</v>
      </c>
      <c r="AB402" s="13">
        <v>0.15</v>
      </c>
      <c r="AC402" s="13">
        <v>0</v>
      </c>
      <c r="AD402" s="42">
        <v>20</v>
      </c>
      <c r="AE402" s="42">
        <v>1</v>
      </c>
      <c r="AF402" s="13" t="s">
        <v>2271</v>
      </c>
      <c r="AH402" s="42" t="s">
        <v>399</v>
      </c>
      <c r="AI402" s="13">
        <v>680</v>
      </c>
      <c r="AK402" s="42">
        <v>56189.529316800006</v>
      </c>
      <c r="AN402" s="42" t="s">
        <v>235</v>
      </c>
      <c r="AO402" s="42">
        <v>0</v>
      </c>
      <c r="AP402" s="42" t="s">
        <v>252</v>
      </c>
      <c r="AR402" s="42">
        <v>56189.529316800006</v>
      </c>
      <c r="AS402" s="42">
        <v>11300.015187647999</v>
      </c>
      <c r="AT402" s="42">
        <v>144970.92655372797</v>
      </c>
      <c r="AU402" s="13">
        <v>1</v>
      </c>
      <c r="AV402" s="13">
        <v>1</v>
      </c>
      <c r="AW402" s="13">
        <v>0</v>
      </c>
      <c r="AX402" s="13">
        <v>0</v>
      </c>
      <c r="AY402" s="13">
        <v>0</v>
      </c>
      <c r="AZ402" s="13">
        <v>0</v>
      </c>
      <c r="BA402" s="13">
        <v>0</v>
      </c>
      <c r="BB402" s="13">
        <v>0</v>
      </c>
      <c r="BC402" s="13">
        <v>0</v>
      </c>
      <c r="BD402" s="13">
        <v>0</v>
      </c>
      <c r="BE402" s="13">
        <v>0.5</v>
      </c>
      <c r="BF402" s="13">
        <v>0.5</v>
      </c>
      <c r="BG402" s="13">
        <v>0</v>
      </c>
      <c r="BH402" s="13">
        <v>0</v>
      </c>
      <c r="BI402" s="13">
        <v>0</v>
      </c>
      <c r="BJ402" s="13">
        <v>0</v>
      </c>
      <c r="BK402" s="13">
        <v>0</v>
      </c>
      <c r="BL402" s="13">
        <v>0</v>
      </c>
      <c r="BM402" s="13">
        <v>0</v>
      </c>
      <c r="BN402" s="13">
        <v>0</v>
      </c>
      <c r="BO402" s="13">
        <v>0</v>
      </c>
      <c r="BP402" s="13">
        <v>1</v>
      </c>
      <c r="BR402" s="42">
        <v>15</v>
      </c>
    </row>
    <row r="403" spans="2:70" s="42" customFormat="1" x14ac:dyDescent="0.15">
      <c r="B403" s="42" t="s">
        <v>2891</v>
      </c>
      <c r="C403" s="13" t="s">
        <v>2250</v>
      </c>
      <c r="E403" s="42" t="s">
        <v>2251</v>
      </c>
      <c r="G403" s="42">
        <v>1</v>
      </c>
      <c r="H403" s="42">
        <v>13</v>
      </c>
      <c r="I403" s="42" t="s">
        <v>296</v>
      </c>
      <c r="K403" s="42">
        <v>3</v>
      </c>
      <c r="L403" s="42">
        <v>1</v>
      </c>
      <c r="M403" s="42" t="s">
        <v>254</v>
      </c>
      <c r="N403" s="42" t="s">
        <v>396</v>
      </c>
      <c r="O403" s="42">
        <v>0</v>
      </c>
      <c r="P403" s="42" t="s">
        <v>2892</v>
      </c>
      <c r="Q403" s="42" t="s">
        <v>2252</v>
      </c>
      <c r="S403" s="42" t="s">
        <v>2301</v>
      </c>
      <c r="U403" s="42" t="s">
        <v>2253</v>
      </c>
      <c r="Y403" s="42" t="s">
        <v>250</v>
      </c>
      <c r="Z403" s="42" t="s">
        <v>2254</v>
      </c>
      <c r="AA403" s="13" t="s">
        <v>251</v>
      </c>
      <c r="AB403" s="13">
        <v>0.15</v>
      </c>
      <c r="AC403" s="13">
        <v>0</v>
      </c>
      <c r="AD403" s="42">
        <v>20</v>
      </c>
      <c r="AE403" s="42">
        <v>1</v>
      </c>
      <c r="AF403" s="13" t="s">
        <v>2302</v>
      </c>
      <c r="AH403" s="42" t="s">
        <v>399</v>
      </c>
      <c r="AI403" s="13">
        <v>300</v>
      </c>
      <c r="AK403" s="42">
        <v>37646.984642256</v>
      </c>
      <c r="AN403" s="42" t="s">
        <v>235</v>
      </c>
      <c r="AO403" s="42">
        <v>0</v>
      </c>
      <c r="AP403" s="42" t="s">
        <v>252</v>
      </c>
      <c r="AR403" s="42">
        <v>37646.984642256</v>
      </c>
      <c r="AS403" s="42">
        <v>11300.015187647999</v>
      </c>
      <c r="AT403" s="42">
        <v>108365.76759891167</v>
      </c>
      <c r="AU403" s="13">
        <v>1</v>
      </c>
      <c r="AV403" s="13">
        <v>1</v>
      </c>
      <c r="AW403" s="13">
        <v>0</v>
      </c>
      <c r="AX403" s="13">
        <v>0</v>
      </c>
      <c r="AY403" s="13">
        <v>0</v>
      </c>
      <c r="AZ403" s="13">
        <v>0</v>
      </c>
      <c r="BA403" s="13">
        <v>0</v>
      </c>
      <c r="BB403" s="13">
        <v>0</v>
      </c>
      <c r="BC403" s="13">
        <v>0</v>
      </c>
      <c r="BD403" s="13">
        <v>0</v>
      </c>
      <c r="BE403" s="13">
        <v>0.5</v>
      </c>
      <c r="BF403" s="13">
        <v>0.5</v>
      </c>
      <c r="BG403" s="13">
        <v>0</v>
      </c>
      <c r="BH403" s="13">
        <v>0</v>
      </c>
      <c r="BI403" s="13">
        <v>0</v>
      </c>
      <c r="BJ403" s="13">
        <v>0</v>
      </c>
      <c r="BK403" s="13">
        <v>0</v>
      </c>
      <c r="BL403" s="13">
        <v>0</v>
      </c>
      <c r="BM403" s="13">
        <v>0</v>
      </c>
      <c r="BN403" s="13">
        <v>0</v>
      </c>
      <c r="BO403" s="13">
        <v>0</v>
      </c>
      <c r="BP403" s="13">
        <v>1</v>
      </c>
      <c r="BR403" s="42">
        <v>8</v>
      </c>
    </row>
    <row r="404" spans="2:70" s="42" customFormat="1" x14ac:dyDescent="0.15">
      <c r="B404" s="42" t="s">
        <v>2893</v>
      </c>
      <c r="C404" s="42" t="s">
        <v>2327</v>
      </c>
      <c r="E404" s="42" t="s">
        <v>2328</v>
      </c>
      <c r="G404" s="42">
        <v>0</v>
      </c>
      <c r="H404" s="42">
        <v>14</v>
      </c>
      <c r="I404" s="42" t="s">
        <v>421</v>
      </c>
      <c r="K404" s="42">
        <v>3</v>
      </c>
      <c r="L404" s="42">
        <v>1</v>
      </c>
      <c r="M404" s="42" t="s">
        <v>254</v>
      </c>
      <c r="N404" s="42" t="s">
        <v>396</v>
      </c>
      <c r="O404" s="42">
        <v>0</v>
      </c>
      <c r="P404" s="42" t="s">
        <v>2894</v>
      </c>
      <c r="Q404" s="42" t="s">
        <v>2330</v>
      </c>
      <c r="S404" s="42" t="s">
        <v>2331</v>
      </c>
      <c r="U404" s="42" t="s">
        <v>2332</v>
      </c>
      <c r="Y404" s="42" t="s">
        <v>250</v>
      </c>
      <c r="Z404" s="42" t="s">
        <v>2333</v>
      </c>
      <c r="AA404" s="13" t="s">
        <v>251</v>
      </c>
      <c r="AB404" s="13">
        <v>0.15</v>
      </c>
      <c r="AC404" s="13">
        <v>30</v>
      </c>
      <c r="AD404" s="42">
        <v>20</v>
      </c>
      <c r="AE404" s="42">
        <v>1</v>
      </c>
      <c r="AF404" s="13" t="s">
        <v>2334</v>
      </c>
      <c r="AH404" s="42" t="s">
        <v>399</v>
      </c>
      <c r="AI404" s="13">
        <v>0</v>
      </c>
      <c r="AK404" s="42">
        <v>47152.380018348005</v>
      </c>
      <c r="AN404" s="42" t="s">
        <v>235</v>
      </c>
      <c r="AO404" s="42">
        <v>0</v>
      </c>
      <c r="AP404" s="42" t="s">
        <v>252</v>
      </c>
      <c r="AR404" s="42">
        <v>47152.380018348005</v>
      </c>
      <c r="AS404" s="42">
        <v>13780.506326400002</v>
      </c>
      <c r="AT404" s="42">
        <v>230095.40441323389</v>
      </c>
      <c r="AU404" s="13">
        <v>1</v>
      </c>
      <c r="AV404" s="13">
        <v>1</v>
      </c>
      <c r="AW404" s="13">
        <v>0</v>
      </c>
      <c r="AX404" s="13">
        <v>0</v>
      </c>
      <c r="AY404" s="13">
        <v>0</v>
      </c>
      <c r="AZ404" s="13">
        <v>0</v>
      </c>
      <c r="BA404" s="13">
        <v>0</v>
      </c>
      <c r="BB404" s="13">
        <v>0</v>
      </c>
      <c r="BC404" s="13">
        <v>0</v>
      </c>
      <c r="BD404" s="13">
        <v>0</v>
      </c>
      <c r="BE404" s="13">
        <v>0.5</v>
      </c>
      <c r="BF404" s="13">
        <v>0.5</v>
      </c>
      <c r="BG404" s="13">
        <v>0</v>
      </c>
      <c r="BH404" s="13">
        <v>0</v>
      </c>
      <c r="BI404" s="13">
        <v>0</v>
      </c>
      <c r="BJ404" s="13">
        <v>0</v>
      </c>
      <c r="BK404" s="13">
        <v>0</v>
      </c>
      <c r="BL404" s="13">
        <v>0</v>
      </c>
      <c r="BM404" s="13">
        <v>0</v>
      </c>
      <c r="BN404" s="13">
        <v>0</v>
      </c>
      <c r="BO404" s="13">
        <v>0</v>
      </c>
      <c r="BP404" s="13">
        <v>1</v>
      </c>
      <c r="BR404" s="42">
        <v>14</v>
      </c>
    </row>
    <row r="405" spans="2:70" s="42" customFormat="1" x14ac:dyDescent="0.15">
      <c r="B405" s="42" t="s">
        <v>2895</v>
      </c>
      <c r="C405" s="42" t="s">
        <v>2403</v>
      </c>
      <c r="E405" s="42" t="s">
        <v>2404</v>
      </c>
      <c r="G405" s="42">
        <v>0</v>
      </c>
      <c r="H405" s="42">
        <v>14</v>
      </c>
      <c r="I405" s="42" t="s">
        <v>296</v>
      </c>
      <c r="K405" s="42">
        <v>3</v>
      </c>
      <c r="L405" s="42">
        <v>1</v>
      </c>
      <c r="M405" s="42" t="s">
        <v>254</v>
      </c>
      <c r="N405" s="42" t="s">
        <v>396</v>
      </c>
      <c r="O405" s="42">
        <v>0</v>
      </c>
      <c r="P405" s="42" t="s">
        <v>2896</v>
      </c>
      <c r="Q405" s="42" t="s">
        <v>2406</v>
      </c>
      <c r="S405" s="42" t="s">
        <v>2407</v>
      </c>
      <c r="U405" s="42" t="s">
        <v>2408</v>
      </c>
      <c r="Y405" s="42" t="s">
        <v>250</v>
      </c>
      <c r="Z405" s="42" t="s">
        <v>2409</v>
      </c>
      <c r="AA405" s="13" t="s">
        <v>251</v>
      </c>
      <c r="AB405" s="13">
        <v>0.15</v>
      </c>
      <c r="AC405" s="13">
        <v>0</v>
      </c>
      <c r="AD405" s="42">
        <v>20</v>
      </c>
      <c r="AE405" s="42">
        <v>1</v>
      </c>
      <c r="AF405" s="13" t="s">
        <v>2410</v>
      </c>
      <c r="AH405" s="42" t="s">
        <v>399</v>
      </c>
      <c r="AI405" s="13">
        <v>0</v>
      </c>
      <c r="AK405" s="42">
        <v>53380.052850960004</v>
      </c>
      <c r="AN405" s="42" t="s">
        <v>235</v>
      </c>
      <c r="AO405" s="42">
        <v>0</v>
      </c>
      <c r="AP405" s="42" t="s">
        <v>252</v>
      </c>
      <c r="AR405" s="42">
        <v>53380.052850960004</v>
      </c>
      <c r="AS405" s="42">
        <v>11300.015187647999</v>
      </c>
      <c r="AT405" s="42">
        <v>138447.2348588102</v>
      </c>
      <c r="AU405" s="13">
        <v>1</v>
      </c>
      <c r="AV405" s="13">
        <v>1</v>
      </c>
      <c r="AW405" s="13">
        <v>0</v>
      </c>
      <c r="AX405" s="13">
        <v>0</v>
      </c>
      <c r="AY405" s="13">
        <v>0</v>
      </c>
      <c r="AZ405" s="13">
        <v>0</v>
      </c>
      <c r="BA405" s="13">
        <v>0</v>
      </c>
      <c r="BB405" s="13">
        <v>0</v>
      </c>
      <c r="BC405" s="13">
        <v>0</v>
      </c>
      <c r="BD405" s="13">
        <v>0</v>
      </c>
      <c r="BE405" s="13">
        <v>0.5</v>
      </c>
      <c r="BF405" s="13">
        <v>0.5</v>
      </c>
      <c r="BG405" s="13">
        <v>0</v>
      </c>
      <c r="BH405" s="13">
        <v>0</v>
      </c>
      <c r="BI405" s="13">
        <v>0</v>
      </c>
      <c r="BJ405" s="13">
        <v>0</v>
      </c>
      <c r="BK405" s="13">
        <v>0</v>
      </c>
      <c r="BL405" s="13">
        <v>0</v>
      </c>
      <c r="BM405" s="13">
        <v>0</v>
      </c>
      <c r="BN405" s="13">
        <v>0</v>
      </c>
      <c r="BO405" s="13">
        <v>0</v>
      </c>
      <c r="BP405" s="13">
        <v>1</v>
      </c>
      <c r="BR405" s="42">
        <v>14</v>
      </c>
    </row>
    <row r="406" spans="2:70" s="42" customFormat="1" x14ac:dyDescent="0.15">
      <c r="B406" s="42" t="s">
        <v>2897</v>
      </c>
      <c r="C406" s="42" t="s">
        <v>930</v>
      </c>
      <c r="E406" s="42" t="s">
        <v>404</v>
      </c>
      <c r="G406" s="42">
        <v>0</v>
      </c>
      <c r="H406" s="42">
        <v>14</v>
      </c>
      <c r="I406" s="42" t="s">
        <v>296</v>
      </c>
      <c r="K406" s="42">
        <v>3</v>
      </c>
      <c r="L406" s="42">
        <v>1</v>
      </c>
      <c r="M406" s="42" t="s">
        <v>254</v>
      </c>
      <c r="N406" s="42" t="s">
        <v>396</v>
      </c>
      <c r="O406" s="42">
        <v>0</v>
      </c>
      <c r="P406" s="42" t="s">
        <v>2898</v>
      </c>
      <c r="Q406" s="42" t="s">
        <v>257</v>
      </c>
      <c r="S406" s="42" t="s">
        <v>403</v>
      </c>
      <c r="U406" s="42" t="s">
        <v>402</v>
      </c>
      <c r="Y406" s="42" t="s">
        <v>250</v>
      </c>
      <c r="Z406" s="42" t="s">
        <v>256</v>
      </c>
      <c r="AA406" s="13" t="s">
        <v>251</v>
      </c>
      <c r="AB406" s="13">
        <v>0.15</v>
      </c>
      <c r="AC406" s="13">
        <v>0</v>
      </c>
      <c r="AD406" s="42">
        <v>20</v>
      </c>
      <c r="AE406" s="42">
        <v>1</v>
      </c>
      <c r="AF406" s="13" t="s">
        <v>1019</v>
      </c>
      <c r="AH406" s="42" t="s">
        <v>399</v>
      </c>
      <c r="AI406" s="13">
        <v>800</v>
      </c>
      <c r="AK406" s="42">
        <v>62370.377541648013</v>
      </c>
      <c r="AN406" s="42" t="s">
        <v>235</v>
      </c>
      <c r="AO406" s="42">
        <v>0</v>
      </c>
      <c r="AP406" s="42" t="s">
        <v>252</v>
      </c>
      <c r="AR406" s="42">
        <v>62370.377541648013</v>
      </c>
      <c r="AS406" s="42">
        <v>11300.015187647999</v>
      </c>
      <c r="AT406" s="42">
        <v>158380.73725994784</v>
      </c>
      <c r="AU406" s="13">
        <v>1</v>
      </c>
      <c r="AV406" s="13">
        <v>1</v>
      </c>
      <c r="AW406" s="13">
        <v>0</v>
      </c>
      <c r="AX406" s="13">
        <v>0</v>
      </c>
      <c r="AY406" s="13">
        <v>0</v>
      </c>
      <c r="AZ406" s="13">
        <v>0</v>
      </c>
      <c r="BA406" s="13">
        <v>0</v>
      </c>
      <c r="BB406" s="13">
        <v>0</v>
      </c>
      <c r="BC406" s="13">
        <v>0</v>
      </c>
      <c r="BD406" s="13">
        <v>0</v>
      </c>
      <c r="BE406" s="13">
        <v>0.5</v>
      </c>
      <c r="BF406" s="13">
        <v>0.5</v>
      </c>
      <c r="BG406" s="13">
        <v>0</v>
      </c>
      <c r="BH406" s="13">
        <v>0</v>
      </c>
      <c r="BI406" s="13">
        <v>0</v>
      </c>
      <c r="BJ406" s="13">
        <v>0</v>
      </c>
      <c r="BK406" s="13">
        <v>0</v>
      </c>
      <c r="BL406" s="13">
        <v>0</v>
      </c>
      <c r="BM406" s="13">
        <v>0</v>
      </c>
      <c r="BN406" s="13">
        <v>0</v>
      </c>
      <c r="BO406" s="13">
        <v>0</v>
      </c>
      <c r="BP406" s="13">
        <v>1</v>
      </c>
      <c r="BR406" s="42">
        <v>17</v>
      </c>
    </row>
    <row r="407" spans="2:70" s="42" customFormat="1" x14ac:dyDescent="0.15">
      <c r="B407" s="42" t="s">
        <v>2899</v>
      </c>
      <c r="C407" s="42" t="s">
        <v>2250</v>
      </c>
      <c r="E407" s="42" t="s">
        <v>2251</v>
      </c>
      <c r="G407" s="42">
        <v>1</v>
      </c>
      <c r="H407" s="42">
        <v>13</v>
      </c>
      <c r="I407" s="42" t="s">
        <v>296</v>
      </c>
      <c r="K407" s="42">
        <v>3</v>
      </c>
      <c r="L407" s="42">
        <v>1</v>
      </c>
      <c r="M407" s="42" t="s">
        <v>254</v>
      </c>
      <c r="N407" s="42" t="s">
        <v>396</v>
      </c>
      <c r="O407" s="42">
        <v>0</v>
      </c>
      <c r="P407" s="42" t="s">
        <v>2900</v>
      </c>
      <c r="Q407" s="42" t="s">
        <v>2252</v>
      </c>
      <c r="S407" s="42" t="s">
        <v>2301</v>
      </c>
      <c r="U407" s="42" t="s">
        <v>2253</v>
      </c>
      <c r="Y407" s="42" t="s">
        <v>250</v>
      </c>
      <c r="Z407" s="42" t="s">
        <v>2254</v>
      </c>
      <c r="AA407" s="13" t="s">
        <v>251</v>
      </c>
      <c r="AB407" s="13">
        <v>0.15</v>
      </c>
      <c r="AC407" s="13">
        <v>0</v>
      </c>
      <c r="AD407" s="42">
        <v>20</v>
      </c>
      <c r="AE407" s="42">
        <v>1</v>
      </c>
      <c r="AF407" s="13" t="s">
        <v>2302</v>
      </c>
      <c r="AH407" s="42" t="s">
        <v>399</v>
      </c>
      <c r="AI407" s="13">
        <v>1000</v>
      </c>
      <c r="AK407" s="42">
        <v>37646.984642256</v>
      </c>
      <c r="AN407" s="42" t="s">
        <v>235</v>
      </c>
      <c r="AO407" s="42">
        <v>0</v>
      </c>
      <c r="AP407" s="42" t="s">
        <v>252</v>
      </c>
      <c r="AR407" s="42">
        <v>37646.984642256</v>
      </c>
      <c r="AS407" s="42">
        <v>11300.015187647999</v>
      </c>
      <c r="AT407" s="42">
        <v>108365.76759891167</v>
      </c>
      <c r="AU407" s="13">
        <v>1</v>
      </c>
      <c r="AV407" s="13">
        <v>1</v>
      </c>
      <c r="AW407" s="13">
        <v>0</v>
      </c>
      <c r="AX407" s="13">
        <v>0</v>
      </c>
      <c r="AY407" s="13">
        <v>0</v>
      </c>
      <c r="AZ407" s="13">
        <v>0</v>
      </c>
      <c r="BA407" s="13">
        <v>0</v>
      </c>
      <c r="BB407" s="13">
        <v>0</v>
      </c>
      <c r="BC407" s="13">
        <v>0</v>
      </c>
      <c r="BD407" s="13">
        <v>0</v>
      </c>
      <c r="BE407" s="13">
        <v>0.5</v>
      </c>
      <c r="BF407" s="13">
        <v>0.5</v>
      </c>
      <c r="BG407" s="13">
        <v>0</v>
      </c>
      <c r="BH407" s="13">
        <v>0</v>
      </c>
      <c r="BI407" s="13">
        <v>0</v>
      </c>
      <c r="BJ407" s="13">
        <v>0</v>
      </c>
      <c r="BK407" s="13">
        <v>0</v>
      </c>
      <c r="BL407" s="13">
        <v>0</v>
      </c>
      <c r="BM407" s="13">
        <v>0</v>
      </c>
      <c r="BN407" s="13">
        <v>0</v>
      </c>
      <c r="BO407" s="13">
        <v>0</v>
      </c>
      <c r="BP407" s="13">
        <v>1</v>
      </c>
      <c r="BR407" s="42">
        <v>8</v>
      </c>
    </row>
    <row r="408" spans="2:70" s="42" customFormat="1" x14ac:dyDescent="0.15">
      <c r="B408" s="42" t="s">
        <v>2901</v>
      </c>
      <c r="C408" s="42" t="s">
        <v>2245</v>
      </c>
      <c r="E408" s="42" t="s">
        <v>2246</v>
      </c>
      <c r="G408" s="42">
        <v>1</v>
      </c>
      <c r="H408" s="42">
        <v>14</v>
      </c>
      <c r="I408" s="42" t="s">
        <v>296</v>
      </c>
      <c r="K408" s="42">
        <v>3</v>
      </c>
      <c r="L408" s="42">
        <v>1</v>
      </c>
      <c r="M408" s="42" t="s">
        <v>254</v>
      </c>
      <c r="N408" s="42" t="s">
        <v>396</v>
      </c>
      <c r="O408" s="42">
        <v>0</v>
      </c>
      <c r="P408" s="42" t="s">
        <v>2902</v>
      </c>
      <c r="Q408" s="42" t="s">
        <v>2247</v>
      </c>
      <c r="S408" s="42" t="s">
        <v>2270</v>
      </c>
      <c r="U408" s="42" t="s">
        <v>2248</v>
      </c>
      <c r="Y408" s="42" t="s">
        <v>250</v>
      </c>
      <c r="Z408" s="162" t="s">
        <v>3183</v>
      </c>
      <c r="AA408" s="13" t="s">
        <v>251</v>
      </c>
      <c r="AB408" s="13">
        <v>0.15</v>
      </c>
      <c r="AC408" s="13">
        <v>0</v>
      </c>
      <c r="AD408" s="42">
        <v>20</v>
      </c>
      <c r="AE408" s="42">
        <v>1</v>
      </c>
      <c r="AF408" s="13" t="s">
        <v>2271</v>
      </c>
      <c r="AH408" s="42" t="s">
        <v>399</v>
      </c>
      <c r="AI408" s="13">
        <v>0</v>
      </c>
      <c r="AK408" s="42">
        <v>56189.529316800006</v>
      </c>
      <c r="AN408" s="42" t="s">
        <v>235</v>
      </c>
      <c r="AO408" s="42">
        <v>0</v>
      </c>
      <c r="AP408" s="42" t="s">
        <v>252</v>
      </c>
      <c r="AR408" s="42">
        <v>56189.529316800006</v>
      </c>
      <c r="AS408" s="42">
        <v>11300.015187647999</v>
      </c>
      <c r="AT408" s="42">
        <v>144970.92655372797</v>
      </c>
      <c r="AU408" s="13">
        <v>1</v>
      </c>
      <c r="AV408" s="13">
        <v>1</v>
      </c>
      <c r="AW408" s="13">
        <v>0</v>
      </c>
      <c r="AX408" s="13">
        <v>0</v>
      </c>
      <c r="AY408" s="13">
        <v>0</v>
      </c>
      <c r="AZ408" s="13">
        <v>0</v>
      </c>
      <c r="BA408" s="13">
        <v>0</v>
      </c>
      <c r="BB408" s="13">
        <v>0</v>
      </c>
      <c r="BC408" s="13">
        <v>0</v>
      </c>
      <c r="BD408" s="13">
        <v>0</v>
      </c>
      <c r="BE408" s="13">
        <v>0.5</v>
      </c>
      <c r="BF408" s="13">
        <v>0.5</v>
      </c>
      <c r="BG408" s="13">
        <v>0</v>
      </c>
      <c r="BH408" s="13">
        <v>0</v>
      </c>
      <c r="BI408" s="13">
        <v>0</v>
      </c>
      <c r="BJ408" s="13">
        <v>0</v>
      </c>
      <c r="BK408" s="13">
        <v>0</v>
      </c>
      <c r="BL408" s="13">
        <v>0</v>
      </c>
      <c r="BM408" s="13">
        <v>0</v>
      </c>
      <c r="BN408" s="13">
        <v>0</v>
      </c>
      <c r="BO408" s="13">
        <v>0</v>
      </c>
      <c r="BP408" s="13">
        <v>1</v>
      </c>
      <c r="BR408" s="42">
        <v>15</v>
      </c>
    </row>
    <row r="409" spans="2:70" s="42" customFormat="1" x14ac:dyDescent="0.15">
      <c r="AA409" s="13"/>
      <c r="AB409" s="13"/>
      <c r="AC409" s="13"/>
      <c r="AF409" s="13"/>
      <c r="AI409" s="13"/>
      <c r="AU409" s="13"/>
      <c r="AV409" s="13"/>
      <c r="AW409" s="13"/>
      <c r="AX409" s="13"/>
      <c r="AY409" s="13"/>
      <c r="AZ409" s="13"/>
      <c r="BA409" s="13"/>
      <c r="BB409" s="13"/>
      <c r="BC409" s="13"/>
      <c r="BD409" s="13"/>
      <c r="BE409" s="13"/>
      <c r="BF409" s="13"/>
      <c r="BG409" s="13"/>
      <c r="BH409" s="13"/>
      <c r="BI409" s="13"/>
      <c r="BJ409" s="13"/>
      <c r="BK409" s="13"/>
      <c r="BL409" s="13"/>
      <c r="BM409" s="13"/>
      <c r="BN409" s="13"/>
      <c r="BO409" s="13"/>
      <c r="BP409" s="13"/>
    </row>
    <row r="410" spans="2:70" s="42" customFormat="1" x14ac:dyDescent="0.15">
      <c r="C410" s="11"/>
      <c r="AA410" s="13"/>
      <c r="AB410" s="13"/>
      <c r="AC410" s="13"/>
      <c r="AF410" s="13"/>
      <c r="AI410" s="13"/>
      <c r="AU410" s="13"/>
      <c r="AV410" s="13"/>
      <c r="AW410" s="13"/>
      <c r="AX410" s="13"/>
      <c r="AY410" s="13"/>
      <c r="AZ410" s="13"/>
      <c r="BA410" s="13"/>
      <c r="BB410" s="13"/>
      <c r="BC410" s="13"/>
      <c r="BD410" s="13"/>
      <c r="BE410" s="13"/>
      <c r="BF410" s="13"/>
      <c r="BG410" s="13"/>
      <c r="BH410" s="13"/>
      <c r="BI410" s="13"/>
      <c r="BJ410" s="13"/>
      <c r="BK410" s="13"/>
      <c r="BL410" s="13"/>
      <c r="BM410" s="13"/>
      <c r="BN410" s="13"/>
      <c r="BO410" s="13"/>
      <c r="BP410" s="13"/>
    </row>
    <row r="411" spans="2:70" s="42" customFormat="1" x14ac:dyDescent="0.15">
      <c r="AA411" s="13"/>
      <c r="AB411" s="13"/>
      <c r="AF411" s="13"/>
      <c r="AI411" s="13"/>
      <c r="AU411" s="13"/>
      <c r="AV411" s="13"/>
      <c r="AW411" s="13"/>
      <c r="AX411" s="13"/>
      <c r="AY411" s="13"/>
      <c r="AZ411" s="13"/>
      <c r="BA411" s="13"/>
      <c r="BB411" s="13"/>
      <c r="BC411" s="13"/>
      <c r="BD411" s="13"/>
      <c r="BE411" s="13"/>
      <c r="BF411" s="13"/>
      <c r="BG411" s="13"/>
      <c r="BH411" s="13"/>
      <c r="BI411" s="13"/>
      <c r="BJ411" s="13"/>
      <c r="BK411" s="13"/>
      <c r="BL411" s="13"/>
      <c r="BM411" s="13"/>
      <c r="BN411" s="13"/>
      <c r="BO411" s="13"/>
      <c r="BP411" s="13"/>
    </row>
    <row r="412" spans="2:70" s="42" customFormat="1" x14ac:dyDescent="0.15">
      <c r="AA412" s="13"/>
      <c r="AB412" s="13"/>
      <c r="AF412" s="13"/>
      <c r="AI412" s="13"/>
      <c r="AU412" s="13"/>
      <c r="AV412" s="13"/>
      <c r="AW412" s="13"/>
      <c r="AX412" s="13"/>
      <c r="AY412" s="13"/>
      <c r="AZ412" s="13"/>
      <c r="BA412" s="13"/>
      <c r="BB412" s="13"/>
      <c r="BC412" s="13"/>
      <c r="BD412" s="13"/>
      <c r="BE412" s="13"/>
      <c r="BF412" s="13"/>
      <c r="BG412" s="13"/>
      <c r="BH412" s="13"/>
      <c r="BI412" s="13"/>
      <c r="BJ412" s="13"/>
      <c r="BK412" s="13"/>
      <c r="BL412" s="13"/>
      <c r="BM412" s="13"/>
      <c r="BN412" s="13"/>
      <c r="BO412" s="13"/>
      <c r="BP412" s="13"/>
      <c r="BQ412" s="13"/>
    </row>
    <row r="413" spans="2:70" s="42" customFormat="1" x14ac:dyDescent="0.15">
      <c r="AA413" s="13"/>
      <c r="AB413" s="13"/>
      <c r="AF413" s="13"/>
      <c r="AI413" s="13"/>
      <c r="AU413" s="13"/>
      <c r="AV413" s="13"/>
      <c r="AW413" s="13"/>
      <c r="AX413" s="13"/>
      <c r="AY413" s="13"/>
      <c r="AZ413" s="13"/>
      <c r="BA413" s="13"/>
      <c r="BB413" s="13"/>
      <c r="BC413" s="13"/>
      <c r="BD413" s="13"/>
      <c r="BE413" s="13"/>
      <c r="BF413" s="13"/>
      <c r="BG413" s="13"/>
      <c r="BH413" s="13"/>
      <c r="BI413" s="13"/>
      <c r="BJ413" s="13"/>
      <c r="BK413" s="13"/>
      <c r="BL413" s="13"/>
      <c r="BM413" s="13"/>
      <c r="BN413" s="13"/>
      <c r="BO413" s="13"/>
      <c r="BP413" s="13"/>
    </row>
    <row r="414" spans="2:70" s="42" customFormat="1" x14ac:dyDescent="0.15">
      <c r="AA414" s="13"/>
      <c r="AB414" s="13"/>
      <c r="AF414" s="13"/>
      <c r="AI414" s="13"/>
      <c r="AU414" s="13"/>
      <c r="AV414" s="13"/>
      <c r="AW414" s="13"/>
      <c r="AX414" s="13"/>
      <c r="AY414" s="13"/>
      <c r="AZ414" s="13"/>
      <c r="BA414" s="13"/>
      <c r="BB414" s="13"/>
      <c r="BC414" s="13"/>
      <c r="BD414" s="13"/>
      <c r="BE414" s="13"/>
      <c r="BF414" s="13"/>
      <c r="BG414" s="13"/>
      <c r="BH414" s="13"/>
      <c r="BI414" s="13"/>
      <c r="BJ414" s="13"/>
      <c r="BK414" s="13"/>
      <c r="BL414" s="13"/>
      <c r="BM414" s="13"/>
      <c r="BN414" s="13"/>
      <c r="BO414" s="13"/>
      <c r="BP414" s="13"/>
    </row>
    <row r="415" spans="2:70" s="42" customFormat="1" x14ac:dyDescent="0.15">
      <c r="AA415" s="13"/>
      <c r="AB415" s="13"/>
      <c r="AF415" s="13"/>
      <c r="AI415" s="13"/>
      <c r="AU415" s="13"/>
      <c r="AV415" s="13"/>
      <c r="AW415" s="13"/>
      <c r="AX415" s="13"/>
      <c r="AY415" s="13"/>
      <c r="AZ415" s="13"/>
      <c r="BA415" s="13"/>
      <c r="BB415" s="13"/>
      <c r="BC415" s="13"/>
      <c r="BD415" s="13"/>
      <c r="BE415" s="13"/>
      <c r="BF415" s="13"/>
      <c r="BG415" s="13"/>
      <c r="BH415" s="13"/>
      <c r="BI415" s="13"/>
      <c r="BJ415" s="13"/>
      <c r="BK415" s="13"/>
      <c r="BL415" s="13"/>
      <c r="BM415" s="13"/>
      <c r="BN415" s="13"/>
      <c r="BO415" s="13"/>
      <c r="BP415" s="13"/>
    </row>
    <row r="416" spans="2:70" s="42" customFormat="1" x14ac:dyDescent="0.15">
      <c r="AA416" s="13"/>
      <c r="AB416" s="13"/>
      <c r="AF416" s="13"/>
      <c r="AI416" s="13"/>
      <c r="AU416" s="13"/>
      <c r="AV416" s="13"/>
      <c r="AW416" s="13"/>
      <c r="AX416" s="13"/>
      <c r="AY416" s="13"/>
      <c r="AZ416" s="13"/>
      <c r="BA416" s="13"/>
      <c r="BB416" s="13"/>
      <c r="BC416" s="13"/>
      <c r="BD416" s="13"/>
      <c r="BE416" s="13"/>
      <c r="BF416" s="13"/>
      <c r="BG416" s="13"/>
      <c r="BH416" s="13"/>
      <c r="BI416" s="13"/>
      <c r="BJ416" s="13"/>
      <c r="BK416" s="13"/>
      <c r="BL416" s="13"/>
      <c r="BM416" s="13"/>
      <c r="BN416" s="13"/>
      <c r="BO416" s="13"/>
      <c r="BP416" s="13"/>
    </row>
    <row r="417" spans="2:68" s="42" customFormat="1" x14ac:dyDescent="0.15">
      <c r="AA417" s="13"/>
      <c r="AB417" s="13"/>
      <c r="AF417" s="13"/>
      <c r="AI417" s="13"/>
      <c r="AU417" s="13"/>
      <c r="AV417" s="13"/>
      <c r="AW417" s="13"/>
      <c r="AX417" s="13"/>
      <c r="AY417" s="13"/>
      <c r="AZ417" s="13"/>
      <c r="BA417" s="13"/>
      <c r="BB417" s="13"/>
      <c r="BC417" s="13"/>
      <c r="BD417" s="13"/>
      <c r="BE417" s="13"/>
      <c r="BF417" s="13"/>
      <c r="BG417" s="13"/>
      <c r="BH417" s="13"/>
      <c r="BI417" s="13"/>
      <c r="BJ417" s="13"/>
      <c r="BK417" s="13"/>
      <c r="BL417" s="13"/>
      <c r="BM417" s="13"/>
      <c r="BN417" s="13"/>
      <c r="BO417" s="13"/>
      <c r="BP417" s="13"/>
    </row>
    <row r="418" spans="2:68" s="42" customFormat="1" x14ac:dyDescent="0.15">
      <c r="AA418" s="13"/>
      <c r="AB418" s="13"/>
      <c r="AF418" s="13"/>
      <c r="AI418" s="13"/>
      <c r="AU418" s="13"/>
      <c r="AV418" s="13"/>
      <c r="AW418" s="13"/>
      <c r="AX418" s="13"/>
      <c r="AY418" s="13"/>
      <c r="AZ418" s="13"/>
      <c r="BA418" s="13"/>
      <c r="BB418" s="13"/>
      <c r="BC418" s="13"/>
      <c r="BD418" s="13"/>
      <c r="BE418" s="13"/>
      <c r="BF418" s="13"/>
      <c r="BG418" s="13"/>
      <c r="BH418" s="13"/>
      <c r="BI418" s="13"/>
      <c r="BJ418" s="13"/>
      <c r="BK418" s="13"/>
      <c r="BL418" s="13"/>
      <c r="BM418" s="13"/>
      <c r="BN418" s="13"/>
      <c r="BO418" s="13"/>
      <c r="BP418" s="13"/>
    </row>
    <row r="419" spans="2:68" s="42" customFormat="1" x14ac:dyDescent="0.15">
      <c r="AA419" s="13"/>
      <c r="AB419" s="13"/>
      <c r="AF419" s="13"/>
      <c r="AI419" s="13"/>
      <c r="AU419" s="13"/>
      <c r="AV419" s="13"/>
      <c r="AW419" s="13"/>
      <c r="AX419" s="13"/>
      <c r="AY419" s="13"/>
      <c r="AZ419" s="13"/>
      <c r="BA419" s="13"/>
      <c r="BB419" s="13"/>
      <c r="BC419" s="13"/>
      <c r="BD419" s="13"/>
      <c r="BE419" s="13"/>
      <c r="BF419" s="13"/>
      <c r="BG419" s="13"/>
      <c r="BH419" s="13"/>
      <c r="BI419" s="13"/>
      <c r="BJ419" s="13"/>
      <c r="BK419" s="13"/>
      <c r="BL419" s="13"/>
      <c r="BM419" s="13"/>
      <c r="BN419" s="13"/>
      <c r="BO419" s="13"/>
      <c r="BP419" s="13"/>
    </row>
    <row r="420" spans="2:68" s="42" customFormat="1" x14ac:dyDescent="0.15">
      <c r="AA420" s="13"/>
      <c r="AB420" s="13"/>
      <c r="AF420" s="13"/>
      <c r="AI420" s="13"/>
      <c r="AU420" s="13"/>
      <c r="AV420" s="13"/>
      <c r="AW420" s="13"/>
      <c r="AX420" s="13"/>
      <c r="AY420" s="13"/>
      <c r="AZ420" s="13"/>
      <c r="BA420" s="13"/>
      <c r="BB420" s="13"/>
      <c r="BC420" s="13"/>
      <c r="BD420" s="13"/>
      <c r="BE420" s="13"/>
      <c r="BF420" s="13"/>
      <c r="BG420" s="13"/>
      <c r="BH420" s="13"/>
      <c r="BI420" s="13"/>
      <c r="BJ420" s="13"/>
      <c r="BK420" s="13"/>
      <c r="BL420" s="13"/>
      <c r="BM420" s="13"/>
      <c r="BN420" s="13"/>
      <c r="BO420" s="13"/>
      <c r="BP420" s="13"/>
    </row>
    <row r="421" spans="2:68" s="42" customFormat="1" x14ac:dyDescent="0.15">
      <c r="AA421" s="13"/>
      <c r="AB421" s="13"/>
      <c r="AF421" s="13"/>
      <c r="AI421" s="13"/>
      <c r="AU421" s="13"/>
      <c r="AV421" s="13"/>
      <c r="AW421" s="13"/>
      <c r="AX421" s="13"/>
      <c r="AY421" s="13"/>
      <c r="AZ421" s="13"/>
      <c r="BA421" s="13"/>
      <c r="BB421" s="13"/>
      <c r="BC421" s="13"/>
      <c r="BD421" s="13"/>
      <c r="BE421" s="13"/>
      <c r="BF421" s="13"/>
      <c r="BG421" s="13"/>
      <c r="BH421" s="13"/>
      <c r="BI421" s="13"/>
      <c r="BJ421" s="13"/>
      <c r="BK421" s="13"/>
      <c r="BL421" s="13"/>
      <c r="BM421" s="13"/>
      <c r="BN421" s="13"/>
      <c r="BO421" s="13"/>
      <c r="BP421" s="13"/>
    </row>
    <row r="422" spans="2:68" s="42" customFormat="1" x14ac:dyDescent="0.15">
      <c r="AA422" s="13"/>
      <c r="AB422" s="13"/>
      <c r="AF422" s="13"/>
      <c r="AI422" s="13"/>
      <c r="AU422" s="13"/>
      <c r="AV422" s="13"/>
      <c r="AW422" s="13"/>
      <c r="AX422" s="13"/>
      <c r="AY422" s="13"/>
      <c r="AZ422" s="13"/>
      <c r="BA422" s="13"/>
      <c r="BB422" s="13"/>
      <c r="BC422" s="13"/>
      <c r="BD422" s="13"/>
      <c r="BE422" s="13"/>
      <c r="BF422" s="13"/>
      <c r="BG422" s="13"/>
      <c r="BH422" s="13"/>
      <c r="BI422" s="13"/>
      <c r="BJ422" s="13"/>
      <c r="BK422" s="13"/>
      <c r="BL422" s="13"/>
      <c r="BM422" s="13"/>
      <c r="BN422" s="13"/>
      <c r="BO422" s="13"/>
      <c r="BP422" s="13"/>
    </row>
    <row r="423" spans="2:68" s="42" customFormat="1" x14ac:dyDescent="0.15">
      <c r="AA423" s="13"/>
      <c r="AB423" s="13"/>
      <c r="AF423" s="13"/>
      <c r="AI423" s="13"/>
      <c r="AU423" s="13"/>
      <c r="AV423" s="13"/>
      <c r="AW423" s="13"/>
      <c r="AX423" s="13"/>
      <c r="AY423" s="13"/>
      <c r="AZ423" s="13"/>
      <c r="BA423" s="13"/>
      <c r="BB423" s="13"/>
      <c r="BC423" s="13"/>
      <c r="BD423" s="13"/>
      <c r="BE423" s="13"/>
      <c r="BF423" s="13"/>
      <c r="BG423" s="13"/>
      <c r="BH423" s="13"/>
      <c r="BI423" s="13"/>
      <c r="BJ423" s="13"/>
      <c r="BK423" s="13"/>
      <c r="BL423" s="13"/>
      <c r="BM423" s="13"/>
      <c r="BN423" s="13"/>
      <c r="BO423" s="13"/>
      <c r="BP423" s="13"/>
    </row>
    <row r="424" spans="2:68" s="42" customFormat="1" x14ac:dyDescent="0.15">
      <c r="B424" s="42" t="s">
        <v>250</v>
      </c>
      <c r="P424" s="42" t="s">
        <v>250</v>
      </c>
      <c r="AI424" s="13"/>
    </row>
    <row r="425" spans="2:68" s="42" customFormat="1" x14ac:dyDescent="0.15">
      <c r="B425" s="42" t="s">
        <v>250</v>
      </c>
      <c r="P425" s="42" t="s">
        <v>250</v>
      </c>
      <c r="AI425" s="13"/>
    </row>
    <row r="426" spans="2:68" s="42" customFormat="1" x14ac:dyDescent="0.15">
      <c r="B426" s="42" t="s">
        <v>250</v>
      </c>
      <c r="P426" s="42" t="s">
        <v>250</v>
      </c>
      <c r="AI426" s="13"/>
    </row>
    <row r="427" spans="2:68" s="42" customFormat="1" x14ac:dyDescent="0.15">
      <c r="B427" s="42" t="s">
        <v>250</v>
      </c>
      <c r="P427" s="42" t="s">
        <v>250</v>
      </c>
      <c r="AI427" s="13"/>
    </row>
    <row r="428" spans="2:68" s="42" customFormat="1" x14ac:dyDescent="0.15">
      <c r="B428" s="42" t="s">
        <v>250</v>
      </c>
      <c r="P428" s="42" t="s">
        <v>250</v>
      </c>
      <c r="AI428" s="13"/>
    </row>
    <row r="429" spans="2:68" s="42" customFormat="1" x14ac:dyDescent="0.15">
      <c r="B429" s="42" t="s">
        <v>250</v>
      </c>
      <c r="P429" s="42" t="s">
        <v>250</v>
      </c>
      <c r="AI429" s="13"/>
    </row>
    <row r="430" spans="2:68" s="42" customFormat="1" x14ac:dyDescent="0.15">
      <c r="B430" s="42" t="s">
        <v>250</v>
      </c>
      <c r="P430" s="42" t="s">
        <v>250</v>
      </c>
      <c r="AI430" s="13"/>
    </row>
    <row r="431" spans="2:68" s="42" customFormat="1" x14ac:dyDescent="0.15">
      <c r="B431" s="42" t="s">
        <v>250</v>
      </c>
      <c r="P431" s="42" t="s">
        <v>250</v>
      </c>
      <c r="AI431" s="13"/>
    </row>
    <row r="432" spans="2:68" s="42" customFormat="1" x14ac:dyDescent="0.15">
      <c r="B432" s="42" t="s">
        <v>250</v>
      </c>
      <c r="P432" s="42" t="s">
        <v>250</v>
      </c>
      <c r="AI432" s="13"/>
    </row>
    <row r="433" spans="2:35" s="42" customFormat="1" x14ac:dyDescent="0.15">
      <c r="B433" s="42" t="s">
        <v>250</v>
      </c>
      <c r="P433" s="42" t="s">
        <v>250</v>
      </c>
      <c r="AI433" s="13"/>
    </row>
    <row r="434" spans="2:35" s="42" customFormat="1" x14ac:dyDescent="0.15">
      <c r="B434" s="42" t="s">
        <v>250</v>
      </c>
      <c r="P434" s="42" t="s">
        <v>250</v>
      </c>
      <c r="AI434" s="13"/>
    </row>
    <row r="435" spans="2:35" s="42" customFormat="1" x14ac:dyDescent="0.15">
      <c r="B435" s="42" t="s">
        <v>250</v>
      </c>
      <c r="P435" s="42" t="s">
        <v>250</v>
      </c>
      <c r="AI435" s="13"/>
    </row>
    <row r="436" spans="2:35" s="42" customFormat="1" x14ac:dyDescent="0.15">
      <c r="B436" s="42" t="s">
        <v>250</v>
      </c>
      <c r="P436" s="42" t="s">
        <v>250</v>
      </c>
      <c r="AI436" s="13"/>
    </row>
    <row r="437" spans="2:35" s="42" customFormat="1" x14ac:dyDescent="0.15">
      <c r="B437" s="42" t="s">
        <v>250</v>
      </c>
      <c r="P437" s="42" t="s">
        <v>250</v>
      </c>
      <c r="AI437" s="13"/>
    </row>
    <row r="438" spans="2:35" s="42" customFormat="1" x14ac:dyDescent="0.15">
      <c r="B438" s="42" t="s">
        <v>250</v>
      </c>
      <c r="P438" s="42" t="s">
        <v>250</v>
      </c>
      <c r="AI438" s="13"/>
    </row>
    <row r="439" spans="2:35" s="42" customFormat="1" x14ac:dyDescent="0.15">
      <c r="B439" s="42" t="s">
        <v>250</v>
      </c>
      <c r="P439" s="42" t="s">
        <v>250</v>
      </c>
      <c r="AI439" s="13"/>
    </row>
    <row r="440" spans="2:35" s="42" customFormat="1" x14ac:dyDescent="0.15">
      <c r="B440" s="42" t="s">
        <v>250</v>
      </c>
      <c r="P440" s="42" t="s">
        <v>250</v>
      </c>
      <c r="AI440" s="13"/>
    </row>
    <row r="441" spans="2:35" s="42" customFormat="1" x14ac:dyDescent="0.15">
      <c r="B441" s="42" t="s">
        <v>250</v>
      </c>
      <c r="P441" s="42" t="s">
        <v>250</v>
      </c>
      <c r="AI441" s="13"/>
    </row>
    <row r="442" spans="2:35" s="42" customFormat="1" x14ac:dyDescent="0.15">
      <c r="B442" s="42" t="s">
        <v>250</v>
      </c>
      <c r="P442" s="42" t="s">
        <v>250</v>
      </c>
      <c r="AI442" s="13"/>
    </row>
    <row r="443" spans="2:35" s="42" customFormat="1" x14ac:dyDescent="0.15">
      <c r="B443" s="42" t="s">
        <v>250</v>
      </c>
      <c r="P443" s="42" t="s">
        <v>250</v>
      </c>
      <c r="AI443" s="13"/>
    </row>
    <row r="444" spans="2:35" s="42" customFormat="1" x14ac:dyDescent="0.15">
      <c r="B444" s="42" t="s">
        <v>250</v>
      </c>
      <c r="P444" s="42" t="s">
        <v>250</v>
      </c>
      <c r="AI444" s="13"/>
    </row>
    <row r="445" spans="2:35" s="42" customFormat="1" x14ac:dyDescent="0.15">
      <c r="B445" s="42" t="s">
        <v>250</v>
      </c>
      <c r="P445" s="42" t="s">
        <v>250</v>
      </c>
      <c r="AI445" s="13"/>
    </row>
    <row r="446" spans="2:35" s="42" customFormat="1" x14ac:dyDescent="0.15">
      <c r="B446" s="42" t="s">
        <v>250</v>
      </c>
      <c r="P446" s="42" t="s">
        <v>250</v>
      </c>
      <c r="AI446" s="13"/>
    </row>
    <row r="447" spans="2:35" s="42" customFormat="1" x14ac:dyDescent="0.15">
      <c r="B447" s="42" t="s">
        <v>250</v>
      </c>
      <c r="P447" s="42" t="s">
        <v>250</v>
      </c>
      <c r="AI447" s="13"/>
    </row>
    <row r="448" spans="2:35" s="42" customFormat="1" x14ac:dyDescent="0.15">
      <c r="B448" s="42" t="s">
        <v>250</v>
      </c>
      <c r="P448" s="42" t="s">
        <v>250</v>
      </c>
      <c r="AI448" s="13"/>
    </row>
    <row r="449" spans="2:35" s="42" customFormat="1" x14ac:dyDescent="0.15">
      <c r="B449" s="42" t="s">
        <v>250</v>
      </c>
      <c r="P449" s="42" t="s">
        <v>250</v>
      </c>
      <c r="AI449" s="13"/>
    </row>
    <row r="450" spans="2:35" s="42" customFormat="1" x14ac:dyDescent="0.15">
      <c r="B450" s="42" t="s">
        <v>250</v>
      </c>
      <c r="P450" s="42" t="s">
        <v>250</v>
      </c>
      <c r="AI450" s="13"/>
    </row>
    <row r="451" spans="2:35" s="42" customFormat="1" x14ac:dyDescent="0.15">
      <c r="B451" s="42" t="s">
        <v>250</v>
      </c>
      <c r="P451" s="42" t="s">
        <v>250</v>
      </c>
      <c r="AI451" s="13"/>
    </row>
    <row r="452" spans="2:35" s="42" customFormat="1" x14ac:dyDescent="0.15">
      <c r="B452" s="42" t="s">
        <v>250</v>
      </c>
      <c r="P452" s="42" t="s">
        <v>250</v>
      </c>
      <c r="AI452" s="13"/>
    </row>
    <row r="453" spans="2:35" s="42" customFormat="1" x14ac:dyDescent="0.15">
      <c r="B453" s="42" t="s">
        <v>250</v>
      </c>
      <c r="P453" s="42" t="s">
        <v>250</v>
      </c>
      <c r="AI453" s="13"/>
    </row>
    <row r="454" spans="2:35" s="42" customFormat="1" x14ac:dyDescent="0.15">
      <c r="B454" s="42" t="s">
        <v>250</v>
      </c>
      <c r="P454" s="42" t="s">
        <v>250</v>
      </c>
      <c r="AI454" s="13"/>
    </row>
    <row r="455" spans="2:35" s="42" customFormat="1" x14ac:dyDescent="0.15">
      <c r="B455" s="42" t="s">
        <v>250</v>
      </c>
      <c r="P455" s="42" t="s">
        <v>250</v>
      </c>
      <c r="AI455" s="13"/>
    </row>
    <row r="456" spans="2:35" s="42" customFormat="1" x14ac:dyDescent="0.15">
      <c r="B456" s="42" t="s">
        <v>250</v>
      </c>
      <c r="P456" s="42" t="s">
        <v>250</v>
      </c>
      <c r="AI456" s="13"/>
    </row>
    <row r="457" spans="2:35" s="42" customFormat="1" x14ac:dyDescent="0.15">
      <c r="B457" s="42" t="s">
        <v>250</v>
      </c>
      <c r="P457" s="42" t="s">
        <v>250</v>
      </c>
    </row>
    <row r="458" spans="2:35" s="42" customFormat="1" x14ac:dyDescent="0.15">
      <c r="B458" s="42" t="s">
        <v>250</v>
      </c>
      <c r="P458" s="42" t="s">
        <v>250</v>
      </c>
    </row>
    <row r="459" spans="2:35" s="42" customFormat="1" x14ac:dyDescent="0.15">
      <c r="B459" s="42" t="s">
        <v>250</v>
      </c>
      <c r="P459" s="42" t="s">
        <v>250</v>
      </c>
    </row>
    <row r="460" spans="2:35" s="42" customFormat="1" x14ac:dyDescent="0.15">
      <c r="B460" s="42" t="s">
        <v>250</v>
      </c>
      <c r="P460" s="42" t="s">
        <v>250</v>
      </c>
    </row>
    <row r="461" spans="2:35" s="42" customFormat="1" x14ac:dyDescent="0.15">
      <c r="B461" s="42" t="s">
        <v>250</v>
      </c>
      <c r="P461" s="42" t="s">
        <v>250</v>
      </c>
    </row>
    <row r="462" spans="2:35" s="42" customFormat="1" x14ac:dyDescent="0.15">
      <c r="B462" s="42" t="s">
        <v>250</v>
      </c>
      <c r="P462" s="42" t="s">
        <v>250</v>
      </c>
    </row>
    <row r="463" spans="2:35" s="42" customFormat="1" x14ac:dyDescent="0.15">
      <c r="B463" s="42" t="s">
        <v>250</v>
      </c>
      <c r="P463" s="42" t="s">
        <v>250</v>
      </c>
    </row>
    <row r="464" spans="2:35" s="42" customFormat="1" x14ac:dyDescent="0.15">
      <c r="B464" s="42" t="s">
        <v>250</v>
      </c>
      <c r="P464" s="42" t="s">
        <v>250</v>
      </c>
    </row>
    <row r="465" spans="2:16" s="42" customFormat="1" x14ac:dyDescent="0.15">
      <c r="B465" s="42" t="s">
        <v>250</v>
      </c>
      <c r="P465" s="42" t="s">
        <v>250</v>
      </c>
    </row>
    <row r="466" spans="2:16" s="42" customFormat="1" x14ac:dyDescent="0.15">
      <c r="B466" s="42" t="s">
        <v>250</v>
      </c>
      <c r="P466" s="42" t="s">
        <v>250</v>
      </c>
    </row>
    <row r="467" spans="2:16" s="42" customFormat="1" x14ac:dyDescent="0.15">
      <c r="B467" s="42" t="s">
        <v>250</v>
      </c>
      <c r="P467" s="42" t="s">
        <v>250</v>
      </c>
    </row>
    <row r="468" spans="2:16" s="42" customFormat="1" x14ac:dyDescent="0.15">
      <c r="B468" s="42" t="s">
        <v>250</v>
      </c>
      <c r="P468" s="42" t="s">
        <v>250</v>
      </c>
    </row>
    <row r="469" spans="2:16" s="42" customFormat="1" x14ac:dyDescent="0.15">
      <c r="B469" s="42" t="s">
        <v>250</v>
      </c>
      <c r="P469" s="42" t="s">
        <v>250</v>
      </c>
    </row>
    <row r="470" spans="2:16" s="42" customFormat="1" x14ac:dyDescent="0.15">
      <c r="B470" s="42" t="s">
        <v>250</v>
      </c>
      <c r="P470" s="42" t="s">
        <v>250</v>
      </c>
    </row>
    <row r="471" spans="2:16" s="42" customFormat="1" x14ac:dyDescent="0.15">
      <c r="B471" s="42" t="s">
        <v>250</v>
      </c>
      <c r="P471" s="42" t="s">
        <v>250</v>
      </c>
    </row>
    <row r="472" spans="2:16" s="42" customFormat="1" x14ac:dyDescent="0.15">
      <c r="B472" s="42" t="s">
        <v>250</v>
      </c>
      <c r="P472" s="42" t="s">
        <v>250</v>
      </c>
    </row>
    <row r="473" spans="2:16" s="42" customFormat="1" x14ac:dyDescent="0.15">
      <c r="B473" s="42" t="s">
        <v>250</v>
      </c>
      <c r="P473" s="42" t="s">
        <v>250</v>
      </c>
    </row>
    <row r="474" spans="2:16" s="42" customFormat="1" x14ac:dyDescent="0.15">
      <c r="B474" s="42" t="s">
        <v>250</v>
      </c>
      <c r="P474" s="42" t="s">
        <v>250</v>
      </c>
    </row>
    <row r="475" spans="2:16" s="42" customFormat="1" x14ac:dyDescent="0.15">
      <c r="B475" s="42" t="s">
        <v>250</v>
      </c>
      <c r="P475" s="42" t="s">
        <v>250</v>
      </c>
    </row>
    <row r="476" spans="2:16" s="42" customFormat="1" x14ac:dyDescent="0.15">
      <c r="B476" s="42" t="s">
        <v>250</v>
      </c>
      <c r="P476" s="42" t="s">
        <v>250</v>
      </c>
    </row>
    <row r="477" spans="2:16" s="42" customFormat="1" x14ac:dyDescent="0.15">
      <c r="B477" s="42" t="s">
        <v>250</v>
      </c>
      <c r="P477" s="42" t="s">
        <v>250</v>
      </c>
    </row>
    <row r="478" spans="2:16" s="42" customFormat="1" x14ac:dyDescent="0.15">
      <c r="B478" s="42" t="s">
        <v>250</v>
      </c>
      <c r="P478" s="42" t="s">
        <v>250</v>
      </c>
    </row>
    <row r="479" spans="2:16" s="42" customFormat="1" x14ac:dyDescent="0.15">
      <c r="B479" s="42" t="s">
        <v>250</v>
      </c>
      <c r="P479" s="42" t="s">
        <v>250</v>
      </c>
    </row>
    <row r="480" spans="2:16" s="42" customFormat="1" x14ac:dyDescent="0.15">
      <c r="B480" s="42" t="s">
        <v>250</v>
      </c>
      <c r="P480" s="42" t="s">
        <v>250</v>
      </c>
    </row>
    <row r="481" spans="2:16" s="42" customFormat="1" x14ac:dyDescent="0.15">
      <c r="B481" s="42" t="s">
        <v>250</v>
      </c>
      <c r="P481" s="42" t="s">
        <v>250</v>
      </c>
    </row>
    <row r="482" spans="2:16" s="42" customFormat="1" x14ac:dyDescent="0.15">
      <c r="B482" s="42" t="s">
        <v>250</v>
      </c>
      <c r="P482" s="42" t="s">
        <v>250</v>
      </c>
    </row>
    <row r="483" spans="2:16" s="42" customFormat="1" x14ac:dyDescent="0.15">
      <c r="B483" s="42" t="s">
        <v>250</v>
      </c>
      <c r="P483" s="42" t="s">
        <v>250</v>
      </c>
    </row>
    <row r="484" spans="2:16" s="42" customFormat="1" x14ac:dyDescent="0.15">
      <c r="B484" s="42" t="s">
        <v>250</v>
      </c>
      <c r="P484" s="42" t="s">
        <v>250</v>
      </c>
    </row>
    <row r="485" spans="2:16" s="42" customFormat="1" x14ac:dyDescent="0.15">
      <c r="B485" s="42" t="s">
        <v>250</v>
      </c>
      <c r="P485" s="42" t="s">
        <v>250</v>
      </c>
    </row>
    <row r="486" spans="2:16" s="42" customFormat="1" x14ac:dyDescent="0.15">
      <c r="B486" s="42" t="s">
        <v>250</v>
      </c>
      <c r="P486" s="42" t="s">
        <v>250</v>
      </c>
    </row>
    <row r="487" spans="2:16" s="42" customFormat="1" x14ac:dyDescent="0.15">
      <c r="B487" s="42" t="s">
        <v>250</v>
      </c>
      <c r="P487" s="42" t="s">
        <v>250</v>
      </c>
    </row>
    <row r="488" spans="2:16" s="42" customFormat="1" x14ac:dyDescent="0.15">
      <c r="B488" s="42" t="s">
        <v>250</v>
      </c>
      <c r="P488" s="42" t="s">
        <v>250</v>
      </c>
    </row>
    <row r="489" spans="2:16" s="42" customFormat="1" x14ac:dyDescent="0.15">
      <c r="B489" s="42" t="s">
        <v>250</v>
      </c>
      <c r="P489" s="42" t="s">
        <v>250</v>
      </c>
    </row>
    <row r="490" spans="2:16" s="42" customFormat="1" x14ac:dyDescent="0.15">
      <c r="B490" s="42" t="s">
        <v>250</v>
      </c>
      <c r="P490" s="42" t="s">
        <v>250</v>
      </c>
    </row>
    <row r="491" spans="2:16" s="42" customFormat="1" x14ac:dyDescent="0.15">
      <c r="B491" s="42" t="s">
        <v>250</v>
      </c>
      <c r="P491" s="42" t="s">
        <v>250</v>
      </c>
    </row>
    <row r="492" spans="2:16" s="42" customFormat="1" x14ac:dyDescent="0.15">
      <c r="B492" s="42" t="s">
        <v>250</v>
      </c>
      <c r="P492" s="42" t="s">
        <v>250</v>
      </c>
    </row>
    <row r="493" spans="2:16" s="42" customFormat="1" x14ac:dyDescent="0.15">
      <c r="B493" s="42" t="s">
        <v>250</v>
      </c>
      <c r="P493" s="42" t="s">
        <v>250</v>
      </c>
    </row>
    <row r="494" spans="2:16" s="42" customFormat="1" x14ac:dyDescent="0.15">
      <c r="B494" s="42" t="s">
        <v>250</v>
      </c>
      <c r="P494" s="42" t="s">
        <v>250</v>
      </c>
    </row>
    <row r="495" spans="2:16" s="42" customFormat="1" x14ac:dyDescent="0.15">
      <c r="B495" s="42" t="s">
        <v>250</v>
      </c>
      <c r="P495" s="42" t="s">
        <v>250</v>
      </c>
    </row>
    <row r="496" spans="2:16" s="42" customFormat="1" x14ac:dyDescent="0.15">
      <c r="B496" s="42" t="s">
        <v>250</v>
      </c>
      <c r="P496" s="42" t="s">
        <v>250</v>
      </c>
    </row>
    <row r="497" spans="2:16" s="42" customFormat="1" x14ac:dyDescent="0.15">
      <c r="B497" s="42" t="s">
        <v>250</v>
      </c>
      <c r="P497" s="42" t="s">
        <v>250</v>
      </c>
    </row>
    <row r="498" spans="2:16" s="42" customFormat="1" x14ac:dyDescent="0.15">
      <c r="B498" s="42" t="s">
        <v>250</v>
      </c>
      <c r="P498" s="42" t="s">
        <v>250</v>
      </c>
    </row>
    <row r="499" spans="2:16" s="42" customFormat="1" x14ac:dyDescent="0.15">
      <c r="B499" s="42" t="s">
        <v>250</v>
      </c>
      <c r="P499" s="42" t="s">
        <v>250</v>
      </c>
    </row>
    <row r="500" spans="2:16" s="42" customFormat="1" x14ac:dyDescent="0.15">
      <c r="B500" s="42" t="s">
        <v>250</v>
      </c>
      <c r="P500" s="42" t="s">
        <v>250</v>
      </c>
    </row>
    <row r="501" spans="2:16" s="42" customFormat="1" x14ac:dyDescent="0.15">
      <c r="B501" s="42" t="s">
        <v>250</v>
      </c>
      <c r="P501" s="42" t="s">
        <v>250</v>
      </c>
    </row>
    <row r="502" spans="2:16" s="42" customFormat="1" x14ac:dyDescent="0.15">
      <c r="B502" s="42" t="s">
        <v>250</v>
      </c>
      <c r="P502" s="42" t="s">
        <v>250</v>
      </c>
    </row>
    <row r="503" spans="2:16" s="42" customFormat="1" x14ac:dyDescent="0.15">
      <c r="B503" s="42" t="s">
        <v>250</v>
      </c>
      <c r="P503" s="42" t="s">
        <v>250</v>
      </c>
    </row>
    <row r="504" spans="2:16" s="42" customFormat="1" x14ac:dyDescent="0.15">
      <c r="B504" s="42" t="s">
        <v>250</v>
      </c>
      <c r="P504" s="42" t="s">
        <v>250</v>
      </c>
    </row>
    <row r="505" spans="2:16" s="42" customFormat="1" x14ac:dyDescent="0.15">
      <c r="B505" s="42" t="s">
        <v>250</v>
      </c>
      <c r="P505" s="42" t="s">
        <v>250</v>
      </c>
    </row>
    <row r="506" spans="2:16" s="42" customFormat="1" x14ac:dyDescent="0.15">
      <c r="B506" s="42" t="s">
        <v>250</v>
      </c>
      <c r="P506" s="42" t="s">
        <v>250</v>
      </c>
    </row>
    <row r="507" spans="2:16" s="42" customFormat="1" x14ac:dyDescent="0.15">
      <c r="B507" s="42" t="s">
        <v>250</v>
      </c>
      <c r="P507" s="42" t="s">
        <v>250</v>
      </c>
    </row>
    <row r="508" spans="2:16" s="42" customFormat="1" x14ac:dyDescent="0.15">
      <c r="B508" s="42" t="s">
        <v>250</v>
      </c>
      <c r="P508" s="42" t="s">
        <v>250</v>
      </c>
    </row>
    <row r="509" spans="2:16" s="42" customFormat="1" x14ac:dyDescent="0.15">
      <c r="B509" s="42" t="s">
        <v>250</v>
      </c>
      <c r="P509" s="42" t="s">
        <v>250</v>
      </c>
    </row>
    <row r="510" spans="2:16" s="42" customFormat="1" x14ac:dyDescent="0.15">
      <c r="B510" s="42" t="s">
        <v>250</v>
      </c>
      <c r="P510" s="42" t="s">
        <v>250</v>
      </c>
    </row>
    <row r="511" spans="2:16" s="42" customFormat="1" x14ac:dyDescent="0.15">
      <c r="B511" s="42" t="s">
        <v>250</v>
      </c>
      <c r="P511" s="42" t="s">
        <v>250</v>
      </c>
    </row>
    <row r="512" spans="2:16" s="42" customFormat="1" x14ac:dyDescent="0.15">
      <c r="B512" s="42" t="s">
        <v>250</v>
      </c>
      <c r="P512" s="42" t="s">
        <v>250</v>
      </c>
    </row>
    <row r="513" spans="2:16" s="42" customFormat="1" x14ac:dyDescent="0.15">
      <c r="B513" s="42" t="s">
        <v>250</v>
      </c>
      <c r="P513" s="42" t="s">
        <v>250</v>
      </c>
    </row>
    <row r="514" spans="2:16" s="42" customFormat="1" x14ac:dyDescent="0.15">
      <c r="B514" s="42" t="s">
        <v>250</v>
      </c>
      <c r="P514" s="42" t="s">
        <v>250</v>
      </c>
    </row>
    <row r="515" spans="2:16" s="42" customFormat="1" x14ac:dyDescent="0.15">
      <c r="B515" s="42" t="s">
        <v>250</v>
      </c>
      <c r="P515" s="42" t="s">
        <v>250</v>
      </c>
    </row>
    <row r="516" spans="2:16" s="42" customFormat="1" x14ac:dyDescent="0.15">
      <c r="B516" s="42" t="s">
        <v>250</v>
      </c>
      <c r="P516" s="42" t="s">
        <v>250</v>
      </c>
    </row>
    <row r="517" spans="2:16" s="42" customFormat="1" x14ac:dyDescent="0.15">
      <c r="B517" s="42" t="s">
        <v>250</v>
      </c>
      <c r="P517" s="42" t="s">
        <v>250</v>
      </c>
    </row>
    <row r="518" spans="2:16" s="42" customFormat="1" x14ac:dyDescent="0.15">
      <c r="B518" s="42" t="s">
        <v>250</v>
      </c>
      <c r="P518" s="42" t="s">
        <v>250</v>
      </c>
    </row>
    <row r="519" spans="2:16" s="42" customFormat="1" x14ac:dyDescent="0.15">
      <c r="B519" s="42" t="s">
        <v>250</v>
      </c>
      <c r="P519" s="42" t="s">
        <v>250</v>
      </c>
    </row>
    <row r="520" spans="2:16" s="42" customFormat="1" x14ac:dyDescent="0.15">
      <c r="B520" s="42" t="s">
        <v>250</v>
      </c>
      <c r="P520" s="42" t="s">
        <v>250</v>
      </c>
    </row>
    <row r="521" spans="2:16" s="42" customFormat="1" x14ac:dyDescent="0.15">
      <c r="B521" s="42" t="s">
        <v>250</v>
      </c>
      <c r="P521" s="42" t="s">
        <v>250</v>
      </c>
    </row>
    <row r="522" spans="2:16" s="42" customFormat="1" x14ac:dyDescent="0.15">
      <c r="B522" s="42" t="s">
        <v>250</v>
      </c>
      <c r="P522" s="42" t="s">
        <v>250</v>
      </c>
    </row>
    <row r="523" spans="2:16" s="42" customFormat="1" x14ac:dyDescent="0.15">
      <c r="B523" s="42" t="s">
        <v>250</v>
      </c>
      <c r="P523" s="42" t="s">
        <v>250</v>
      </c>
    </row>
    <row r="524" spans="2:16" s="42" customFormat="1" x14ac:dyDescent="0.15">
      <c r="B524" s="42" t="s">
        <v>250</v>
      </c>
      <c r="P524" s="42" t="s">
        <v>250</v>
      </c>
    </row>
    <row r="525" spans="2:16" s="42" customFormat="1" x14ac:dyDescent="0.15">
      <c r="B525" s="42" t="s">
        <v>250</v>
      </c>
      <c r="P525" s="42" t="s">
        <v>250</v>
      </c>
    </row>
    <row r="526" spans="2:16" s="42" customFormat="1" x14ac:dyDescent="0.15">
      <c r="B526" s="42" t="s">
        <v>250</v>
      </c>
      <c r="P526" s="42" t="s">
        <v>250</v>
      </c>
    </row>
    <row r="527" spans="2:16" s="42" customFormat="1" x14ac:dyDescent="0.15">
      <c r="B527" s="42" t="s">
        <v>250</v>
      </c>
      <c r="P527" s="42" t="s">
        <v>250</v>
      </c>
    </row>
    <row r="528" spans="2:16" s="42" customFormat="1" x14ac:dyDescent="0.15">
      <c r="B528" s="42" t="s">
        <v>250</v>
      </c>
      <c r="P528" s="42" t="s">
        <v>250</v>
      </c>
    </row>
    <row r="529" spans="2:16" s="42" customFormat="1" x14ac:dyDescent="0.15">
      <c r="B529" s="42" t="s">
        <v>250</v>
      </c>
      <c r="P529" s="42" t="s">
        <v>250</v>
      </c>
    </row>
    <row r="530" spans="2:16" s="42" customFormat="1" x14ac:dyDescent="0.15">
      <c r="B530" s="42" t="s">
        <v>250</v>
      </c>
      <c r="P530" s="42" t="s">
        <v>250</v>
      </c>
    </row>
    <row r="531" spans="2:16" s="42" customFormat="1" x14ac:dyDescent="0.15">
      <c r="B531" s="42" t="s">
        <v>250</v>
      </c>
      <c r="P531" s="42" t="s">
        <v>250</v>
      </c>
    </row>
    <row r="532" spans="2:16" s="42" customFormat="1" x14ac:dyDescent="0.15">
      <c r="B532" s="42" t="s">
        <v>250</v>
      </c>
      <c r="P532" s="42" t="s">
        <v>250</v>
      </c>
    </row>
    <row r="533" spans="2:16" s="42" customFormat="1" x14ac:dyDescent="0.15">
      <c r="B533" s="42" t="s">
        <v>250</v>
      </c>
      <c r="P533" s="42" t="s">
        <v>250</v>
      </c>
    </row>
    <row r="534" spans="2:16" s="42" customFormat="1" x14ac:dyDescent="0.15">
      <c r="B534" s="42" t="s">
        <v>250</v>
      </c>
      <c r="P534" s="42" t="s">
        <v>250</v>
      </c>
    </row>
    <row r="535" spans="2:16" s="42" customFormat="1" x14ac:dyDescent="0.15">
      <c r="B535" s="42" t="s">
        <v>250</v>
      </c>
      <c r="P535" s="42" t="s">
        <v>250</v>
      </c>
    </row>
    <row r="536" spans="2:16" s="42" customFormat="1" x14ac:dyDescent="0.15">
      <c r="B536" s="42" t="s">
        <v>250</v>
      </c>
      <c r="P536" s="42" t="s">
        <v>250</v>
      </c>
    </row>
    <row r="537" spans="2:16" s="42" customFormat="1" x14ac:dyDescent="0.15">
      <c r="B537" s="42" t="s">
        <v>250</v>
      </c>
      <c r="P537" s="42" t="s">
        <v>250</v>
      </c>
    </row>
    <row r="538" spans="2:16" s="42" customFormat="1" x14ac:dyDescent="0.15">
      <c r="B538" s="42" t="s">
        <v>250</v>
      </c>
      <c r="P538" s="42" t="s">
        <v>250</v>
      </c>
    </row>
    <row r="539" spans="2:16" s="42" customFormat="1" x14ac:dyDescent="0.15">
      <c r="B539" s="42" t="s">
        <v>250</v>
      </c>
      <c r="P539" s="42" t="s">
        <v>250</v>
      </c>
    </row>
    <row r="540" spans="2:16" s="42" customFormat="1" x14ac:dyDescent="0.15">
      <c r="B540" s="42" t="s">
        <v>250</v>
      </c>
      <c r="P540" s="42" t="s">
        <v>250</v>
      </c>
    </row>
    <row r="541" spans="2:16" s="42" customFormat="1" x14ac:dyDescent="0.15">
      <c r="B541" s="42" t="s">
        <v>250</v>
      </c>
      <c r="P541" s="42" t="s">
        <v>250</v>
      </c>
    </row>
    <row r="542" spans="2:16" s="42" customFormat="1" x14ac:dyDescent="0.15">
      <c r="B542" s="42" t="s">
        <v>250</v>
      </c>
      <c r="P542" s="42" t="s">
        <v>250</v>
      </c>
    </row>
    <row r="543" spans="2:16" s="42" customFormat="1" x14ac:dyDescent="0.15">
      <c r="B543" s="42" t="s">
        <v>250</v>
      </c>
      <c r="P543" s="42" t="s">
        <v>250</v>
      </c>
    </row>
    <row r="544" spans="2:16" s="42" customFormat="1" x14ac:dyDescent="0.15">
      <c r="B544" s="42" t="s">
        <v>250</v>
      </c>
      <c r="P544" s="42" t="s">
        <v>250</v>
      </c>
    </row>
    <row r="545" spans="2:16" s="42" customFormat="1" x14ac:dyDescent="0.15">
      <c r="B545" s="42" t="s">
        <v>250</v>
      </c>
      <c r="P545" s="42" t="s">
        <v>250</v>
      </c>
    </row>
    <row r="546" spans="2:16" s="42" customFormat="1" x14ac:dyDescent="0.15">
      <c r="B546" s="42" t="s">
        <v>250</v>
      </c>
      <c r="P546" s="42" t="s">
        <v>250</v>
      </c>
    </row>
    <row r="547" spans="2:16" s="42" customFormat="1" x14ac:dyDescent="0.15">
      <c r="B547" s="42" t="s">
        <v>250</v>
      </c>
      <c r="P547" s="42" t="s">
        <v>250</v>
      </c>
    </row>
    <row r="548" spans="2:16" s="42" customFormat="1" x14ac:dyDescent="0.15">
      <c r="B548" s="42" t="s">
        <v>250</v>
      </c>
      <c r="P548" s="42" t="s">
        <v>250</v>
      </c>
    </row>
    <row r="549" spans="2:16" s="42" customFormat="1" x14ac:dyDescent="0.15">
      <c r="B549" s="42" t="s">
        <v>250</v>
      </c>
      <c r="P549" s="42" t="s">
        <v>250</v>
      </c>
    </row>
    <row r="550" spans="2:16" s="42" customFormat="1" x14ac:dyDescent="0.15">
      <c r="B550" s="42" t="s">
        <v>250</v>
      </c>
      <c r="P550" s="42" t="s">
        <v>250</v>
      </c>
    </row>
    <row r="551" spans="2:16" s="42" customFormat="1" x14ac:dyDescent="0.15">
      <c r="B551" s="42" t="s">
        <v>250</v>
      </c>
      <c r="P551" s="42" t="s">
        <v>250</v>
      </c>
    </row>
    <row r="552" spans="2:16" s="42" customFormat="1" x14ac:dyDescent="0.15">
      <c r="B552" s="42" t="s">
        <v>250</v>
      </c>
      <c r="P552" s="42" t="s">
        <v>250</v>
      </c>
    </row>
    <row r="553" spans="2:16" s="42" customFormat="1" x14ac:dyDescent="0.15">
      <c r="B553" s="42" t="s">
        <v>250</v>
      </c>
      <c r="P553" s="42" t="s">
        <v>250</v>
      </c>
    </row>
    <row r="554" spans="2:16" s="42" customFormat="1" x14ac:dyDescent="0.15">
      <c r="B554" s="42" t="s">
        <v>250</v>
      </c>
      <c r="P554" s="42" t="s">
        <v>250</v>
      </c>
    </row>
    <row r="555" spans="2:16" s="42" customFormat="1" x14ac:dyDescent="0.15">
      <c r="B555" s="42" t="s">
        <v>250</v>
      </c>
      <c r="P555" s="42" t="s">
        <v>250</v>
      </c>
    </row>
    <row r="556" spans="2:16" s="42" customFormat="1" x14ac:dyDescent="0.15">
      <c r="B556" s="42" t="s">
        <v>250</v>
      </c>
      <c r="P556" s="42" t="s">
        <v>250</v>
      </c>
    </row>
    <row r="557" spans="2:16" s="42" customFormat="1" x14ac:dyDescent="0.15">
      <c r="B557" s="42" t="s">
        <v>250</v>
      </c>
      <c r="P557" s="42" t="s">
        <v>250</v>
      </c>
    </row>
    <row r="558" spans="2:16" s="42" customFormat="1" x14ac:dyDescent="0.15">
      <c r="B558" s="42" t="s">
        <v>250</v>
      </c>
      <c r="P558" s="42" t="s">
        <v>250</v>
      </c>
    </row>
    <row r="559" spans="2:16" s="42" customFormat="1" x14ac:dyDescent="0.15">
      <c r="B559" s="42" t="s">
        <v>250</v>
      </c>
      <c r="P559" s="42" t="s">
        <v>250</v>
      </c>
    </row>
    <row r="560" spans="2:16" s="42" customFormat="1" x14ac:dyDescent="0.15">
      <c r="B560" s="42" t="s">
        <v>250</v>
      </c>
      <c r="P560" s="42" t="s">
        <v>250</v>
      </c>
    </row>
    <row r="561" spans="2:16" s="42" customFormat="1" x14ac:dyDescent="0.15">
      <c r="B561" s="42" t="s">
        <v>250</v>
      </c>
      <c r="P561" s="42" t="s">
        <v>250</v>
      </c>
    </row>
    <row r="562" spans="2:16" s="42" customFormat="1" x14ac:dyDescent="0.15">
      <c r="B562" s="42" t="s">
        <v>250</v>
      </c>
      <c r="P562" s="42" t="s">
        <v>250</v>
      </c>
    </row>
    <row r="563" spans="2:16" s="42" customFormat="1" x14ac:dyDescent="0.15">
      <c r="B563" s="42" t="s">
        <v>250</v>
      </c>
      <c r="P563" s="42" t="s">
        <v>250</v>
      </c>
    </row>
    <row r="564" spans="2:16" s="42" customFormat="1" x14ac:dyDescent="0.15">
      <c r="B564" s="42" t="s">
        <v>250</v>
      </c>
      <c r="P564" s="42" t="s">
        <v>250</v>
      </c>
    </row>
    <row r="565" spans="2:16" s="42" customFormat="1" x14ac:dyDescent="0.15">
      <c r="B565" s="42" t="s">
        <v>250</v>
      </c>
      <c r="P565" s="42" t="s">
        <v>250</v>
      </c>
    </row>
    <row r="566" spans="2:16" s="42" customFormat="1" x14ac:dyDescent="0.15">
      <c r="B566" s="42" t="s">
        <v>250</v>
      </c>
      <c r="P566" s="42" t="s">
        <v>250</v>
      </c>
    </row>
    <row r="567" spans="2:16" s="42" customFormat="1" x14ac:dyDescent="0.15">
      <c r="B567" s="42" t="s">
        <v>250</v>
      </c>
      <c r="P567" s="42" t="s">
        <v>250</v>
      </c>
    </row>
    <row r="568" spans="2:16" s="42" customFormat="1" x14ac:dyDescent="0.15">
      <c r="B568" s="42" t="s">
        <v>250</v>
      </c>
      <c r="P568" s="42" t="s">
        <v>250</v>
      </c>
    </row>
    <row r="569" spans="2:16" s="42" customFormat="1" x14ac:dyDescent="0.15">
      <c r="B569" s="42" t="s">
        <v>250</v>
      </c>
      <c r="P569" s="42" t="s">
        <v>250</v>
      </c>
    </row>
    <row r="570" spans="2:16" s="42" customFormat="1" x14ac:dyDescent="0.15">
      <c r="B570" s="42" t="s">
        <v>250</v>
      </c>
      <c r="P570" s="42" t="s">
        <v>250</v>
      </c>
    </row>
    <row r="571" spans="2:16" s="42" customFormat="1" x14ac:dyDescent="0.15">
      <c r="B571" s="42" t="s">
        <v>250</v>
      </c>
      <c r="P571" s="42" t="s">
        <v>250</v>
      </c>
    </row>
    <row r="572" spans="2:16" s="42" customFormat="1" x14ac:dyDescent="0.15">
      <c r="B572" s="42" t="s">
        <v>250</v>
      </c>
      <c r="P572" s="42" t="s">
        <v>250</v>
      </c>
    </row>
    <row r="573" spans="2:16" s="42" customFormat="1" x14ac:dyDescent="0.15">
      <c r="B573" s="42" t="s">
        <v>250</v>
      </c>
      <c r="P573" s="42" t="s">
        <v>250</v>
      </c>
    </row>
    <row r="574" spans="2:16" s="42" customFormat="1" x14ac:dyDescent="0.15">
      <c r="B574" s="42" t="s">
        <v>250</v>
      </c>
      <c r="P574" s="42" t="s">
        <v>250</v>
      </c>
    </row>
    <row r="575" spans="2:16" s="42" customFormat="1" x14ac:dyDescent="0.15">
      <c r="B575" s="42" t="s">
        <v>250</v>
      </c>
      <c r="P575" s="42" t="s">
        <v>250</v>
      </c>
    </row>
    <row r="576" spans="2:16" s="42" customFormat="1" x14ac:dyDescent="0.15">
      <c r="B576" s="42" t="s">
        <v>250</v>
      </c>
      <c r="P576" s="42" t="s">
        <v>250</v>
      </c>
    </row>
    <row r="577" spans="2:16" s="42" customFormat="1" x14ac:dyDescent="0.15">
      <c r="B577" s="42" t="s">
        <v>250</v>
      </c>
      <c r="P577" s="42" t="s">
        <v>250</v>
      </c>
    </row>
    <row r="578" spans="2:16" s="42" customFormat="1" x14ac:dyDescent="0.15">
      <c r="B578" s="42" t="s">
        <v>250</v>
      </c>
      <c r="P578" s="42" t="s">
        <v>250</v>
      </c>
    </row>
    <row r="579" spans="2:16" s="42" customFormat="1" x14ac:dyDescent="0.15">
      <c r="B579" s="42" t="s">
        <v>250</v>
      </c>
      <c r="P579" s="42" t="s">
        <v>250</v>
      </c>
    </row>
    <row r="580" spans="2:16" s="42" customFormat="1" x14ac:dyDescent="0.15">
      <c r="B580" s="42" t="s">
        <v>250</v>
      </c>
      <c r="P580" s="42" t="s">
        <v>250</v>
      </c>
    </row>
    <row r="581" spans="2:16" s="42" customFormat="1" x14ac:dyDescent="0.15">
      <c r="B581" s="42" t="s">
        <v>250</v>
      </c>
      <c r="P581" s="42" t="s">
        <v>250</v>
      </c>
    </row>
    <row r="582" spans="2:16" s="42" customFormat="1" x14ac:dyDescent="0.15">
      <c r="B582" s="42" t="s">
        <v>250</v>
      </c>
      <c r="P582" s="42" t="s">
        <v>250</v>
      </c>
    </row>
    <row r="583" spans="2:16" s="42" customFormat="1" x14ac:dyDescent="0.15">
      <c r="B583" s="42" t="s">
        <v>250</v>
      </c>
      <c r="P583" s="42" t="s">
        <v>250</v>
      </c>
    </row>
    <row r="584" spans="2:16" s="42" customFormat="1" x14ac:dyDescent="0.15">
      <c r="B584" s="42" t="s">
        <v>250</v>
      </c>
      <c r="P584" s="42" t="s">
        <v>250</v>
      </c>
    </row>
    <row r="585" spans="2:16" s="42" customFormat="1" x14ac:dyDescent="0.15">
      <c r="B585" s="42" t="s">
        <v>250</v>
      </c>
      <c r="P585" s="42" t="s">
        <v>250</v>
      </c>
    </row>
    <row r="586" spans="2:16" s="42" customFormat="1" x14ac:dyDescent="0.15">
      <c r="B586" s="42" t="s">
        <v>250</v>
      </c>
      <c r="P586" s="42" t="s">
        <v>250</v>
      </c>
    </row>
    <row r="587" spans="2:16" s="42" customFormat="1" x14ac:dyDescent="0.15">
      <c r="B587" s="42" t="s">
        <v>250</v>
      </c>
      <c r="P587" s="42" t="s">
        <v>250</v>
      </c>
    </row>
    <row r="588" spans="2:16" s="42" customFormat="1" x14ac:dyDescent="0.15">
      <c r="B588" s="42" t="s">
        <v>250</v>
      </c>
      <c r="P588" s="42" t="s">
        <v>250</v>
      </c>
    </row>
    <row r="589" spans="2:16" s="42" customFormat="1" x14ac:dyDescent="0.15">
      <c r="B589" s="42" t="s">
        <v>250</v>
      </c>
      <c r="P589" s="42" t="s">
        <v>250</v>
      </c>
    </row>
    <row r="590" spans="2:16" s="42" customFormat="1" x14ac:dyDescent="0.15">
      <c r="B590" s="42" t="s">
        <v>250</v>
      </c>
      <c r="P590" s="42" t="s">
        <v>250</v>
      </c>
    </row>
    <row r="591" spans="2:16" s="42" customFormat="1" x14ac:dyDescent="0.15">
      <c r="B591" s="42" t="s">
        <v>250</v>
      </c>
      <c r="P591" s="42" t="s">
        <v>250</v>
      </c>
    </row>
    <row r="592" spans="2:16" s="42" customFormat="1" x14ac:dyDescent="0.15">
      <c r="B592" s="42" t="s">
        <v>250</v>
      </c>
      <c r="P592" s="42" t="s">
        <v>250</v>
      </c>
    </row>
    <row r="593" spans="2:16" s="42" customFormat="1" x14ac:dyDescent="0.15">
      <c r="B593" s="42" t="s">
        <v>250</v>
      </c>
      <c r="P593" s="42" t="s">
        <v>250</v>
      </c>
    </row>
    <row r="594" spans="2:16" s="42" customFormat="1" x14ac:dyDescent="0.15">
      <c r="B594" s="42" t="s">
        <v>250</v>
      </c>
      <c r="P594" s="42" t="s">
        <v>250</v>
      </c>
    </row>
    <row r="595" spans="2:16" s="42" customFormat="1" x14ac:dyDescent="0.15">
      <c r="B595" s="42" t="s">
        <v>250</v>
      </c>
      <c r="P595" s="42" t="s">
        <v>250</v>
      </c>
    </row>
    <row r="596" spans="2:16" s="42" customFormat="1" x14ac:dyDescent="0.15">
      <c r="B596" s="42" t="s">
        <v>250</v>
      </c>
      <c r="P596" s="42" t="s">
        <v>250</v>
      </c>
    </row>
    <row r="597" spans="2:16" s="42" customFormat="1" x14ac:dyDescent="0.15">
      <c r="B597" s="42" t="s">
        <v>250</v>
      </c>
      <c r="P597" s="42" t="s">
        <v>250</v>
      </c>
    </row>
    <row r="598" spans="2:16" s="42" customFormat="1" x14ac:dyDescent="0.15">
      <c r="B598" s="42" t="s">
        <v>250</v>
      </c>
      <c r="P598" s="42" t="s">
        <v>250</v>
      </c>
    </row>
    <row r="599" spans="2:16" s="42" customFormat="1" x14ac:dyDescent="0.15">
      <c r="B599" s="42" t="s">
        <v>250</v>
      </c>
      <c r="P599" s="42" t="s">
        <v>250</v>
      </c>
    </row>
    <row r="600" spans="2:16" s="42" customFormat="1" x14ac:dyDescent="0.15">
      <c r="B600" s="42" t="s">
        <v>250</v>
      </c>
      <c r="P600" s="42" t="s">
        <v>250</v>
      </c>
    </row>
    <row r="601" spans="2:16" s="42" customFormat="1" x14ac:dyDescent="0.15">
      <c r="B601" s="42" t="s">
        <v>250</v>
      </c>
      <c r="P601" s="42" t="s">
        <v>250</v>
      </c>
    </row>
    <row r="602" spans="2:16" s="42" customFormat="1" x14ac:dyDescent="0.15">
      <c r="B602" s="42" t="s">
        <v>250</v>
      </c>
      <c r="P602" s="42" t="s">
        <v>250</v>
      </c>
    </row>
    <row r="603" spans="2:16" s="42" customFormat="1" x14ac:dyDescent="0.15">
      <c r="B603" s="42" t="s">
        <v>250</v>
      </c>
      <c r="P603" s="42" t="s">
        <v>250</v>
      </c>
    </row>
    <row r="604" spans="2:16" s="42" customFormat="1" x14ac:dyDescent="0.15">
      <c r="B604" s="42" t="s">
        <v>250</v>
      </c>
      <c r="P604" s="42" t="s">
        <v>250</v>
      </c>
    </row>
    <row r="605" spans="2:16" s="42" customFormat="1" x14ac:dyDescent="0.15">
      <c r="B605" s="42" t="s">
        <v>250</v>
      </c>
      <c r="P605" s="42" t="s">
        <v>250</v>
      </c>
    </row>
    <row r="606" spans="2:16" s="42" customFormat="1" x14ac:dyDescent="0.15">
      <c r="B606" s="42" t="s">
        <v>250</v>
      </c>
      <c r="P606" s="42" t="s">
        <v>250</v>
      </c>
    </row>
    <row r="607" spans="2:16" s="42" customFormat="1" x14ac:dyDescent="0.15">
      <c r="B607" s="42" t="s">
        <v>250</v>
      </c>
      <c r="P607" s="42" t="s">
        <v>250</v>
      </c>
    </row>
    <row r="608" spans="2:16" s="42" customFormat="1" x14ac:dyDescent="0.15">
      <c r="B608" s="42" t="s">
        <v>250</v>
      </c>
      <c r="P608" s="42" t="s">
        <v>250</v>
      </c>
    </row>
    <row r="609" spans="2:16" s="42" customFormat="1" x14ac:dyDescent="0.15">
      <c r="B609" s="42" t="s">
        <v>250</v>
      </c>
      <c r="P609" s="42" t="s">
        <v>250</v>
      </c>
    </row>
    <row r="610" spans="2:16" s="42" customFormat="1" x14ac:dyDescent="0.15">
      <c r="B610" s="42" t="s">
        <v>250</v>
      </c>
      <c r="P610" s="42" t="s">
        <v>250</v>
      </c>
    </row>
    <row r="611" spans="2:16" s="42" customFormat="1" x14ac:dyDescent="0.15">
      <c r="B611" s="42" t="s">
        <v>250</v>
      </c>
    </row>
    <row r="612" spans="2:16" s="42" customFormat="1" x14ac:dyDescent="0.15">
      <c r="B612" s="42" t="s">
        <v>250</v>
      </c>
    </row>
    <row r="613" spans="2:16" s="42" customFormat="1" x14ac:dyDescent="0.15">
      <c r="B613" s="42" t="s">
        <v>250</v>
      </c>
    </row>
    <row r="614" spans="2:16" s="42" customFormat="1" x14ac:dyDescent="0.15">
      <c r="B614" s="42" t="s">
        <v>250</v>
      </c>
    </row>
    <row r="615" spans="2:16" s="42" customFormat="1" x14ac:dyDescent="0.15">
      <c r="B615" s="42" t="s">
        <v>250</v>
      </c>
    </row>
    <row r="616" spans="2:16" s="42" customFormat="1" x14ac:dyDescent="0.15">
      <c r="B616" s="42" t="s">
        <v>250</v>
      </c>
    </row>
    <row r="617" spans="2:16" s="42" customFormat="1" x14ac:dyDescent="0.15">
      <c r="B617" s="42" t="s">
        <v>250</v>
      </c>
    </row>
    <row r="618" spans="2:16" s="42" customFormat="1" x14ac:dyDescent="0.15">
      <c r="B618" s="42" t="s">
        <v>250</v>
      </c>
    </row>
    <row r="619" spans="2:16" s="42" customFormat="1" x14ac:dyDescent="0.15">
      <c r="B619" s="42" t="s">
        <v>250</v>
      </c>
    </row>
    <row r="620" spans="2:16" s="42" customFormat="1" x14ac:dyDescent="0.15">
      <c r="B620" s="42" t="s">
        <v>250</v>
      </c>
    </row>
    <row r="621" spans="2:16" s="42" customFormat="1" x14ac:dyDescent="0.15">
      <c r="B621" s="42" t="s">
        <v>250</v>
      </c>
    </row>
    <row r="622" spans="2:16" s="42" customFormat="1" x14ac:dyDescent="0.15">
      <c r="B622" s="42" t="s">
        <v>250</v>
      </c>
    </row>
    <row r="623" spans="2:16" s="42" customFormat="1" x14ac:dyDescent="0.15">
      <c r="B623" s="42" t="s">
        <v>250</v>
      </c>
    </row>
    <row r="624" spans="2:16" s="42" customFormat="1" x14ac:dyDescent="0.15">
      <c r="B624" s="42" t="s">
        <v>250</v>
      </c>
    </row>
    <row r="625" spans="2:2" s="42" customFormat="1" x14ac:dyDescent="0.15">
      <c r="B625" s="42" t="s">
        <v>250</v>
      </c>
    </row>
    <row r="626" spans="2:2" s="42" customFormat="1" x14ac:dyDescent="0.15">
      <c r="B626" s="42" t="s">
        <v>250</v>
      </c>
    </row>
    <row r="627" spans="2:2" s="42" customFormat="1" x14ac:dyDescent="0.15">
      <c r="B627" s="42" t="s">
        <v>250</v>
      </c>
    </row>
    <row r="628" spans="2:2" s="42" customFormat="1" x14ac:dyDescent="0.15">
      <c r="B628" s="42" t="s">
        <v>250</v>
      </c>
    </row>
  </sheetData>
  <phoneticPr fontId="11" type="noConversion"/>
  <pageMargins left="0.7" right="0.7" top="0.75" bottom="0.75" header="0.3" footer="0.3"/>
  <pageSetup paperSize="9" orientation="portrait" r:id="rId1"/>
  <legacy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F4C4ED-5A51-4904-A6A7-616E4BFC0C6F}">
  <sheetPr codeName="Sheet32">
    <tabColor theme="2"/>
  </sheetPr>
  <dimension ref="A1:W65"/>
  <sheetViews>
    <sheetView zoomScale="85" zoomScaleNormal="85" workbookViewId="0"/>
  </sheetViews>
  <sheetFormatPr defaultRowHeight="13.5" x14ac:dyDescent="0.15"/>
  <cols>
    <col min="1" max="1" width="9" customWidth="1"/>
    <col min="2" max="2" width="21.125" customWidth="1"/>
    <col min="3" max="3" width="53.25" customWidth="1"/>
    <col min="4" max="4" width="49.75" customWidth="1"/>
    <col min="5" max="5" width="46.25" customWidth="1"/>
  </cols>
  <sheetData>
    <row r="1" spans="1:23" s="24" customFormat="1" x14ac:dyDescent="0.15">
      <c r="A1" s="24" t="s">
        <v>487</v>
      </c>
      <c r="B1" s="24" t="s">
        <v>479</v>
      </c>
      <c r="T1" s="11"/>
    </row>
    <row r="2" spans="1:23" s="24" customFormat="1" ht="14.25" x14ac:dyDescent="0.15">
      <c r="A2" s="40" t="s">
        <v>70</v>
      </c>
      <c r="B2" s="16" t="s">
        <v>123</v>
      </c>
      <c r="C2" s="16" t="s">
        <v>486</v>
      </c>
      <c r="D2" s="16" t="s">
        <v>2997</v>
      </c>
      <c r="E2" s="16" t="s">
        <v>485</v>
      </c>
      <c r="F2" s="16" t="s">
        <v>484</v>
      </c>
      <c r="Q2" s="11"/>
      <c r="R2" s="11"/>
      <c r="S2" s="11"/>
      <c r="T2" s="11"/>
      <c r="U2" s="11"/>
      <c r="V2" s="11"/>
      <c r="W2" s="11"/>
    </row>
    <row r="3" spans="1:23" s="24" customFormat="1" x14ac:dyDescent="0.15">
      <c r="A3" s="20"/>
      <c r="B3" s="15" t="s">
        <v>72</v>
      </c>
      <c r="C3" s="15" t="s">
        <v>72</v>
      </c>
      <c r="D3" s="15" t="s">
        <v>72</v>
      </c>
      <c r="E3" s="15" t="s">
        <v>72</v>
      </c>
      <c r="F3" s="15" t="s">
        <v>72</v>
      </c>
      <c r="Q3" s="11"/>
      <c r="R3" s="11"/>
      <c r="S3" s="11"/>
      <c r="T3" s="11"/>
      <c r="U3" s="11"/>
      <c r="V3" s="11"/>
      <c r="W3" s="11"/>
    </row>
    <row r="4" spans="1:23" s="24" customFormat="1" x14ac:dyDescent="0.15">
      <c r="A4" s="20"/>
      <c r="B4" s="14" t="s">
        <v>75</v>
      </c>
      <c r="C4" s="14" t="s">
        <v>80</v>
      </c>
      <c r="D4" s="14" t="s">
        <v>80</v>
      </c>
      <c r="E4" s="14" t="s">
        <v>80</v>
      </c>
      <c r="F4" s="14" t="s">
        <v>238</v>
      </c>
      <c r="H4" s="11"/>
      <c r="Q4" s="11"/>
      <c r="R4" s="11"/>
      <c r="S4" s="11"/>
      <c r="T4" s="11"/>
      <c r="U4" s="11"/>
      <c r="V4" s="11"/>
      <c r="W4" s="11"/>
    </row>
    <row r="5" spans="1:23" s="24" customFormat="1" x14ac:dyDescent="0.15">
      <c r="A5" s="20"/>
      <c r="B5" s="15" t="s">
        <v>81</v>
      </c>
      <c r="C5" s="15" t="s">
        <v>483</v>
      </c>
      <c r="D5" s="15" t="s">
        <v>482</v>
      </c>
      <c r="E5" s="15" t="s">
        <v>481</v>
      </c>
      <c r="F5" s="14" t="s">
        <v>480</v>
      </c>
      <c r="H5" s="11"/>
      <c r="Q5" s="11"/>
      <c r="R5" s="11"/>
      <c r="S5" s="11"/>
      <c r="T5" s="11"/>
      <c r="U5" s="11"/>
      <c r="V5" s="11"/>
      <c r="W5" s="11"/>
    </row>
    <row r="6" spans="1:23" s="24" customFormat="1" x14ac:dyDescent="0.15">
      <c r="A6" s="20"/>
      <c r="B6" s="14" t="s">
        <v>77</v>
      </c>
      <c r="C6" s="14"/>
      <c r="D6" s="14"/>
      <c r="E6" s="14"/>
      <c r="F6" s="14"/>
      <c r="H6" s="11"/>
      <c r="N6" s="11"/>
      <c r="Q6" s="11"/>
      <c r="R6" s="11"/>
      <c r="S6" s="11"/>
      <c r="T6" s="11"/>
      <c r="U6" s="11"/>
      <c r="V6" s="11"/>
      <c r="W6" s="11"/>
    </row>
    <row r="7" spans="1:23" s="11" customFormat="1" x14ac:dyDescent="0.15">
      <c r="B7" s="11" t="s">
        <v>1551</v>
      </c>
      <c r="C7" s="11" t="s">
        <v>2914</v>
      </c>
      <c r="D7" s="11" t="s">
        <v>2998</v>
      </c>
      <c r="E7" s="11" t="s">
        <v>2980</v>
      </c>
      <c r="F7" s="11" t="s">
        <v>2945</v>
      </c>
    </row>
    <row r="8" spans="1:23" s="11" customFormat="1" x14ac:dyDescent="0.15">
      <c r="B8" s="11" t="s">
        <v>1560</v>
      </c>
      <c r="C8" s="11" t="s">
        <v>2915</v>
      </c>
      <c r="D8" s="11" t="s">
        <v>2999</v>
      </c>
      <c r="E8" s="11" t="s">
        <v>2981</v>
      </c>
      <c r="F8" s="11" t="s">
        <v>2946</v>
      </c>
    </row>
    <row r="9" spans="1:23" s="11" customFormat="1" x14ac:dyDescent="0.15">
      <c r="B9" s="11" t="s">
        <v>1567</v>
      </c>
      <c r="C9" s="11" t="s">
        <v>2132</v>
      </c>
      <c r="D9" s="11" t="s">
        <v>3000</v>
      </c>
      <c r="E9" s="11" t="s">
        <v>2982</v>
      </c>
      <c r="F9" s="11" t="s">
        <v>2947</v>
      </c>
    </row>
    <row r="10" spans="1:23" s="11" customFormat="1" x14ac:dyDescent="0.15">
      <c r="B10" s="11" t="s">
        <v>1574</v>
      </c>
      <c r="C10" s="11" t="s">
        <v>2944</v>
      </c>
      <c r="D10" s="11" t="s">
        <v>3001</v>
      </c>
      <c r="E10" s="11" t="s">
        <v>2983</v>
      </c>
      <c r="F10" s="11" t="s">
        <v>2948</v>
      </c>
    </row>
    <row r="11" spans="1:23" s="11" customFormat="1" x14ac:dyDescent="0.15">
      <c r="B11" s="11" t="s">
        <v>1581</v>
      </c>
      <c r="C11" s="11" t="s">
        <v>2916</v>
      </c>
      <c r="D11" s="11" t="s">
        <v>3002</v>
      </c>
      <c r="E11" s="11" t="s">
        <v>2984</v>
      </c>
      <c r="F11" s="11" t="s">
        <v>2949</v>
      </c>
    </row>
    <row r="12" spans="1:23" s="11" customFormat="1" x14ac:dyDescent="0.15">
      <c r="B12" s="11" t="s">
        <v>1587</v>
      </c>
      <c r="C12" s="11" t="s">
        <v>2917</v>
      </c>
      <c r="D12" s="11" t="s">
        <v>2998</v>
      </c>
      <c r="E12" s="11" t="s">
        <v>2980</v>
      </c>
      <c r="F12" s="11" t="s">
        <v>2950</v>
      </c>
    </row>
    <row r="13" spans="1:23" s="11" customFormat="1" x14ac:dyDescent="0.15">
      <c r="B13" s="11" t="s">
        <v>1591</v>
      </c>
      <c r="C13" s="11" t="s">
        <v>2918</v>
      </c>
      <c r="D13" s="11" t="s">
        <v>3003</v>
      </c>
      <c r="E13" s="11" t="s">
        <v>2985</v>
      </c>
      <c r="F13" s="11" t="s">
        <v>2951</v>
      </c>
      <c r="G13" s="13"/>
    </row>
    <row r="14" spans="1:23" s="11" customFormat="1" x14ac:dyDescent="0.15">
      <c r="B14" s="11" t="s">
        <v>1597</v>
      </c>
      <c r="C14" s="11" t="s">
        <v>2919</v>
      </c>
      <c r="D14" s="11" t="s">
        <v>3003</v>
      </c>
      <c r="E14" s="11" t="s">
        <v>2985</v>
      </c>
      <c r="F14" s="11" t="s">
        <v>2952</v>
      </c>
      <c r="G14" s="13"/>
    </row>
    <row r="15" spans="1:23" s="11" customFormat="1" x14ac:dyDescent="0.15">
      <c r="B15" s="11" t="s">
        <v>1604</v>
      </c>
      <c r="C15" s="11" t="s">
        <v>2920</v>
      </c>
      <c r="D15" s="11" t="s">
        <v>3004</v>
      </c>
      <c r="E15" s="11" t="s">
        <v>2986</v>
      </c>
      <c r="F15" s="11" t="s">
        <v>2953</v>
      </c>
      <c r="G15" s="13"/>
    </row>
    <row r="16" spans="1:23" s="11" customFormat="1" x14ac:dyDescent="0.15">
      <c r="B16" s="11" t="s">
        <v>1612</v>
      </c>
      <c r="C16" s="11" t="s">
        <v>2133</v>
      </c>
      <c r="D16" s="11" t="s">
        <v>2998</v>
      </c>
      <c r="E16" s="11" t="s">
        <v>2980</v>
      </c>
      <c r="F16" s="11" t="s">
        <v>2954</v>
      </c>
      <c r="G16" s="13"/>
    </row>
    <row r="17" spans="1:9" s="11" customFormat="1" x14ac:dyDescent="0.15">
      <c r="B17" s="11" t="s">
        <v>1619</v>
      </c>
      <c r="C17" s="11" t="s">
        <v>2921</v>
      </c>
      <c r="D17" s="11" t="s">
        <v>3005</v>
      </c>
      <c r="E17" s="11" t="s">
        <v>2987</v>
      </c>
      <c r="F17" s="11" t="s">
        <v>2955</v>
      </c>
      <c r="G17" s="13"/>
    </row>
    <row r="18" spans="1:9" s="11" customFormat="1" x14ac:dyDescent="0.15">
      <c r="B18" s="11" t="s">
        <v>1626</v>
      </c>
      <c r="C18" s="11" t="s">
        <v>2922</v>
      </c>
      <c r="D18" s="11" t="s">
        <v>3006</v>
      </c>
      <c r="E18" s="11" t="s">
        <v>2988</v>
      </c>
      <c r="F18" s="11" t="s">
        <v>2956</v>
      </c>
      <c r="G18" s="13"/>
    </row>
    <row r="19" spans="1:9" s="11" customFormat="1" x14ac:dyDescent="0.15">
      <c r="B19" s="11" t="s">
        <v>1633</v>
      </c>
      <c r="C19" s="11" t="s">
        <v>2923</v>
      </c>
      <c r="D19" s="11" t="s">
        <v>2998</v>
      </c>
      <c r="E19" s="11" t="s">
        <v>2980</v>
      </c>
      <c r="F19" s="11" t="s">
        <v>2957</v>
      </c>
    </row>
    <row r="20" spans="1:9" s="11" customFormat="1" x14ac:dyDescent="0.15">
      <c r="B20" s="11" t="s">
        <v>1640</v>
      </c>
      <c r="C20" s="11" t="s">
        <v>2924</v>
      </c>
      <c r="D20" s="11" t="s">
        <v>2998</v>
      </c>
      <c r="E20" s="11" t="s">
        <v>2980</v>
      </c>
      <c r="F20" s="11" t="s">
        <v>2958</v>
      </c>
    </row>
    <row r="21" spans="1:9" s="11" customFormat="1" x14ac:dyDescent="0.15">
      <c r="B21" s="11" t="s">
        <v>1647</v>
      </c>
      <c r="C21" s="11" t="s">
        <v>2925</v>
      </c>
      <c r="D21" s="11" t="s">
        <v>3007</v>
      </c>
      <c r="E21" s="11" t="s">
        <v>2989</v>
      </c>
      <c r="F21" s="11" t="s">
        <v>2959</v>
      </c>
    </row>
    <row r="22" spans="1:9" s="11" customFormat="1" x14ac:dyDescent="0.15">
      <c r="B22" s="11" t="s">
        <v>1653</v>
      </c>
      <c r="C22" s="11" t="s">
        <v>2926</v>
      </c>
      <c r="D22" s="11" t="s">
        <v>2998</v>
      </c>
      <c r="E22" s="11" t="s">
        <v>2980</v>
      </c>
      <c r="F22" s="11" t="s">
        <v>2960</v>
      </c>
      <c r="H22" s="13"/>
    </row>
    <row r="23" spans="1:9" s="11" customFormat="1" x14ac:dyDescent="0.15">
      <c r="A23" s="11" t="s">
        <v>398</v>
      </c>
      <c r="B23" s="11" t="s">
        <v>1660</v>
      </c>
      <c r="C23" s="11" t="s">
        <v>2927</v>
      </c>
      <c r="D23" s="11" t="s">
        <v>2998</v>
      </c>
      <c r="E23" s="11" t="s">
        <v>2980</v>
      </c>
      <c r="F23" s="11" t="s">
        <v>2961</v>
      </c>
      <c r="H23" s="13"/>
    </row>
    <row r="24" spans="1:9" s="11" customFormat="1" x14ac:dyDescent="0.15">
      <c r="A24" s="11" t="s">
        <v>398</v>
      </c>
      <c r="B24" s="11" t="s">
        <v>1667</v>
      </c>
      <c r="C24" s="11" t="s">
        <v>2928</v>
      </c>
      <c r="D24" s="11" t="s">
        <v>2999</v>
      </c>
      <c r="E24" s="11" t="s">
        <v>2981</v>
      </c>
      <c r="F24" s="11" t="s">
        <v>2962</v>
      </c>
    </row>
    <row r="25" spans="1:9" s="11" customFormat="1" x14ac:dyDescent="0.15">
      <c r="A25" s="11" t="s">
        <v>398</v>
      </c>
      <c r="B25" s="11" t="s">
        <v>1674</v>
      </c>
      <c r="C25" s="11" t="s">
        <v>2134</v>
      </c>
      <c r="D25" s="11" t="s">
        <v>3000</v>
      </c>
      <c r="E25" s="11" t="s">
        <v>2982</v>
      </c>
      <c r="F25" s="11" t="s">
        <v>2963</v>
      </c>
      <c r="H25" s="13"/>
    </row>
    <row r="26" spans="1:9" s="11" customFormat="1" x14ac:dyDescent="0.15">
      <c r="A26" s="11" t="s">
        <v>398</v>
      </c>
      <c r="B26" s="11" t="s">
        <v>1681</v>
      </c>
      <c r="C26" s="11" t="s">
        <v>2929</v>
      </c>
      <c r="D26" s="11" t="s">
        <v>3001</v>
      </c>
      <c r="E26" s="11" t="s">
        <v>2983</v>
      </c>
      <c r="F26" s="11" t="s">
        <v>2964</v>
      </c>
      <c r="H26" s="13"/>
    </row>
    <row r="27" spans="1:9" s="11" customFormat="1" x14ac:dyDescent="0.15">
      <c r="A27" s="11" t="s">
        <v>398</v>
      </c>
      <c r="B27" s="11" t="s">
        <v>1688</v>
      </c>
      <c r="C27" s="11" t="s">
        <v>2930</v>
      </c>
      <c r="D27" s="11" t="s">
        <v>3008</v>
      </c>
      <c r="E27" s="11" t="s">
        <v>2990</v>
      </c>
      <c r="F27" s="11" t="s">
        <v>2965</v>
      </c>
    </row>
    <row r="28" spans="1:9" s="11" customFormat="1" x14ac:dyDescent="0.15">
      <c r="A28" s="11" t="s">
        <v>398</v>
      </c>
      <c r="B28" s="11" t="s">
        <v>1695</v>
      </c>
      <c r="C28" s="11" t="s">
        <v>2931</v>
      </c>
      <c r="D28" s="11" t="s">
        <v>3009</v>
      </c>
      <c r="E28" s="11" t="s">
        <v>2991</v>
      </c>
      <c r="F28" s="11" t="s">
        <v>2966</v>
      </c>
      <c r="I28" s="42"/>
    </row>
    <row r="29" spans="1:9" s="11" customFormat="1" x14ac:dyDescent="0.15">
      <c r="A29" s="11" t="s">
        <v>398</v>
      </c>
      <c r="B29" s="11" t="s">
        <v>1702</v>
      </c>
      <c r="C29" s="11" t="s">
        <v>2932</v>
      </c>
      <c r="D29" s="11" t="s">
        <v>3010</v>
      </c>
      <c r="E29" s="11" t="s">
        <v>2992</v>
      </c>
      <c r="F29" s="11" t="s">
        <v>2967</v>
      </c>
      <c r="I29" s="42"/>
    </row>
    <row r="30" spans="1:9" s="11" customFormat="1" x14ac:dyDescent="0.15">
      <c r="A30" s="11" t="s">
        <v>398</v>
      </c>
      <c r="B30" s="11" t="s">
        <v>1709</v>
      </c>
      <c r="C30" s="11" t="s">
        <v>2933</v>
      </c>
      <c r="D30" s="11" t="s">
        <v>3011</v>
      </c>
      <c r="E30" s="11" t="s">
        <v>2993</v>
      </c>
      <c r="F30" s="11" t="s">
        <v>2968</v>
      </c>
      <c r="I30" s="42"/>
    </row>
    <row r="31" spans="1:9" s="11" customFormat="1" x14ac:dyDescent="0.15">
      <c r="A31" s="11" t="s">
        <v>731</v>
      </c>
      <c r="B31" s="11" t="s">
        <v>1716</v>
      </c>
      <c r="C31" s="11" t="s">
        <v>2934</v>
      </c>
      <c r="D31" s="11" t="s">
        <v>3004</v>
      </c>
      <c r="E31" s="11" t="s">
        <v>2986</v>
      </c>
      <c r="F31" s="11" t="s">
        <v>2969</v>
      </c>
      <c r="I31" s="42"/>
    </row>
    <row r="32" spans="1:9" s="11" customFormat="1" x14ac:dyDescent="0.15">
      <c r="A32" s="11" t="s">
        <v>731</v>
      </c>
      <c r="B32" s="11" t="s">
        <v>1724</v>
      </c>
      <c r="C32" s="11" t="s">
        <v>2135</v>
      </c>
      <c r="D32" s="11" t="s">
        <v>2998</v>
      </c>
      <c r="E32" s="11" t="s">
        <v>2980</v>
      </c>
      <c r="F32" s="11" t="s">
        <v>2970</v>
      </c>
      <c r="I32" s="42"/>
    </row>
    <row r="33" spans="1:23" s="11" customFormat="1" x14ac:dyDescent="0.15">
      <c r="A33" s="11" t="s">
        <v>731</v>
      </c>
      <c r="B33" s="11" t="s">
        <v>1731</v>
      </c>
      <c r="C33" s="11" t="s">
        <v>2935</v>
      </c>
      <c r="D33" s="11" t="s">
        <v>3005</v>
      </c>
      <c r="E33" s="11" t="s">
        <v>2987</v>
      </c>
      <c r="F33" s="11" t="s">
        <v>2971</v>
      </c>
      <c r="I33" s="42"/>
    </row>
    <row r="34" spans="1:23" s="11" customFormat="1" x14ac:dyDescent="0.15">
      <c r="A34" s="11" t="s">
        <v>731</v>
      </c>
      <c r="B34" s="11" t="s">
        <v>1738</v>
      </c>
      <c r="C34" s="11" t="s">
        <v>2936</v>
      </c>
      <c r="D34" s="11" t="s">
        <v>3012</v>
      </c>
      <c r="E34" s="11" t="s">
        <v>2994</v>
      </c>
      <c r="F34" s="11" t="s">
        <v>2972</v>
      </c>
      <c r="I34" s="42"/>
    </row>
    <row r="35" spans="1:23" s="13" customFormat="1" x14ac:dyDescent="0.15">
      <c r="A35" s="11" t="s">
        <v>731</v>
      </c>
      <c r="B35" s="11" t="s">
        <v>1745</v>
      </c>
      <c r="C35" s="13" t="s">
        <v>2937</v>
      </c>
      <c r="D35" s="11" t="s">
        <v>3002</v>
      </c>
      <c r="E35" s="13" t="s">
        <v>2984</v>
      </c>
      <c r="F35" s="13" t="s">
        <v>2973</v>
      </c>
      <c r="I35" s="42"/>
      <c r="Q35" s="11"/>
      <c r="R35" s="11"/>
      <c r="S35" s="11"/>
      <c r="T35" s="11"/>
      <c r="U35" s="11"/>
      <c r="V35" s="11"/>
      <c r="W35" s="11"/>
    </row>
    <row r="36" spans="1:23" s="11" customFormat="1" x14ac:dyDescent="0.15">
      <c r="A36" s="11" t="s">
        <v>731</v>
      </c>
      <c r="B36" s="11" t="s">
        <v>1752</v>
      </c>
      <c r="C36" s="11" t="s">
        <v>2938</v>
      </c>
      <c r="D36" s="11" t="s">
        <v>3007</v>
      </c>
      <c r="E36" s="11" t="s">
        <v>2989</v>
      </c>
      <c r="F36" s="11" t="s">
        <v>2974</v>
      </c>
      <c r="I36" s="42"/>
    </row>
    <row r="37" spans="1:23" s="11" customFormat="1" x14ac:dyDescent="0.15">
      <c r="A37" s="11" t="s">
        <v>731</v>
      </c>
      <c r="B37" s="11" t="s">
        <v>1759</v>
      </c>
      <c r="C37" s="11" t="s">
        <v>2939</v>
      </c>
      <c r="D37" s="11" t="s">
        <v>3013</v>
      </c>
      <c r="E37" s="11" t="s">
        <v>2995</v>
      </c>
      <c r="F37" s="11" t="s">
        <v>2975</v>
      </c>
    </row>
    <row r="38" spans="1:23" s="11" customFormat="1" x14ac:dyDescent="0.15">
      <c r="A38" s="11" t="s">
        <v>731</v>
      </c>
      <c r="B38" s="11" t="s">
        <v>1766</v>
      </c>
      <c r="C38" s="11" t="s">
        <v>2940</v>
      </c>
      <c r="D38" s="11" t="s">
        <v>3002</v>
      </c>
      <c r="E38" s="11" t="s">
        <v>2984</v>
      </c>
      <c r="F38" s="11" t="s">
        <v>2976</v>
      </c>
    </row>
    <row r="39" spans="1:23" s="11" customFormat="1" x14ac:dyDescent="0.15">
      <c r="A39" s="11" t="s">
        <v>996</v>
      </c>
      <c r="B39" s="11" t="s">
        <v>1772</v>
      </c>
      <c r="C39" s="11" t="s">
        <v>2941</v>
      </c>
      <c r="D39" s="11" t="s">
        <v>3005</v>
      </c>
      <c r="E39" s="11" t="s">
        <v>2987</v>
      </c>
      <c r="F39" s="11" t="s">
        <v>2977</v>
      </c>
    </row>
    <row r="40" spans="1:23" s="11" customFormat="1" x14ac:dyDescent="0.15">
      <c r="A40" s="11" t="s">
        <v>996</v>
      </c>
      <c r="B40" s="11" t="s">
        <v>1778</v>
      </c>
      <c r="C40" s="42" t="s">
        <v>2942</v>
      </c>
      <c r="D40" s="11" t="s">
        <v>3002</v>
      </c>
      <c r="E40" s="11" t="s">
        <v>2984</v>
      </c>
      <c r="F40" s="11" t="s">
        <v>2978</v>
      </c>
    </row>
    <row r="41" spans="1:23" s="11" customFormat="1" x14ac:dyDescent="0.15">
      <c r="A41" s="11" t="s">
        <v>996</v>
      </c>
      <c r="B41" s="11" t="s">
        <v>1784</v>
      </c>
      <c r="C41" s="42" t="s">
        <v>2943</v>
      </c>
      <c r="D41" s="11" t="s">
        <v>3014</v>
      </c>
      <c r="E41" s="11" t="s">
        <v>2996</v>
      </c>
      <c r="F41" s="42" t="s">
        <v>2979</v>
      </c>
    </row>
    <row r="42" spans="1:23" s="11" customFormat="1" x14ac:dyDescent="0.15">
      <c r="C42" s="42"/>
      <c r="F42" s="42"/>
    </row>
    <row r="43" spans="1:23" s="11" customFormat="1" x14ac:dyDescent="0.15">
      <c r="C43" s="13"/>
      <c r="F43" s="13"/>
    </row>
    <row r="44" spans="1:23" s="11" customFormat="1" x14ac:dyDescent="0.15">
      <c r="C44" s="13"/>
      <c r="F44" s="13"/>
    </row>
    <row r="45" spans="1:23" s="11" customFormat="1" x14ac:dyDescent="0.15">
      <c r="C45" s="13"/>
      <c r="F45" s="13"/>
    </row>
    <row r="46" spans="1:23" s="11" customFormat="1" x14ac:dyDescent="0.15">
      <c r="C46" s="13"/>
      <c r="F46" s="13"/>
    </row>
    <row r="47" spans="1:23" s="11" customFormat="1" x14ac:dyDescent="0.15">
      <c r="C47" s="13"/>
      <c r="F47" s="13"/>
    </row>
    <row r="48" spans="1:23" s="11" customFormat="1" x14ac:dyDescent="0.15">
      <c r="F48" s="13"/>
    </row>
    <row r="49" spans="6:6" s="11" customFormat="1" x14ac:dyDescent="0.15">
      <c r="F49" s="13"/>
    </row>
    <row r="50" spans="6:6" s="11" customFormat="1" x14ac:dyDescent="0.15">
      <c r="F50" s="13"/>
    </row>
    <row r="51" spans="6:6" s="11" customFormat="1" x14ac:dyDescent="0.15">
      <c r="F51" s="13"/>
    </row>
    <row r="52" spans="6:6" s="11" customFormat="1" x14ac:dyDescent="0.15">
      <c r="F52" s="13"/>
    </row>
    <row r="53" spans="6:6" s="11" customFormat="1" x14ac:dyDescent="0.15">
      <c r="F53" s="13"/>
    </row>
    <row r="54" spans="6:6" s="11" customFormat="1" x14ac:dyDescent="0.15">
      <c r="F54" s="13"/>
    </row>
    <row r="55" spans="6:6" s="11" customFormat="1" x14ac:dyDescent="0.15"/>
    <row r="56" spans="6:6" s="11" customFormat="1" x14ac:dyDescent="0.15"/>
    <row r="57" spans="6:6" s="11" customFormat="1" x14ac:dyDescent="0.15"/>
    <row r="58" spans="6:6" s="11" customFormat="1" x14ac:dyDescent="0.15"/>
    <row r="59" spans="6:6" s="11" customFormat="1" x14ac:dyDescent="0.15"/>
    <row r="60" spans="6:6" s="11" customFormat="1" x14ac:dyDescent="0.15"/>
    <row r="61" spans="6:6" s="11" customFormat="1" x14ac:dyDescent="0.15"/>
    <row r="62" spans="6:6" s="11" customFormat="1" x14ac:dyDescent="0.15"/>
    <row r="63" spans="6:6" s="11" customFormat="1" x14ac:dyDescent="0.15"/>
    <row r="64" spans="6:6" s="11" customFormat="1" x14ac:dyDescent="0.15"/>
    <row r="65" spans="3:3" s="11" customFormat="1" x14ac:dyDescent="0.15">
      <c r="C65" s="13"/>
    </row>
  </sheetData>
  <phoneticPr fontId="11" type="noConversion"/>
  <pageMargins left="0.7" right="0.7" top="0.75" bottom="0.75" header="0.3" footer="0.3"/>
  <pageSetup paperSize="9" orientation="portrait" verticalDpi="0" r:id="rId1"/>
  <legacy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2C19AF-EDD6-4F25-A154-2FC863B9C141}">
  <sheetPr codeName="Sheet36">
    <tabColor theme="2"/>
  </sheetPr>
  <dimension ref="A1:O512"/>
  <sheetViews>
    <sheetView topLeftCell="A403" workbookViewId="0"/>
  </sheetViews>
  <sheetFormatPr defaultRowHeight="13.5" x14ac:dyDescent="0.15"/>
  <cols>
    <col min="1" max="1" width="15.375" bestFit="1" customWidth="1"/>
  </cols>
  <sheetData>
    <row r="1" spans="1:15" x14ac:dyDescent="0.15">
      <c r="A1" t="s">
        <v>431</v>
      </c>
      <c r="B1" s="20" t="s">
        <v>479</v>
      </c>
      <c r="C1" s="20"/>
      <c r="D1" s="20"/>
    </row>
    <row r="2" spans="1:15" ht="14.25" x14ac:dyDescent="0.15">
      <c r="A2" s="40" t="s">
        <v>70</v>
      </c>
      <c r="B2" s="16" t="s">
        <v>478</v>
      </c>
      <c r="C2" s="16" t="s">
        <v>392</v>
      </c>
      <c r="D2" s="16" t="s">
        <v>477</v>
      </c>
      <c r="E2" s="16" t="s">
        <v>476</v>
      </c>
      <c r="F2" s="16" t="s">
        <v>475</v>
      </c>
      <c r="G2" s="16" t="s">
        <v>474</v>
      </c>
      <c r="H2" s="16" t="s">
        <v>473</v>
      </c>
      <c r="I2" s="16" t="s">
        <v>472</v>
      </c>
      <c r="J2" s="16" t="s">
        <v>471</v>
      </c>
      <c r="K2" s="16" t="s">
        <v>470</v>
      </c>
      <c r="L2" s="16" t="s">
        <v>469</v>
      </c>
      <c r="M2" s="16" t="s">
        <v>468</v>
      </c>
      <c r="N2" s="16" t="s">
        <v>467</v>
      </c>
      <c r="O2" s="16" t="s">
        <v>466</v>
      </c>
    </row>
    <row r="3" spans="1:15" x14ac:dyDescent="0.15">
      <c r="B3" s="15" t="s">
        <v>72</v>
      </c>
      <c r="C3" s="15" t="s">
        <v>73</v>
      </c>
      <c r="D3" s="15" t="s">
        <v>73</v>
      </c>
      <c r="E3" s="15" t="s">
        <v>74</v>
      </c>
      <c r="F3" s="15" t="s">
        <v>74</v>
      </c>
      <c r="G3" s="15" t="s">
        <v>74</v>
      </c>
      <c r="H3" s="15" t="s">
        <v>74</v>
      </c>
      <c r="I3" s="15" t="s">
        <v>74</v>
      </c>
      <c r="J3" s="15" t="s">
        <v>74</v>
      </c>
      <c r="K3" s="15" t="s">
        <v>74</v>
      </c>
      <c r="L3" s="15" t="s">
        <v>74</v>
      </c>
      <c r="M3" s="15" t="s">
        <v>74</v>
      </c>
      <c r="N3" s="15" t="s">
        <v>74</v>
      </c>
      <c r="O3" s="15" t="s">
        <v>74</v>
      </c>
    </row>
    <row r="4" spans="1:15" x14ac:dyDescent="0.15">
      <c r="B4" s="14" t="s">
        <v>75</v>
      </c>
      <c r="C4" s="14" t="s">
        <v>73</v>
      </c>
      <c r="D4" s="14" t="s">
        <v>73</v>
      </c>
      <c r="E4" s="14" t="s">
        <v>119</v>
      </c>
      <c r="F4" s="14" t="s">
        <v>75</v>
      </c>
      <c r="G4" s="14" t="s">
        <v>75</v>
      </c>
      <c r="H4" s="14" t="s">
        <v>75</v>
      </c>
      <c r="I4" s="14" t="s">
        <v>75</v>
      </c>
      <c r="J4" s="14" t="s">
        <v>75</v>
      </c>
      <c r="K4" s="14" t="s">
        <v>75</v>
      </c>
      <c r="L4" s="14" t="s">
        <v>75</v>
      </c>
      <c r="M4" s="14" t="s">
        <v>75</v>
      </c>
      <c r="N4" s="14" t="s">
        <v>75</v>
      </c>
      <c r="O4" s="14" t="s">
        <v>75</v>
      </c>
    </row>
    <row r="5" spans="1:15" x14ac:dyDescent="0.15">
      <c r="B5" s="15" t="s">
        <v>81</v>
      </c>
      <c r="C5" s="15" t="s">
        <v>193</v>
      </c>
      <c r="D5" s="15" t="s">
        <v>465</v>
      </c>
      <c r="E5" s="15" t="s">
        <v>464</v>
      </c>
      <c r="F5" s="15" t="s">
        <v>463</v>
      </c>
      <c r="G5" s="15" t="s">
        <v>462</v>
      </c>
      <c r="H5" s="15" t="s">
        <v>461</v>
      </c>
      <c r="I5" s="15" t="s">
        <v>460</v>
      </c>
      <c r="J5" s="15" t="s">
        <v>459</v>
      </c>
      <c r="K5" s="15" t="s">
        <v>458</v>
      </c>
      <c r="L5" s="15" t="s">
        <v>457</v>
      </c>
      <c r="M5" s="15" t="s">
        <v>456</v>
      </c>
      <c r="N5" s="15" t="s">
        <v>455</v>
      </c>
      <c r="O5" s="15" t="s">
        <v>454</v>
      </c>
    </row>
    <row r="6" spans="1:15" x14ac:dyDescent="0.15">
      <c r="B6" s="14" t="s">
        <v>77</v>
      </c>
      <c r="C6" s="14"/>
      <c r="D6" s="14"/>
      <c r="E6" s="14"/>
      <c r="F6" s="14"/>
      <c r="G6" s="14"/>
      <c r="H6" s="14"/>
      <c r="I6" s="14"/>
      <c r="J6" s="14"/>
      <c r="K6" s="14"/>
      <c r="L6" s="14"/>
      <c r="M6" s="14"/>
      <c r="N6" s="14"/>
      <c r="O6" s="14"/>
    </row>
    <row r="7" spans="1:15" s="13" customFormat="1" x14ac:dyDescent="0.15">
      <c r="B7" s="13" t="s">
        <v>1800</v>
      </c>
      <c r="E7" s="13" t="s">
        <v>449</v>
      </c>
      <c r="F7" s="13">
        <v>0</v>
      </c>
      <c r="G7" s="13">
        <v>1</v>
      </c>
      <c r="H7" s="13">
        <v>1</v>
      </c>
      <c r="I7" s="13">
        <v>1</v>
      </c>
      <c r="J7" s="13">
        <v>1</v>
      </c>
      <c r="K7" s="13">
        <v>1</v>
      </c>
      <c r="L7" s="13">
        <v>1</v>
      </c>
      <c r="M7" s="13">
        <v>1</v>
      </c>
      <c r="N7" s="13">
        <v>1</v>
      </c>
      <c r="O7" s="13">
        <v>1</v>
      </c>
    </row>
    <row r="8" spans="1:15" s="13" customFormat="1" x14ac:dyDescent="0.15">
      <c r="B8" s="13" t="s">
        <v>2263</v>
      </c>
      <c r="E8" s="13" t="s">
        <v>448</v>
      </c>
      <c r="F8" s="13">
        <v>0</v>
      </c>
      <c r="G8" s="13">
        <v>1</v>
      </c>
      <c r="H8" s="13">
        <v>1</v>
      </c>
      <c r="I8" s="13">
        <v>1</v>
      </c>
      <c r="J8" s="13">
        <v>1</v>
      </c>
      <c r="K8" s="13">
        <v>1</v>
      </c>
      <c r="L8" s="13">
        <v>1</v>
      </c>
      <c r="M8" s="13">
        <v>1</v>
      </c>
      <c r="N8" s="13">
        <v>1</v>
      </c>
      <c r="O8" s="13">
        <v>1</v>
      </c>
    </row>
    <row r="9" spans="1:15" s="13" customFormat="1" x14ac:dyDescent="0.15">
      <c r="B9" s="13" t="s">
        <v>2265</v>
      </c>
      <c r="E9" s="13" t="s">
        <v>449</v>
      </c>
      <c r="F9" s="13">
        <v>0</v>
      </c>
      <c r="G9" s="13">
        <v>1</v>
      </c>
      <c r="H9" s="13">
        <v>1</v>
      </c>
      <c r="I9" s="13">
        <v>1</v>
      </c>
      <c r="J9" s="13">
        <v>1</v>
      </c>
      <c r="K9" s="13">
        <v>1</v>
      </c>
      <c r="L9" s="13">
        <v>1</v>
      </c>
      <c r="M9" s="13">
        <v>1</v>
      </c>
      <c r="N9" s="13">
        <v>1</v>
      </c>
      <c r="O9" s="13">
        <v>1</v>
      </c>
    </row>
    <row r="10" spans="1:15" s="13" customFormat="1" x14ac:dyDescent="0.15">
      <c r="B10" s="13" t="s">
        <v>2267</v>
      </c>
      <c r="E10" s="13" t="s">
        <v>448</v>
      </c>
      <c r="F10" s="13">
        <v>0</v>
      </c>
      <c r="G10" s="13">
        <v>1</v>
      </c>
      <c r="H10" s="13">
        <v>1</v>
      </c>
      <c r="I10" s="13">
        <v>1</v>
      </c>
      <c r="J10" s="13">
        <v>1</v>
      </c>
      <c r="K10" s="13">
        <v>1</v>
      </c>
      <c r="L10" s="13">
        <v>1</v>
      </c>
      <c r="M10" s="13">
        <v>1</v>
      </c>
      <c r="N10" s="13">
        <v>1</v>
      </c>
      <c r="O10" s="13">
        <v>1</v>
      </c>
    </row>
    <row r="11" spans="1:15" s="13" customFormat="1" x14ac:dyDescent="0.15">
      <c r="B11" s="13" t="s">
        <v>2269</v>
      </c>
      <c r="E11" s="13" t="s">
        <v>450</v>
      </c>
      <c r="F11" s="13">
        <v>0</v>
      </c>
      <c r="G11" s="13">
        <v>1</v>
      </c>
      <c r="H11" s="13">
        <v>1</v>
      </c>
      <c r="I11" s="13">
        <v>1</v>
      </c>
      <c r="J11" s="13">
        <v>1</v>
      </c>
      <c r="K11" s="13">
        <v>1</v>
      </c>
      <c r="L11" s="13">
        <v>1</v>
      </c>
      <c r="M11" s="13">
        <v>1</v>
      </c>
      <c r="N11" s="13">
        <v>1</v>
      </c>
      <c r="O11" s="13">
        <v>1</v>
      </c>
    </row>
    <row r="12" spans="1:15" s="13" customFormat="1" x14ac:dyDescent="0.15">
      <c r="B12" s="13" t="s">
        <v>2273</v>
      </c>
      <c r="E12" s="13" t="s">
        <v>449</v>
      </c>
      <c r="F12" s="13">
        <v>0</v>
      </c>
      <c r="G12" s="13">
        <v>1</v>
      </c>
      <c r="H12" s="13">
        <v>1</v>
      </c>
      <c r="I12" s="13">
        <v>1</v>
      </c>
      <c r="J12" s="13">
        <v>1</v>
      </c>
      <c r="K12" s="13">
        <v>1</v>
      </c>
      <c r="L12" s="13">
        <v>1</v>
      </c>
      <c r="M12" s="13">
        <v>1</v>
      </c>
      <c r="N12" s="13">
        <v>1</v>
      </c>
      <c r="O12" s="13">
        <v>1</v>
      </c>
    </row>
    <row r="13" spans="1:15" s="13" customFormat="1" x14ac:dyDescent="0.15">
      <c r="B13" s="13" t="s">
        <v>2275</v>
      </c>
      <c r="E13" s="13" t="s">
        <v>451</v>
      </c>
      <c r="F13" s="13">
        <v>0</v>
      </c>
      <c r="G13" s="13">
        <v>1</v>
      </c>
      <c r="H13" s="13">
        <v>1</v>
      </c>
      <c r="I13" s="13">
        <v>1</v>
      </c>
      <c r="J13" s="13">
        <v>1</v>
      </c>
      <c r="K13" s="13">
        <v>1</v>
      </c>
      <c r="L13" s="13">
        <v>1</v>
      </c>
      <c r="M13" s="13">
        <v>1</v>
      </c>
      <c r="N13" s="13">
        <v>1</v>
      </c>
      <c r="O13" s="13">
        <v>1</v>
      </c>
    </row>
    <row r="14" spans="1:15" s="13" customFormat="1" x14ac:dyDescent="0.15">
      <c r="B14" s="13" t="s">
        <v>2277</v>
      </c>
      <c r="E14" s="13" t="s">
        <v>448</v>
      </c>
      <c r="F14" s="13">
        <v>0</v>
      </c>
      <c r="G14" s="13">
        <v>1</v>
      </c>
      <c r="H14" s="13">
        <v>1</v>
      </c>
      <c r="I14" s="13">
        <v>1</v>
      </c>
      <c r="J14" s="13">
        <v>1</v>
      </c>
      <c r="K14" s="13">
        <v>1</v>
      </c>
      <c r="L14" s="13">
        <v>1</v>
      </c>
      <c r="M14" s="13">
        <v>1</v>
      </c>
      <c r="N14" s="13">
        <v>1</v>
      </c>
      <c r="O14" s="13">
        <v>1</v>
      </c>
    </row>
    <row r="15" spans="1:15" s="13" customFormat="1" x14ac:dyDescent="0.15">
      <c r="B15" s="13" t="s">
        <v>2281</v>
      </c>
      <c r="E15" s="13" t="s">
        <v>449</v>
      </c>
      <c r="F15" s="13">
        <v>0</v>
      </c>
      <c r="G15" s="13">
        <v>1</v>
      </c>
      <c r="H15" s="13">
        <v>1</v>
      </c>
      <c r="I15" s="13">
        <v>1</v>
      </c>
      <c r="J15" s="13">
        <v>1</v>
      </c>
      <c r="K15" s="13">
        <v>1</v>
      </c>
      <c r="L15" s="13">
        <v>1</v>
      </c>
      <c r="M15" s="13">
        <v>1</v>
      </c>
      <c r="N15" s="13">
        <v>1</v>
      </c>
      <c r="O15" s="13">
        <v>1</v>
      </c>
    </row>
    <row r="16" spans="1:15" s="11" customFormat="1" x14ac:dyDescent="0.15">
      <c r="B16" s="11" t="s">
        <v>2284</v>
      </c>
      <c r="E16" s="11" t="s">
        <v>448</v>
      </c>
      <c r="F16" s="11">
        <v>0</v>
      </c>
      <c r="G16" s="11">
        <v>1</v>
      </c>
      <c r="H16" s="11">
        <v>1</v>
      </c>
      <c r="I16" s="11">
        <v>1</v>
      </c>
      <c r="J16" s="11">
        <v>1</v>
      </c>
      <c r="K16" s="11">
        <v>1</v>
      </c>
      <c r="L16" s="11">
        <v>1</v>
      </c>
      <c r="M16" s="11">
        <v>1</v>
      </c>
      <c r="N16" s="11">
        <v>1</v>
      </c>
      <c r="O16" s="11">
        <v>1</v>
      </c>
    </row>
    <row r="17" spans="2:15" s="11" customFormat="1" x14ac:dyDescent="0.15">
      <c r="B17" s="11" t="s">
        <v>2286</v>
      </c>
      <c r="E17" s="11" t="s">
        <v>449</v>
      </c>
      <c r="F17" s="11">
        <v>0</v>
      </c>
      <c r="G17" s="11">
        <v>1</v>
      </c>
      <c r="H17" s="11">
        <v>1</v>
      </c>
      <c r="I17" s="11">
        <v>1</v>
      </c>
      <c r="J17" s="11">
        <v>1</v>
      </c>
      <c r="K17" s="11">
        <v>1</v>
      </c>
      <c r="L17" s="11">
        <v>1</v>
      </c>
      <c r="M17" s="11">
        <v>1</v>
      </c>
      <c r="N17" s="11">
        <v>1</v>
      </c>
      <c r="O17" s="11">
        <v>1</v>
      </c>
    </row>
    <row r="18" spans="2:15" s="11" customFormat="1" x14ac:dyDescent="0.15">
      <c r="B18" s="11" t="s">
        <v>2288</v>
      </c>
      <c r="E18" s="11" t="s">
        <v>448</v>
      </c>
      <c r="F18" s="11">
        <v>0</v>
      </c>
      <c r="G18" s="11">
        <v>1</v>
      </c>
      <c r="H18" s="11">
        <v>1</v>
      </c>
      <c r="I18" s="11">
        <v>1</v>
      </c>
      <c r="J18" s="11">
        <v>1</v>
      </c>
      <c r="K18" s="11">
        <v>1</v>
      </c>
      <c r="L18" s="11">
        <v>1</v>
      </c>
      <c r="M18" s="11">
        <v>1</v>
      </c>
      <c r="N18" s="11">
        <v>1</v>
      </c>
      <c r="O18" s="11">
        <v>1</v>
      </c>
    </row>
    <row r="19" spans="2:15" s="11" customFormat="1" x14ac:dyDescent="0.15">
      <c r="B19" s="11" t="s">
        <v>2290</v>
      </c>
      <c r="E19" s="11" t="s">
        <v>450</v>
      </c>
      <c r="F19" s="11">
        <v>0</v>
      </c>
      <c r="G19" s="11">
        <v>1</v>
      </c>
      <c r="H19" s="11">
        <v>1</v>
      </c>
      <c r="I19" s="11">
        <v>1</v>
      </c>
      <c r="J19" s="11">
        <v>1</v>
      </c>
      <c r="K19" s="11">
        <v>1</v>
      </c>
      <c r="L19" s="11">
        <v>1</v>
      </c>
      <c r="M19" s="11">
        <v>1</v>
      </c>
      <c r="N19" s="11">
        <v>1</v>
      </c>
      <c r="O19" s="11">
        <v>1</v>
      </c>
    </row>
    <row r="20" spans="2:15" s="11" customFormat="1" x14ac:dyDescent="0.15">
      <c r="B20" s="11" t="s">
        <v>2292</v>
      </c>
      <c r="E20" s="11" t="s">
        <v>446</v>
      </c>
      <c r="F20" s="11">
        <v>0</v>
      </c>
      <c r="G20" s="11">
        <v>1</v>
      </c>
      <c r="H20" s="11">
        <v>1</v>
      </c>
      <c r="I20" s="11">
        <v>1</v>
      </c>
      <c r="J20" s="11">
        <v>1</v>
      </c>
      <c r="K20" s="11">
        <v>1</v>
      </c>
      <c r="L20" s="11">
        <v>1</v>
      </c>
      <c r="M20" s="11">
        <v>1</v>
      </c>
      <c r="N20" s="11">
        <v>1</v>
      </c>
      <c r="O20" s="11">
        <v>1</v>
      </c>
    </row>
    <row r="21" spans="2:15" s="11" customFormat="1" x14ac:dyDescent="0.15">
      <c r="B21" s="11" t="s">
        <v>2294</v>
      </c>
      <c r="E21" s="11" t="s">
        <v>453</v>
      </c>
      <c r="F21" s="11">
        <v>0</v>
      </c>
      <c r="G21" s="11">
        <v>1</v>
      </c>
      <c r="H21" s="11">
        <v>1</v>
      </c>
      <c r="I21" s="11">
        <v>1</v>
      </c>
      <c r="J21" s="11">
        <v>1</v>
      </c>
      <c r="K21" s="11">
        <v>1</v>
      </c>
      <c r="L21" s="11">
        <v>1</v>
      </c>
      <c r="M21" s="11">
        <v>1</v>
      </c>
      <c r="N21" s="11">
        <v>1</v>
      </c>
      <c r="O21" s="11">
        <v>1</v>
      </c>
    </row>
    <row r="22" spans="2:15" s="11" customFormat="1" x14ac:dyDescent="0.15">
      <c r="B22" s="11" t="s">
        <v>2296</v>
      </c>
      <c r="E22" s="11" t="s">
        <v>449</v>
      </c>
      <c r="F22" s="11">
        <v>0</v>
      </c>
      <c r="G22" s="11">
        <v>1</v>
      </c>
      <c r="H22" s="11">
        <v>1</v>
      </c>
      <c r="I22" s="11">
        <v>1</v>
      </c>
      <c r="J22" s="11">
        <v>1</v>
      </c>
      <c r="K22" s="11">
        <v>1</v>
      </c>
      <c r="L22" s="11">
        <v>1</v>
      </c>
      <c r="M22" s="11">
        <v>1</v>
      </c>
      <c r="N22" s="11">
        <v>1</v>
      </c>
      <c r="O22" s="11">
        <v>1</v>
      </c>
    </row>
    <row r="23" spans="2:15" s="11" customFormat="1" x14ac:dyDescent="0.15">
      <c r="B23" s="11" t="s">
        <v>2298</v>
      </c>
      <c r="E23" s="11" t="s">
        <v>452</v>
      </c>
      <c r="F23" s="11">
        <v>0</v>
      </c>
      <c r="G23" s="11">
        <v>1</v>
      </c>
      <c r="H23" s="11">
        <v>1</v>
      </c>
      <c r="I23" s="11">
        <v>1</v>
      </c>
      <c r="J23" s="11">
        <v>1</v>
      </c>
      <c r="K23" s="11">
        <v>1</v>
      </c>
      <c r="L23" s="11">
        <v>1</v>
      </c>
      <c r="M23" s="11">
        <v>1</v>
      </c>
      <c r="N23" s="11">
        <v>1</v>
      </c>
      <c r="O23" s="11">
        <v>1</v>
      </c>
    </row>
    <row r="24" spans="2:15" s="11" customFormat="1" x14ac:dyDescent="0.15">
      <c r="B24" s="11" t="s">
        <v>1802</v>
      </c>
      <c r="E24" s="11" t="s">
        <v>448</v>
      </c>
      <c r="F24" s="11">
        <v>0</v>
      </c>
      <c r="G24" s="11">
        <v>1</v>
      </c>
      <c r="H24" s="11">
        <v>1</v>
      </c>
      <c r="I24" s="11">
        <v>1</v>
      </c>
      <c r="J24" s="11">
        <v>1</v>
      </c>
      <c r="K24" s="11">
        <v>1</v>
      </c>
      <c r="L24" s="11">
        <v>1</v>
      </c>
      <c r="M24" s="11">
        <v>1</v>
      </c>
      <c r="N24" s="11">
        <v>1</v>
      </c>
      <c r="O24" s="11">
        <v>1</v>
      </c>
    </row>
    <row r="25" spans="2:15" s="11" customFormat="1" x14ac:dyDescent="0.15">
      <c r="B25" s="11" t="s">
        <v>1804</v>
      </c>
      <c r="E25" s="11" t="s">
        <v>450</v>
      </c>
      <c r="F25" s="11">
        <v>0</v>
      </c>
      <c r="G25" s="11">
        <v>1</v>
      </c>
      <c r="H25" s="11">
        <v>1</v>
      </c>
      <c r="I25" s="11">
        <v>1</v>
      </c>
      <c r="J25" s="11">
        <v>1</v>
      </c>
      <c r="K25" s="11">
        <v>1</v>
      </c>
      <c r="L25" s="11">
        <v>1</v>
      </c>
      <c r="M25" s="11">
        <v>1</v>
      </c>
      <c r="N25" s="11">
        <v>1</v>
      </c>
      <c r="O25" s="11">
        <v>1</v>
      </c>
    </row>
    <row r="26" spans="2:15" s="11" customFormat="1" x14ac:dyDescent="0.15">
      <c r="B26" s="11" t="s">
        <v>2300</v>
      </c>
      <c r="E26" s="11" t="s">
        <v>450</v>
      </c>
      <c r="F26" s="11">
        <v>0</v>
      </c>
      <c r="G26" s="11">
        <v>1</v>
      </c>
      <c r="H26" s="11">
        <v>1</v>
      </c>
      <c r="I26" s="11">
        <v>1</v>
      </c>
      <c r="J26" s="11">
        <v>1</v>
      </c>
      <c r="K26" s="11">
        <v>1</v>
      </c>
      <c r="L26" s="11">
        <v>1</v>
      </c>
      <c r="M26" s="11">
        <v>1</v>
      </c>
      <c r="N26" s="11">
        <v>1</v>
      </c>
      <c r="O26" s="11">
        <v>1</v>
      </c>
    </row>
    <row r="27" spans="2:15" s="11" customFormat="1" x14ac:dyDescent="0.15">
      <c r="B27" s="11" t="s">
        <v>1806</v>
      </c>
      <c r="E27" s="11" t="s">
        <v>451</v>
      </c>
      <c r="F27" s="11">
        <v>0</v>
      </c>
      <c r="G27" s="11">
        <v>1</v>
      </c>
      <c r="H27" s="11">
        <v>1</v>
      </c>
      <c r="I27" s="11">
        <v>1</v>
      </c>
      <c r="J27" s="11">
        <v>1</v>
      </c>
      <c r="K27" s="11">
        <v>1</v>
      </c>
      <c r="L27" s="11">
        <v>1</v>
      </c>
      <c r="M27" s="11">
        <v>1</v>
      </c>
      <c r="N27" s="11">
        <v>1</v>
      </c>
      <c r="O27" s="11">
        <v>1</v>
      </c>
    </row>
    <row r="28" spans="2:15" s="11" customFormat="1" x14ac:dyDescent="0.15">
      <c r="B28" s="11" t="s">
        <v>1808</v>
      </c>
      <c r="E28" s="11" t="s">
        <v>448</v>
      </c>
      <c r="F28" s="11">
        <v>0</v>
      </c>
      <c r="G28" s="11">
        <v>1</v>
      </c>
      <c r="H28" s="11">
        <v>1</v>
      </c>
      <c r="I28" s="11">
        <v>1</v>
      </c>
      <c r="J28" s="11">
        <v>1</v>
      </c>
      <c r="K28" s="11">
        <v>1</v>
      </c>
      <c r="L28" s="11">
        <v>1</v>
      </c>
      <c r="M28" s="11">
        <v>1</v>
      </c>
      <c r="N28" s="11">
        <v>1</v>
      </c>
      <c r="O28" s="11">
        <v>1</v>
      </c>
    </row>
    <row r="29" spans="2:15" s="11" customFormat="1" x14ac:dyDescent="0.15">
      <c r="B29" s="11" t="s">
        <v>1810</v>
      </c>
      <c r="E29" s="11" t="s">
        <v>450</v>
      </c>
      <c r="F29" s="11">
        <v>0</v>
      </c>
      <c r="G29" s="11">
        <v>1</v>
      </c>
      <c r="H29" s="11">
        <v>1</v>
      </c>
      <c r="I29" s="11">
        <v>1</v>
      </c>
      <c r="J29" s="11">
        <v>1</v>
      </c>
      <c r="K29" s="11">
        <v>1</v>
      </c>
      <c r="L29" s="11">
        <v>1</v>
      </c>
      <c r="M29" s="11">
        <v>1</v>
      </c>
      <c r="N29" s="11">
        <v>1</v>
      </c>
      <c r="O29" s="11">
        <v>1</v>
      </c>
    </row>
    <row r="30" spans="2:15" s="11" customFormat="1" x14ac:dyDescent="0.15">
      <c r="B30" s="11" t="s">
        <v>2313</v>
      </c>
      <c r="E30" s="11" t="s">
        <v>451</v>
      </c>
      <c r="F30" s="11">
        <v>0</v>
      </c>
      <c r="G30" s="11">
        <v>1</v>
      </c>
      <c r="H30" s="11">
        <v>1</v>
      </c>
      <c r="I30" s="11">
        <v>1</v>
      </c>
      <c r="J30" s="11">
        <v>1</v>
      </c>
      <c r="K30" s="11">
        <v>1</v>
      </c>
      <c r="L30" s="11">
        <v>1</v>
      </c>
      <c r="M30" s="11">
        <v>1</v>
      </c>
      <c r="N30" s="11">
        <v>1</v>
      </c>
      <c r="O30" s="11">
        <v>1</v>
      </c>
    </row>
    <row r="31" spans="2:15" s="11" customFormat="1" x14ac:dyDescent="0.15">
      <c r="B31" s="11" t="s">
        <v>1812</v>
      </c>
      <c r="E31" s="11" t="s">
        <v>448</v>
      </c>
      <c r="F31" s="11">
        <v>0</v>
      </c>
      <c r="G31" s="11">
        <v>1</v>
      </c>
      <c r="H31" s="11">
        <v>1</v>
      </c>
      <c r="I31" s="11">
        <v>1</v>
      </c>
      <c r="J31" s="11">
        <v>1</v>
      </c>
      <c r="K31" s="11">
        <v>1</v>
      </c>
      <c r="L31" s="11">
        <v>1</v>
      </c>
      <c r="M31" s="11">
        <v>1</v>
      </c>
      <c r="N31" s="11">
        <v>1</v>
      </c>
      <c r="O31" s="11">
        <v>1</v>
      </c>
    </row>
    <row r="32" spans="2:15" s="11" customFormat="1" x14ac:dyDescent="0.15">
      <c r="B32" s="11" t="s">
        <v>2329</v>
      </c>
      <c r="E32" s="11" t="s">
        <v>450</v>
      </c>
      <c r="F32" s="11">
        <v>0</v>
      </c>
      <c r="G32" s="11">
        <v>1</v>
      </c>
      <c r="H32" s="11">
        <v>1</v>
      </c>
      <c r="I32" s="11">
        <v>1</v>
      </c>
      <c r="J32" s="11">
        <v>1</v>
      </c>
      <c r="K32" s="11">
        <v>1</v>
      </c>
      <c r="L32" s="11">
        <v>1</v>
      </c>
      <c r="M32" s="11">
        <v>1</v>
      </c>
      <c r="N32" s="11">
        <v>1</v>
      </c>
      <c r="O32" s="11">
        <v>1</v>
      </c>
    </row>
    <row r="33" spans="2:15" s="11" customFormat="1" x14ac:dyDescent="0.15">
      <c r="B33" s="11" t="s">
        <v>2336</v>
      </c>
      <c r="E33" s="11" t="s">
        <v>449</v>
      </c>
      <c r="F33" s="11">
        <v>0</v>
      </c>
      <c r="G33" s="11">
        <v>1</v>
      </c>
      <c r="H33" s="11">
        <v>1</v>
      </c>
      <c r="I33" s="11">
        <v>1</v>
      </c>
      <c r="J33" s="11">
        <v>1</v>
      </c>
      <c r="K33" s="11">
        <v>1</v>
      </c>
      <c r="L33" s="11">
        <v>1</v>
      </c>
      <c r="M33" s="11">
        <v>1</v>
      </c>
      <c r="N33" s="11">
        <v>1</v>
      </c>
      <c r="O33" s="11">
        <v>1</v>
      </c>
    </row>
    <row r="34" spans="2:15" s="11" customFormat="1" x14ac:dyDescent="0.15">
      <c r="B34" s="11" t="s">
        <v>1814</v>
      </c>
      <c r="E34" s="11" t="s">
        <v>448</v>
      </c>
      <c r="F34" s="11">
        <v>0</v>
      </c>
      <c r="G34" s="11">
        <v>1</v>
      </c>
      <c r="H34" s="11">
        <v>1</v>
      </c>
      <c r="I34" s="11">
        <v>1</v>
      </c>
      <c r="J34" s="11">
        <v>1</v>
      </c>
      <c r="K34" s="11">
        <v>1</v>
      </c>
      <c r="L34" s="11">
        <v>1</v>
      </c>
      <c r="M34" s="11">
        <v>1</v>
      </c>
      <c r="N34" s="11">
        <v>1</v>
      </c>
      <c r="O34" s="11">
        <v>1</v>
      </c>
    </row>
    <row r="35" spans="2:15" s="11" customFormat="1" x14ac:dyDescent="0.15">
      <c r="B35" s="11" t="s">
        <v>1815</v>
      </c>
      <c r="E35" s="11" t="s">
        <v>448</v>
      </c>
      <c r="F35" s="11">
        <v>0</v>
      </c>
      <c r="G35" s="11">
        <v>1</v>
      </c>
      <c r="H35" s="11">
        <v>1</v>
      </c>
      <c r="I35" s="11">
        <v>1</v>
      </c>
      <c r="J35" s="11">
        <v>1</v>
      </c>
      <c r="K35" s="11">
        <v>1</v>
      </c>
      <c r="L35" s="11">
        <v>1</v>
      </c>
      <c r="M35" s="11">
        <v>1</v>
      </c>
      <c r="N35" s="11">
        <v>1</v>
      </c>
      <c r="O35" s="11">
        <v>1</v>
      </c>
    </row>
    <row r="36" spans="2:15" s="11" customFormat="1" x14ac:dyDescent="0.15">
      <c r="B36" s="11" t="s">
        <v>1818</v>
      </c>
      <c r="E36" s="11" t="s">
        <v>448</v>
      </c>
      <c r="F36" s="11">
        <v>0</v>
      </c>
      <c r="G36" s="11">
        <v>1</v>
      </c>
      <c r="H36" s="11">
        <v>1</v>
      </c>
      <c r="I36" s="11">
        <v>1</v>
      </c>
      <c r="J36" s="11">
        <v>1</v>
      </c>
      <c r="K36" s="11">
        <v>1</v>
      </c>
      <c r="L36" s="11">
        <v>1</v>
      </c>
      <c r="M36" s="11">
        <v>1</v>
      </c>
      <c r="N36" s="11">
        <v>1</v>
      </c>
      <c r="O36" s="11">
        <v>1</v>
      </c>
    </row>
    <row r="37" spans="2:15" s="11" customFormat="1" x14ac:dyDescent="0.15">
      <c r="B37" s="11" t="s">
        <v>1820</v>
      </c>
      <c r="E37" s="11" t="s">
        <v>447</v>
      </c>
      <c r="F37" s="11">
        <v>0</v>
      </c>
      <c r="G37" s="11">
        <v>1</v>
      </c>
      <c r="H37" s="11">
        <v>1</v>
      </c>
      <c r="I37" s="11">
        <v>1</v>
      </c>
      <c r="J37" s="11">
        <v>1</v>
      </c>
      <c r="K37" s="11">
        <v>1</v>
      </c>
      <c r="L37" s="11">
        <v>1</v>
      </c>
      <c r="M37" s="11">
        <v>1</v>
      </c>
      <c r="N37" s="11">
        <v>1</v>
      </c>
      <c r="O37" s="11">
        <v>1</v>
      </c>
    </row>
    <row r="38" spans="2:15" s="11" customFormat="1" x14ac:dyDescent="0.15">
      <c r="B38" s="11" t="s">
        <v>1822</v>
      </c>
      <c r="E38" s="11" t="s">
        <v>446</v>
      </c>
      <c r="F38" s="11">
        <v>0</v>
      </c>
      <c r="G38" s="11">
        <v>1</v>
      </c>
      <c r="H38" s="11">
        <v>1</v>
      </c>
      <c r="I38" s="11">
        <v>1</v>
      </c>
      <c r="J38" s="11">
        <v>1</v>
      </c>
      <c r="K38" s="11">
        <v>1</v>
      </c>
      <c r="L38" s="11">
        <v>1</v>
      </c>
      <c r="M38" s="11">
        <v>1</v>
      </c>
      <c r="N38" s="11">
        <v>1</v>
      </c>
      <c r="O38" s="11">
        <v>1</v>
      </c>
    </row>
    <row r="39" spans="2:15" s="11" customFormat="1" x14ac:dyDescent="0.15">
      <c r="B39" s="11" t="s">
        <v>1824</v>
      </c>
      <c r="E39" s="11" t="s">
        <v>451</v>
      </c>
      <c r="F39" s="11">
        <v>0</v>
      </c>
      <c r="G39" s="11">
        <v>1</v>
      </c>
      <c r="H39" s="11">
        <v>1</v>
      </c>
      <c r="I39" s="11">
        <v>1</v>
      </c>
      <c r="J39" s="11">
        <v>1</v>
      </c>
      <c r="K39" s="11">
        <v>1</v>
      </c>
      <c r="L39" s="11">
        <v>1</v>
      </c>
      <c r="M39" s="11">
        <v>1</v>
      </c>
      <c r="N39" s="11">
        <v>1</v>
      </c>
      <c r="O39" s="11">
        <v>1</v>
      </c>
    </row>
    <row r="40" spans="2:15" s="11" customFormat="1" x14ac:dyDescent="0.15">
      <c r="B40" s="11" t="s">
        <v>1826</v>
      </c>
      <c r="E40" s="11" t="s">
        <v>448</v>
      </c>
      <c r="F40" s="11">
        <v>0</v>
      </c>
      <c r="G40" s="11">
        <v>1</v>
      </c>
      <c r="H40" s="11">
        <v>1</v>
      </c>
      <c r="I40" s="11">
        <v>1</v>
      </c>
      <c r="J40" s="11">
        <v>1</v>
      </c>
      <c r="K40" s="11">
        <v>1</v>
      </c>
      <c r="L40" s="11">
        <v>1</v>
      </c>
      <c r="M40" s="11">
        <v>1</v>
      </c>
      <c r="N40" s="11">
        <v>1</v>
      </c>
      <c r="O40" s="11">
        <v>1</v>
      </c>
    </row>
    <row r="41" spans="2:15" s="11" customFormat="1" x14ac:dyDescent="0.15">
      <c r="B41" s="11" t="s">
        <v>2348</v>
      </c>
      <c r="E41" s="11" t="s">
        <v>450</v>
      </c>
      <c r="F41" s="11">
        <v>0</v>
      </c>
      <c r="G41" s="11">
        <v>1</v>
      </c>
      <c r="H41" s="11">
        <v>1</v>
      </c>
      <c r="I41" s="11">
        <v>1</v>
      </c>
      <c r="J41" s="11">
        <v>1</v>
      </c>
      <c r="K41" s="11">
        <v>1</v>
      </c>
      <c r="L41" s="11">
        <v>1</v>
      </c>
      <c r="M41" s="11">
        <v>1</v>
      </c>
      <c r="N41" s="11">
        <v>1</v>
      </c>
      <c r="O41" s="11">
        <v>1</v>
      </c>
    </row>
    <row r="42" spans="2:15" s="11" customFormat="1" x14ac:dyDescent="0.15">
      <c r="B42" s="11" t="s">
        <v>2350</v>
      </c>
      <c r="E42" s="11" t="s">
        <v>447</v>
      </c>
      <c r="F42" s="11">
        <v>0</v>
      </c>
      <c r="G42" s="11">
        <v>1</v>
      </c>
      <c r="H42" s="11">
        <v>1</v>
      </c>
      <c r="I42" s="11">
        <v>1</v>
      </c>
      <c r="J42" s="11">
        <v>1</v>
      </c>
      <c r="K42" s="11">
        <v>1</v>
      </c>
      <c r="L42" s="11">
        <v>1</v>
      </c>
      <c r="M42" s="11">
        <v>1</v>
      </c>
      <c r="N42" s="11">
        <v>1</v>
      </c>
      <c r="O42" s="11">
        <v>1</v>
      </c>
    </row>
    <row r="43" spans="2:15" s="11" customFormat="1" x14ac:dyDescent="0.15">
      <c r="B43" s="11" t="s">
        <v>1828</v>
      </c>
      <c r="E43" s="11" t="s">
        <v>446</v>
      </c>
      <c r="F43" s="11">
        <v>0</v>
      </c>
      <c r="G43" s="11">
        <v>1</v>
      </c>
      <c r="H43" s="11">
        <v>1</v>
      </c>
      <c r="I43" s="11">
        <v>1</v>
      </c>
      <c r="J43" s="11">
        <v>1</v>
      </c>
      <c r="K43" s="11">
        <v>1</v>
      </c>
      <c r="L43" s="11">
        <v>1</v>
      </c>
      <c r="M43" s="11">
        <v>1</v>
      </c>
      <c r="N43" s="11">
        <v>1</v>
      </c>
      <c r="O43" s="11">
        <v>1</v>
      </c>
    </row>
    <row r="44" spans="2:15" s="11" customFormat="1" x14ac:dyDescent="0.15">
      <c r="B44" s="11" t="s">
        <v>1830</v>
      </c>
      <c r="E44" s="11" t="s">
        <v>448</v>
      </c>
      <c r="F44" s="11">
        <v>0</v>
      </c>
      <c r="G44" s="11">
        <v>1</v>
      </c>
      <c r="H44" s="11">
        <v>1</v>
      </c>
      <c r="I44" s="11">
        <v>1</v>
      </c>
      <c r="J44" s="11">
        <v>1</v>
      </c>
      <c r="K44" s="11">
        <v>1</v>
      </c>
      <c r="L44" s="11">
        <v>1</v>
      </c>
      <c r="M44" s="11">
        <v>1</v>
      </c>
      <c r="N44" s="11">
        <v>1</v>
      </c>
      <c r="O44" s="11">
        <v>1</v>
      </c>
    </row>
    <row r="45" spans="2:15" s="11" customFormat="1" x14ac:dyDescent="0.15">
      <c r="B45" s="11" t="s">
        <v>2352</v>
      </c>
      <c r="E45" s="11" t="s">
        <v>453</v>
      </c>
      <c r="F45" s="11">
        <v>0</v>
      </c>
      <c r="G45" s="11">
        <v>1</v>
      </c>
      <c r="H45" s="11">
        <v>1</v>
      </c>
      <c r="I45" s="11">
        <v>1</v>
      </c>
      <c r="J45" s="11">
        <v>1</v>
      </c>
      <c r="K45" s="11">
        <v>1</v>
      </c>
      <c r="L45" s="11">
        <v>1</v>
      </c>
      <c r="M45" s="11">
        <v>1</v>
      </c>
      <c r="N45" s="11">
        <v>1</v>
      </c>
      <c r="O45" s="11">
        <v>1</v>
      </c>
    </row>
    <row r="46" spans="2:15" s="11" customFormat="1" x14ac:dyDescent="0.15">
      <c r="B46" s="11" t="s">
        <v>1833</v>
      </c>
      <c r="E46" s="11" t="s">
        <v>449</v>
      </c>
      <c r="F46" s="11">
        <v>0</v>
      </c>
      <c r="G46" s="11">
        <v>1</v>
      </c>
      <c r="H46" s="11">
        <v>1</v>
      </c>
      <c r="I46" s="11">
        <v>1</v>
      </c>
      <c r="J46" s="11">
        <v>1</v>
      </c>
      <c r="K46" s="11">
        <v>1</v>
      </c>
      <c r="L46" s="11">
        <v>1</v>
      </c>
      <c r="M46" s="11">
        <v>1</v>
      </c>
      <c r="N46" s="11">
        <v>1</v>
      </c>
      <c r="O46" s="11">
        <v>1</v>
      </c>
    </row>
    <row r="47" spans="2:15" s="11" customFormat="1" x14ac:dyDescent="0.15">
      <c r="B47" s="11" t="s">
        <v>2354</v>
      </c>
      <c r="E47" s="11" t="s">
        <v>452</v>
      </c>
      <c r="F47" s="11">
        <v>0</v>
      </c>
      <c r="G47" s="11">
        <v>1</v>
      </c>
      <c r="H47" s="11">
        <v>1</v>
      </c>
      <c r="I47" s="11">
        <v>1</v>
      </c>
      <c r="J47" s="11">
        <v>1</v>
      </c>
      <c r="K47" s="11">
        <v>1</v>
      </c>
      <c r="L47" s="11">
        <v>1</v>
      </c>
      <c r="M47" s="11">
        <v>1</v>
      </c>
      <c r="N47" s="11">
        <v>1</v>
      </c>
      <c r="O47" s="11">
        <v>1</v>
      </c>
    </row>
    <row r="48" spans="2:15" s="11" customFormat="1" x14ac:dyDescent="0.15">
      <c r="B48" s="11" t="s">
        <v>1835</v>
      </c>
      <c r="E48" s="11" t="s">
        <v>451</v>
      </c>
      <c r="F48" s="11">
        <v>0</v>
      </c>
      <c r="G48" s="11">
        <v>1</v>
      </c>
      <c r="H48" s="11">
        <v>1</v>
      </c>
      <c r="I48" s="11">
        <v>1</v>
      </c>
      <c r="J48" s="11">
        <v>1</v>
      </c>
      <c r="K48" s="11">
        <v>1</v>
      </c>
      <c r="L48" s="11">
        <v>1</v>
      </c>
      <c r="M48" s="11">
        <v>1</v>
      </c>
      <c r="N48" s="11">
        <v>1</v>
      </c>
      <c r="O48" s="11">
        <v>1</v>
      </c>
    </row>
    <row r="49" spans="2:15" s="11" customFormat="1" x14ac:dyDescent="0.15">
      <c r="B49" s="11" t="s">
        <v>2356</v>
      </c>
      <c r="E49" s="11" t="s">
        <v>451</v>
      </c>
      <c r="F49" s="11">
        <v>0</v>
      </c>
      <c r="G49" s="11">
        <v>1</v>
      </c>
      <c r="H49" s="11">
        <v>1</v>
      </c>
      <c r="I49" s="11">
        <v>1</v>
      </c>
      <c r="J49" s="11">
        <v>1</v>
      </c>
      <c r="K49" s="11">
        <v>1</v>
      </c>
      <c r="L49" s="11">
        <v>1</v>
      </c>
      <c r="M49" s="11">
        <v>1</v>
      </c>
      <c r="N49" s="11">
        <v>1</v>
      </c>
      <c r="O49" s="11">
        <v>1</v>
      </c>
    </row>
    <row r="50" spans="2:15" s="11" customFormat="1" x14ac:dyDescent="0.15">
      <c r="B50" s="11" t="s">
        <v>2358</v>
      </c>
      <c r="E50" s="11" t="s">
        <v>448</v>
      </c>
      <c r="F50" s="11">
        <v>0</v>
      </c>
      <c r="G50" s="11">
        <v>1</v>
      </c>
      <c r="H50" s="11">
        <v>1</v>
      </c>
      <c r="I50" s="11">
        <v>1</v>
      </c>
      <c r="J50" s="11">
        <v>1</v>
      </c>
      <c r="K50" s="11">
        <v>1</v>
      </c>
      <c r="L50" s="11">
        <v>1</v>
      </c>
      <c r="M50" s="11">
        <v>1</v>
      </c>
      <c r="N50" s="11">
        <v>1</v>
      </c>
      <c r="O50" s="11">
        <v>1</v>
      </c>
    </row>
    <row r="51" spans="2:15" s="11" customFormat="1" x14ac:dyDescent="0.15">
      <c r="B51" s="11" t="s">
        <v>2360</v>
      </c>
      <c r="E51" s="11" t="s">
        <v>450</v>
      </c>
      <c r="F51" s="11">
        <v>0</v>
      </c>
      <c r="G51" s="11">
        <v>1</v>
      </c>
      <c r="H51" s="11">
        <v>1</v>
      </c>
      <c r="I51" s="11">
        <v>1</v>
      </c>
      <c r="J51" s="11">
        <v>1</v>
      </c>
      <c r="K51" s="11">
        <v>1</v>
      </c>
      <c r="L51" s="11">
        <v>1</v>
      </c>
      <c r="M51" s="11">
        <v>1</v>
      </c>
      <c r="N51" s="11">
        <v>1</v>
      </c>
      <c r="O51" s="11">
        <v>1</v>
      </c>
    </row>
    <row r="52" spans="2:15" s="11" customFormat="1" x14ac:dyDescent="0.15">
      <c r="B52" s="11" t="s">
        <v>2362</v>
      </c>
      <c r="E52" s="11" t="s">
        <v>447</v>
      </c>
      <c r="F52" s="11">
        <v>0</v>
      </c>
      <c r="G52" s="11">
        <v>1</v>
      </c>
      <c r="H52" s="11">
        <v>1</v>
      </c>
      <c r="I52" s="11">
        <v>1</v>
      </c>
      <c r="J52" s="11">
        <v>1</v>
      </c>
      <c r="K52" s="11">
        <v>1</v>
      </c>
      <c r="L52" s="11">
        <v>1</v>
      </c>
      <c r="M52" s="11">
        <v>1</v>
      </c>
      <c r="N52" s="11">
        <v>1</v>
      </c>
      <c r="O52" s="11">
        <v>1</v>
      </c>
    </row>
    <row r="53" spans="2:15" s="11" customFormat="1" x14ac:dyDescent="0.15">
      <c r="B53" s="11" t="s">
        <v>2364</v>
      </c>
      <c r="E53" s="11" t="s">
        <v>449</v>
      </c>
      <c r="F53" s="11">
        <v>0</v>
      </c>
      <c r="G53" s="11">
        <v>1</v>
      </c>
      <c r="H53" s="11">
        <v>1</v>
      </c>
      <c r="I53" s="11">
        <v>1</v>
      </c>
      <c r="J53" s="11">
        <v>1</v>
      </c>
      <c r="K53" s="11">
        <v>1</v>
      </c>
      <c r="L53" s="11">
        <v>1</v>
      </c>
      <c r="M53" s="11">
        <v>1</v>
      </c>
      <c r="N53" s="11">
        <v>1</v>
      </c>
      <c r="O53" s="11">
        <v>1</v>
      </c>
    </row>
    <row r="54" spans="2:15" s="11" customFormat="1" x14ac:dyDescent="0.15">
      <c r="B54" s="11" t="s">
        <v>1837</v>
      </c>
      <c r="E54" s="11" t="s">
        <v>451</v>
      </c>
      <c r="F54" s="11">
        <v>0</v>
      </c>
      <c r="G54" s="11">
        <v>1</v>
      </c>
      <c r="H54" s="11">
        <v>1</v>
      </c>
      <c r="I54" s="11">
        <v>1</v>
      </c>
      <c r="J54" s="11">
        <v>1</v>
      </c>
      <c r="K54" s="11">
        <v>1</v>
      </c>
      <c r="L54" s="11">
        <v>1</v>
      </c>
      <c r="M54" s="11">
        <v>1</v>
      </c>
      <c r="N54" s="11">
        <v>1</v>
      </c>
      <c r="O54" s="11">
        <v>1</v>
      </c>
    </row>
    <row r="55" spans="2:15" s="11" customFormat="1" x14ac:dyDescent="0.15">
      <c r="B55" s="11" t="s">
        <v>1839</v>
      </c>
      <c r="E55" s="11" t="s">
        <v>448</v>
      </c>
      <c r="F55" s="11">
        <v>0</v>
      </c>
      <c r="G55" s="11">
        <v>1</v>
      </c>
      <c r="H55" s="11">
        <v>1</v>
      </c>
      <c r="I55" s="11">
        <v>1</v>
      </c>
      <c r="J55" s="11">
        <v>1</v>
      </c>
      <c r="K55" s="11">
        <v>1</v>
      </c>
      <c r="L55" s="11">
        <v>1</v>
      </c>
      <c r="M55" s="11">
        <v>1</v>
      </c>
      <c r="N55" s="11">
        <v>1</v>
      </c>
      <c r="O55" s="11">
        <v>1</v>
      </c>
    </row>
    <row r="56" spans="2:15" s="11" customFormat="1" x14ac:dyDescent="0.15">
      <c r="B56" s="11" t="s">
        <v>1841</v>
      </c>
      <c r="E56" s="11" t="s">
        <v>450</v>
      </c>
      <c r="F56" s="11">
        <v>0</v>
      </c>
      <c r="G56" s="11">
        <v>1</v>
      </c>
      <c r="H56" s="11">
        <v>1</v>
      </c>
      <c r="I56" s="11">
        <v>1</v>
      </c>
      <c r="J56" s="11">
        <v>1</v>
      </c>
      <c r="K56" s="11">
        <v>1</v>
      </c>
      <c r="L56" s="11">
        <v>1</v>
      </c>
      <c r="M56" s="11">
        <v>1</v>
      </c>
      <c r="N56" s="11">
        <v>1</v>
      </c>
      <c r="O56" s="11">
        <v>1</v>
      </c>
    </row>
    <row r="57" spans="2:15" s="11" customFormat="1" x14ac:dyDescent="0.15">
      <c r="B57" s="11" t="s">
        <v>2366</v>
      </c>
      <c r="E57" s="11" t="s">
        <v>449</v>
      </c>
      <c r="F57" s="11">
        <v>0</v>
      </c>
      <c r="G57" s="11">
        <v>1</v>
      </c>
      <c r="H57" s="11">
        <v>1</v>
      </c>
      <c r="I57" s="11">
        <v>1</v>
      </c>
      <c r="J57" s="11">
        <v>1</v>
      </c>
      <c r="K57" s="11">
        <v>1</v>
      </c>
      <c r="L57" s="11">
        <v>1</v>
      </c>
      <c r="M57" s="11">
        <v>1</v>
      </c>
      <c r="N57" s="11">
        <v>1</v>
      </c>
      <c r="O57" s="11">
        <v>1</v>
      </c>
    </row>
    <row r="58" spans="2:15" s="11" customFormat="1" x14ac:dyDescent="0.15">
      <c r="B58" s="11" t="s">
        <v>1843</v>
      </c>
      <c r="E58" s="11" t="s">
        <v>448</v>
      </c>
      <c r="F58" s="11">
        <v>0</v>
      </c>
      <c r="G58" s="11">
        <v>1</v>
      </c>
      <c r="H58" s="11">
        <v>1</v>
      </c>
      <c r="I58" s="11">
        <v>1</v>
      </c>
      <c r="J58" s="11">
        <v>1</v>
      </c>
      <c r="K58" s="11">
        <v>1</v>
      </c>
      <c r="L58" s="11">
        <v>1</v>
      </c>
      <c r="M58" s="11">
        <v>1</v>
      </c>
      <c r="N58" s="11">
        <v>1</v>
      </c>
      <c r="O58" s="11">
        <v>1</v>
      </c>
    </row>
    <row r="59" spans="2:15" s="11" customFormat="1" x14ac:dyDescent="0.15">
      <c r="B59" s="11" t="s">
        <v>2368</v>
      </c>
      <c r="E59" s="11" t="s">
        <v>450</v>
      </c>
      <c r="F59" s="11">
        <v>0</v>
      </c>
      <c r="G59" s="11">
        <v>1</v>
      </c>
      <c r="H59" s="11">
        <v>1</v>
      </c>
      <c r="I59" s="11">
        <v>1</v>
      </c>
      <c r="J59" s="11">
        <v>1</v>
      </c>
      <c r="K59" s="11">
        <v>1</v>
      </c>
      <c r="L59" s="11">
        <v>1</v>
      </c>
      <c r="M59" s="11">
        <v>1</v>
      </c>
      <c r="N59" s="11">
        <v>1</v>
      </c>
      <c r="O59" s="11">
        <v>1</v>
      </c>
    </row>
    <row r="60" spans="2:15" s="11" customFormat="1" x14ac:dyDescent="0.15">
      <c r="B60" s="11" t="s">
        <v>1845</v>
      </c>
      <c r="E60" s="11" t="s">
        <v>449</v>
      </c>
      <c r="F60" s="11">
        <v>0</v>
      </c>
      <c r="G60" s="11">
        <v>1</v>
      </c>
      <c r="H60" s="11">
        <v>1</v>
      </c>
      <c r="I60" s="11">
        <v>1</v>
      </c>
      <c r="J60" s="11">
        <v>1</v>
      </c>
      <c r="K60" s="11">
        <v>1</v>
      </c>
      <c r="L60" s="11">
        <v>1</v>
      </c>
      <c r="M60" s="11">
        <v>1</v>
      </c>
      <c r="N60" s="11">
        <v>1</v>
      </c>
      <c r="O60" s="11">
        <v>1</v>
      </c>
    </row>
    <row r="61" spans="2:15" s="11" customFormat="1" x14ac:dyDescent="0.15">
      <c r="B61" s="11" t="s">
        <v>2372</v>
      </c>
      <c r="E61" s="11" t="s">
        <v>447</v>
      </c>
      <c r="F61" s="11">
        <v>0</v>
      </c>
      <c r="G61" s="11">
        <v>1</v>
      </c>
      <c r="H61" s="11">
        <v>1</v>
      </c>
      <c r="I61" s="11">
        <v>1</v>
      </c>
      <c r="J61" s="11">
        <v>1</v>
      </c>
      <c r="K61" s="11">
        <v>1</v>
      </c>
      <c r="L61" s="11">
        <v>1</v>
      </c>
      <c r="M61" s="11">
        <v>1</v>
      </c>
      <c r="N61" s="11">
        <v>1</v>
      </c>
      <c r="O61" s="11">
        <v>1</v>
      </c>
    </row>
    <row r="62" spans="2:15" s="11" customFormat="1" x14ac:dyDescent="0.15">
      <c r="B62" s="11" t="s">
        <v>1847</v>
      </c>
      <c r="E62" s="11" t="s">
        <v>446</v>
      </c>
      <c r="F62" s="11">
        <v>0</v>
      </c>
      <c r="G62" s="11">
        <v>1</v>
      </c>
      <c r="H62" s="11">
        <v>1</v>
      </c>
      <c r="I62" s="11">
        <v>1</v>
      </c>
      <c r="J62" s="11">
        <v>1</v>
      </c>
      <c r="K62" s="11">
        <v>1</v>
      </c>
      <c r="L62" s="11">
        <v>1</v>
      </c>
      <c r="M62" s="11">
        <v>1</v>
      </c>
      <c r="N62" s="11">
        <v>1</v>
      </c>
      <c r="O62" s="11">
        <v>1</v>
      </c>
    </row>
    <row r="63" spans="2:15" s="11" customFormat="1" x14ac:dyDescent="0.15">
      <c r="B63" s="11" t="s">
        <v>2382</v>
      </c>
      <c r="E63" s="11" t="s">
        <v>451</v>
      </c>
      <c r="F63" s="11">
        <v>0</v>
      </c>
      <c r="G63" s="11">
        <v>1</v>
      </c>
      <c r="H63" s="11">
        <v>1</v>
      </c>
      <c r="I63" s="11">
        <v>1</v>
      </c>
      <c r="J63" s="11">
        <v>1</v>
      </c>
      <c r="K63" s="11">
        <v>1</v>
      </c>
      <c r="L63" s="11">
        <v>1</v>
      </c>
      <c r="M63" s="11">
        <v>1</v>
      </c>
      <c r="N63" s="11">
        <v>1</v>
      </c>
      <c r="O63" s="11">
        <v>1</v>
      </c>
    </row>
    <row r="64" spans="2:15" s="11" customFormat="1" x14ac:dyDescent="0.15">
      <c r="B64" s="11" t="s">
        <v>1849</v>
      </c>
      <c r="E64" s="11" t="s">
        <v>448</v>
      </c>
      <c r="F64" s="11">
        <v>0</v>
      </c>
      <c r="G64" s="11">
        <v>1</v>
      </c>
      <c r="H64" s="11">
        <v>1</v>
      </c>
      <c r="I64" s="11">
        <v>1</v>
      </c>
      <c r="J64" s="11">
        <v>1</v>
      </c>
      <c r="K64" s="11">
        <v>1</v>
      </c>
      <c r="L64" s="11">
        <v>1</v>
      </c>
      <c r="M64" s="11">
        <v>1</v>
      </c>
      <c r="N64" s="11">
        <v>1</v>
      </c>
      <c r="O64" s="11">
        <v>1</v>
      </c>
    </row>
    <row r="65" spans="2:15" s="11" customFormat="1" x14ac:dyDescent="0.15">
      <c r="B65" s="11" t="s">
        <v>1851</v>
      </c>
      <c r="E65" s="11" t="s">
        <v>450</v>
      </c>
      <c r="F65" s="11">
        <v>0</v>
      </c>
      <c r="G65" s="11">
        <v>1</v>
      </c>
      <c r="H65" s="11">
        <v>1</v>
      </c>
      <c r="I65" s="11">
        <v>1</v>
      </c>
      <c r="J65" s="11">
        <v>1</v>
      </c>
      <c r="K65" s="11">
        <v>1</v>
      </c>
      <c r="L65" s="11">
        <v>1</v>
      </c>
      <c r="M65" s="11">
        <v>1</v>
      </c>
      <c r="N65" s="11">
        <v>1</v>
      </c>
      <c r="O65" s="11">
        <v>1</v>
      </c>
    </row>
    <row r="66" spans="2:15" s="11" customFormat="1" x14ac:dyDescent="0.15">
      <c r="B66" s="11" t="s">
        <v>2388</v>
      </c>
      <c r="E66" s="11" t="s">
        <v>448</v>
      </c>
      <c r="F66" s="11">
        <v>0</v>
      </c>
      <c r="G66" s="11">
        <v>1</v>
      </c>
      <c r="H66" s="11">
        <v>1</v>
      </c>
      <c r="I66" s="11">
        <v>1</v>
      </c>
      <c r="J66" s="11">
        <v>1</v>
      </c>
      <c r="K66" s="11">
        <v>1</v>
      </c>
      <c r="L66" s="11">
        <v>1</v>
      </c>
      <c r="M66" s="11">
        <v>1</v>
      </c>
      <c r="N66" s="11">
        <v>1</v>
      </c>
      <c r="O66" s="11">
        <v>1</v>
      </c>
    </row>
    <row r="67" spans="2:15" s="11" customFormat="1" x14ac:dyDescent="0.15">
      <c r="B67" s="11" t="s">
        <v>2390</v>
      </c>
      <c r="E67" s="11" t="s">
        <v>451</v>
      </c>
      <c r="F67" s="11">
        <v>0</v>
      </c>
      <c r="G67" s="11">
        <v>1</v>
      </c>
      <c r="H67" s="11">
        <v>1</v>
      </c>
      <c r="I67" s="11">
        <v>1</v>
      </c>
      <c r="J67" s="11">
        <v>1</v>
      </c>
      <c r="K67" s="11">
        <v>1</v>
      </c>
      <c r="L67" s="11">
        <v>1</v>
      </c>
      <c r="M67" s="11">
        <v>1</v>
      </c>
      <c r="N67" s="11">
        <v>1</v>
      </c>
      <c r="O67" s="11">
        <v>1</v>
      </c>
    </row>
    <row r="68" spans="2:15" s="11" customFormat="1" x14ac:dyDescent="0.15">
      <c r="B68" s="11" t="s">
        <v>1853</v>
      </c>
      <c r="E68" s="11" t="s">
        <v>448</v>
      </c>
      <c r="F68" s="11">
        <v>0</v>
      </c>
      <c r="G68" s="11">
        <v>1</v>
      </c>
      <c r="H68" s="11">
        <v>1</v>
      </c>
      <c r="I68" s="11">
        <v>1</v>
      </c>
      <c r="J68" s="11">
        <v>1</v>
      </c>
      <c r="K68" s="11">
        <v>1</v>
      </c>
      <c r="L68" s="11">
        <v>1</v>
      </c>
      <c r="M68" s="11">
        <v>1</v>
      </c>
      <c r="N68" s="11">
        <v>1</v>
      </c>
      <c r="O68" s="11">
        <v>1</v>
      </c>
    </row>
    <row r="69" spans="2:15" s="11" customFormat="1" x14ac:dyDescent="0.15">
      <c r="B69" s="11" t="s">
        <v>1855</v>
      </c>
      <c r="E69" s="11" t="s">
        <v>449</v>
      </c>
      <c r="F69" s="11">
        <v>0</v>
      </c>
      <c r="G69" s="11">
        <v>1</v>
      </c>
      <c r="H69" s="11">
        <v>1</v>
      </c>
      <c r="I69" s="11">
        <v>1</v>
      </c>
      <c r="J69" s="11">
        <v>1</v>
      </c>
      <c r="K69" s="11">
        <v>1</v>
      </c>
      <c r="L69" s="11">
        <v>1</v>
      </c>
      <c r="M69" s="11">
        <v>1</v>
      </c>
      <c r="N69" s="11">
        <v>1</v>
      </c>
      <c r="O69" s="11">
        <v>1</v>
      </c>
    </row>
    <row r="70" spans="2:15" s="11" customFormat="1" x14ac:dyDescent="0.15">
      <c r="B70" s="11" t="s">
        <v>2399</v>
      </c>
      <c r="E70" s="11" t="s">
        <v>448</v>
      </c>
      <c r="F70" s="11">
        <v>0</v>
      </c>
      <c r="G70" s="11">
        <v>1</v>
      </c>
      <c r="H70" s="11">
        <v>1</v>
      </c>
      <c r="I70" s="11">
        <v>1</v>
      </c>
      <c r="J70" s="11">
        <v>1</v>
      </c>
      <c r="K70" s="11">
        <v>1</v>
      </c>
      <c r="L70" s="11">
        <v>1</v>
      </c>
      <c r="M70" s="11">
        <v>1</v>
      </c>
      <c r="N70" s="11">
        <v>1</v>
      </c>
      <c r="O70" s="11">
        <v>1</v>
      </c>
    </row>
    <row r="71" spans="2:15" s="11" customFormat="1" x14ac:dyDescent="0.15">
      <c r="B71" s="11" t="s">
        <v>1857</v>
      </c>
      <c r="E71" s="11" t="s">
        <v>450</v>
      </c>
      <c r="F71" s="11">
        <v>0</v>
      </c>
      <c r="G71" s="11">
        <v>1</v>
      </c>
      <c r="H71" s="11">
        <v>1</v>
      </c>
      <c r="I71" s="11">
        <v>1</v>
      </c>
      <c r="J71" s="11">
        <v>1</v>
      </c>
      <c r="K71" s="11">
        <v>1</v>
      </c>
      <c r="L71" s="11">
        <v>1</v>
      </c>
      <c r="M71" s="11">
        <v>1</v>
      </c>
      <c r="N71" s="11">
        <v>1</v>
      </c>
      <c r="O71" s="11">
        <v>1</v>
      </c>
    </row>
    <row r="72" spans="2:15" s="11" customFormat="1" x14ac:dyDescent="0.15">
      <c r="B72" s="11" t="s">
        <v>1859</v>
      </c>
      <c r="E72" s="11" t="s">
        <v>451</v>
      </c>
      <c r="F72" s="11">
        <v>0</v>
      </c>
      <c r="G72" s="11">
        <v>1</v>
      </c>
      <c r="H72" s="11">
        <v>1</v>
      </c>
      <c r="I72" s="11">
        <v>1</v>
      </c>
      <c r="J72" s="11">
        <v>1</v>
      </c>
      <c r="K72" s="11">
        <v>1</v>
      </c>
      <c r="L72" s="11">
        <v>1</v>
      </c>
      <c r="M72" s="11">
        <v>1</v>
      </c>
      <c r="N72" s="11">
        <v>1</v>
      </c>
      <c r="O72" s="11">
        <v>1</v>
      </c>
    </row>
    <row r="73" spans="2:15" s="11" customFormat="1" x14ac:dyDescent="0.15">
      <c r="B73" s="11" t="s">
        <v>2401</v>
      </c>
      <c r="E73" s="11" t="s">
        <v>448</v>
      </c>
      <c r="F73" s="11">
        <v>0</v>
      </c>
      <c r="G73" s="11">
        <v>1</v>
      </c>
      <c r="H73" s="11">
        <v>1</v>
      </c>
      <c r="I73" s="11">
        <v>1</v>
      </c>
      <c r="J73" s="11">
        <v>1</v>
      </c>
      <c r="K73" s="11">
        <v>1</v>
      </c>
      <c r="L73" s="11">
        <v>1</v>
      </c>
      <c r="M73" s="11">
        <v>1</v>
      </c>
      <c r="N73" s="11">
        <v>1</v>
      </c>
      <c r="O73" s="11">
        <v>1</v>
      </c>
    </row>
    <row r="74" spans="2:15" s="13" customFormat="1" x14ac:dyDescent="0.15">
      <c r="B74" s="13" t="s">
        <v>2405</v>
      </c>
      <c r="E74" s="13" t="s">
        <v>447</v>
      </c>
      <c r="F74" s="13">
        <v>0</v>
      </c>
      <c r="G74" s="13">
        <v>1</v>
      </c>
      <c r="H74" s="13">
        <v>1</v>
      </c>
      <c r="I74" s="13">
        <v>1</v>
      </c>
      <c r="J74" s="13">
        <v>1</v>
      </c>
      <c r="K74" s="13">
        <v>1</v>
      </c>
      <c r="L74" s="13">
        <v>1</v>
      </c>
      <c r="M74" s="13">
        <v>1</v>
      </c>
      <c r="N74" s="13">
        <v>1</v>
      </c>
      <c r="O74" s="13">
        <v>1</v>
      </c>
    </row>
    <row r="75" spans="2:15" s="13" customFormat="1" x14ac:dyDescent="0.15">
      <c r="B75" s="13" t="s">
        <v>2412</v>
      </c>
      <c r="E75" s="13" t="s">
        <v>449</v>
      </c>
      <c r="F75" s="13">
        <v>0</v>
      </c>
      <c r="G75" s="13">
        <v>1</v>
      </c>
      <c r="H75" s="13">
        <v>1</v>
      </c>
      <c r="I75" s="13">
        <v>1</v>
      </c>
      <c r="J75" s="13">
        <v>1</v>
      </c>
      <c r="K75" s="13">
        <v>1</v>
      </c>
      <c r="L75" s="13">
        <v>1</v>
      </c>
      <c r="M75" s="13">
        <v>1</v>
      </c>
      <c r="N75" s="13">
        <v>1</v>
      </c>
      <c r="O75" s="13">
        <v>1</v>
      </c>
    </row>
    <row r="76" spans="2:15" s="13" customFormat="1" x14ac:dyDescent="0.15">
      <c r="B76" s="13" t="s">
        <v>2414</v>
      </c>
      <c r="E76" s="13" t="s">
        <v>446</v>
      </c>
      <c r="F76" s="13">
        <v>0</v>
      </c>
      <c r="G76" s="13">
        <v>1</v>
      </c>
      <c r="H76" s="13">
        <v>1</v>
      </c>
      <c r="I76" s="13">
        <v>1</v>
      </c>
      <c r="J76" s="13">
        <v>1</v>
      </c>
      <c r="K76" s="13">
        <v>1</v>
      </c>
      <c r="L76" s="13">
        <v>1</v>
      </c>
      <c r="M76" s="13">
        <v>1</v>
      </c>
      <c r="N76" s="13">
        <v>1</v>
      </c>
      <c r="O76" s="13">
        <v>1</v>
      </c>
    </row>
    <row r="77" spans="2:15" s="13" customFormat="1" x14ac:dyDescent="0.15">
      <c r="B77" s="13" t="s">
        <v>2418</v>
      </c>
      <c r="E77" s="13" t="s">
        <v>453</v>
      </c>
      <c r="F77" s="13">
        <v>0</v>
      </c>
      <c r="G77" s="13">
        <v>1</v>
      </c>
      <c r="H77" s="13">
        <v>1</v>
      </c>
      <c r="I77" s="13">
        <v>1</v>
      </c>
      <c r="J77" s="13">
        <v>1</v>
      </c>
      <c r="K77" s="13">
        <v>1</v>
      </c>
      <c r="L77" s="13">
        <v>1</v>
      </c>
      <c r="M77" s="13">
        <v>1</v>
      </c>
      <c r="N77" s="13">
        <v>1</v>
      </c>
      <c r="O77" s="13">
        <v>1</v>
      </c>
    </row>
    <row r="78" spans="2:15" s="13" customFormat="1" x14ac:dyDescent="0.15">
      <c r="B78" s="13" t="s">
        <v>1861</v>
      </c>
      <c r="E78" s="13" t="s">
        <v>449</v>
      </c>
      <c r="F78" s="13">
        <v>0</v>
      </c>
      <c r="G78" s="13">
        <v>1</v>
      </c>
      <c r="H78" s="13">
        <v>1</v>
      </c>
      <c r="I78" s="13">
        <v>1</v>
      </c>
      <c r="J78" s="13">
        <v>1</v>
      </c>
      <c r="K78" s="13">
        <v>1</v>
      </c>
      <c r="L78" s="13">
        <v>1</v>
      </c>
      <c r="M78" s="13">
        <v>1</v>
      </c>
      <c r="N78" s="13">
        <v>1</v>
      </c>
      <c r="O78" s="13">
        <v>1</v>
      </c>
    </row>
    <row r="79" spans="2:15" s="13" customFormat="1" x14ac:dyDescent="0.15">
      <c r="B79" s="13" t="s">
        <v>2421</v>
      </c>
      <c r="E79" s="13" t="s">
        <v>452</v>
      </c>
      <c r="F79" s="13">
        <v>0</v>
      </c>
      <c r="G79" s="13">
        <v>1</v>
      </c>
      <c r="H79" s="13">
        <v>1</v>
      </c>
      <c r="I79" s="13">
        <v>1</v>
      </c>
      <c r="J79" s="13">
        <v>1</v>
      </c>
      <c r="K79" s="13">
        <v>1</v>
      </c>
      <c r="L79" s="13">
        <v>1</v>
      </c>
      <c r="M79" s="13">
        <v>1</v>
      </c>
      <c r="N79" s="13">
        <v>1</v>
      </c>
      <c r="O79" s="13">
        <v>1</v>
      </c>
    </row>
    <row r="80" spans="2:15" s="13" customFormat="1" x14ac:dyDescent="0.15">
      <c r="B80" s="13" t="s">
        <v>1863</v>
      </c>
      <c r="E80" s="13" t="s">
        <v>448</v>
      </c>
      <c r="F80" s="13">
        <v>0</v>
      </c>
      <c r="G80" s="13">
        <v>1</v>
      </c>
      <c r="H80" s="13">
        <v>1</v>
      </c>
      <c r="I80" s="13">
        <v>1</v>
      </c>
      <c r="J80" s="13">
        <v>1</v>
      </c>
      <c r="K80" s="13">
        <v>1</v>
      </c>
      <c r="L80" s="13">
        <v>1</v>
      </c>
      <c r="M80" s="13">
        <v>1</v>
      </c>
      <c r="N80" s="13">
        <v>1</v>
      </c>
      <c r="O80" s="13">
        <v>1</v>
      </c>
    </row>
    <row r="81" spans="2:15" s="13" customFormat="1" x14ac:dyDescent="0.15">
      <c r="B81" s="13" t="s">
        <v>2423</v>
      </c>
      <c r="E81" s="13" t="s">
        <v>446</v>
      </c>
      <c r="F81" s="13">
        <v>0</v>
      </c>
      <c r="G81" s="13">
        <v>1</v>
      </c>
      <c r="H81" s="13">
        <v>1</v>
      </c>
      <c r="I81" s="13">
        <v>1</v>
      </c>
      <c r="J81" s="13">
        <v>1</v>
      </c>
      <c r="K81" s="13">
        <v>1</v>
      </c>
      <c r="L81" s="13">
        <v>1</v>
      </c>
      <c r="M81" s="13">
        <v>1</v>
      </c>
      <c r="N81" s="13">
        <v>1</v>
      </c>
      <c r="O81" s="13">
        <v>1</v>
      </c>
    </row>
    <row r="82" spans="2:15" s="13" customFormat="1" x14ac:dyDescent="0.15">
      <c r="B82" s="13" t="s">
        <v>1865</v>
      </c>
      <c r="E82" s="13" t="s">
        <v>451</v>
      </c>
      <c r="F82" s="13">
        <v>0</v>
      </c>
      <c r="G82" s="13">
        <v>1</v>
      </c>
      <c r="H82" s="13">
        <v>1</v>
      </c>
      <c r="I82" s="13">
        <v>1</v>
      </c>
      <c r="J82" s="13">
        <v>1</v>
      </c>
      <c r="K82" s="13">
        <v>1</v>
      </c>
      <c r="L82" s="13">
        <v>1</v>
      </c>
      <c r="M82" s="13">
        <v>1</v>
      </c>
      <c r="N82" s="13">
        <v>1</v>
      </c>
      <c r="O82" s="13">
        <v>1</v>
      </c>
    </row>
    <row r="83" spans="2:15" s="11" customFormat="1" x14ac:dyDescent="0.15">
      <c r="B83" s="11" t="s">
        <v>1867</v>
      </c>
      <c r="E83" s="11" t="s">
        <v>448</v>
      </c>
      <c r="F83" s="11">
        <v>0</v>
      </c>
      <c r="G83" s="11">
        <v>1</v>
      </c>
      <c r="H83" s="11">
        <v>1</v>
      </c>
      <c r="I83" s="11">
        <v>1</v>
      </c>
      <c r="J83" s="11">
        <v>1</v>
      </c>
      <c r="K83" s="11">
        <v>1</v>
      </c>
      <c r="L83" s="11">
        <v>1</v>
      </c>
      <c r="M83" s="11">
        <v>1</v>
      </c>
      <c r="N83" s="11">
        <v>1</v>
      </c>
      <c r="O83" s="11">
        <v>1</v>
      </c>
    </row>
    <row r="84" spans="2:15" s="11" customFormat="1" x14ac:dyDescent="0.15">
      <c r="B84" s="11" t="s">
        <v>2432</v>
      </c>
      <c r="E84" s="11" t="s">
        <v>446</v>
      </c>
      <c r="F84" s="11">
        <v>0</v>
      </c>
      <c r="G84" s="11">
        <v>1</v>
      </c>
      <c r="H84" s="11">
        <v>1</v>
      </c>
      <c r="I84" s="11">
        <v>1</v>
      </c>
      <c r="J84" s="11">
        <v>1</v>
      </c>
      <c r="K84" s="11">
        <v>1</v>
      </c>
      <c r="L84" s="11">
        <v>1</v>
      </c>
      <c r="M84" s="11">
        <v>1</v>
      </c>
      <c r="N84" s="11">
        <v>1</v>
      </c>
      <c r="O84" s="11">
        <v>1</v>
      </c>
    </row>
    <row r="85" spans="2:15" s="11" customFormat="1" x14ac:dyDescent="0.15">
      <c r="B85" s="11" t="s">
        <v>2436</v>
      </c>
      <c r="E85" s="11" t="s">
        <v>449</v>
      </c>
      <c r="F85" s="11">
        <v>0</v>
      </c>
      <c r="G85" s="11">
        <v>1</v>
      </c>
      <c r="H85" s="11">
        <v>1</v>
      </c>
      <c r="I85" s="11">
        <v>1</v>
      </c>
      <c r="J85" s="11">
        <v>1</v>
      </c>
      <c r="K85" s="11">
        <v>1</v>
      </c>
      <c r="L85" s="11">
        <v>1</v>
      </c>
      <c r="M85" s="11">
        <v>1</v>
      </c>
      <c r="N85" s="11">
        <v>1</v>
      </c>
      <c r="O85" s="11">
        <v>1</v>
      </c>
    </row>
    <row r="86" spans="2:15" s="11" customFormat="1" x14ac:dyDescent="0.15">
      <c r="B86" s="11" t="s">
        <v>1869</v>
      </c>
      <c r="E86" s="11" t="s">
        <v>451</v>
      </c>
      <c r="F86" s="11">
        <v>0</v>
      </c>
      <c r="G86" s="11">
        <v>1</v>
      </c>
      <c r="H86" s="11">
        <v>1</v>
      </c>
      <c r="I86" s="11">
        <v>1</v>
      </c>
      <c r="J86" s="11">
        <v>1</v>
      </c>
      <c r="K86" s="11">
        <v>1</v>
      </c>
      <c r="L86" s="11">
        <v>1</v>
      </c>
      <c r="M86" s="11">
        <v>1</v>
      </c>
      <c r="N86" s="11">
        <v>1</v>
      </c>
      <c r="O86" s="11">
        <v>1</v>
      </c>
    </row>
    <row r="87" spans="2:15" s="11" customFormat="1" x14ac:dyDescent="0.15">
      <c r="B87" s="11" t="s">
        <v>1871</v>
      </c>
      <c r="E87" s="11" t="s">
        <v>450</v>
      </c>
      <c r="F87" s="11">
        <v>0</v>
      </c>
      <c r="G87" s="11">
        <v>1</v>
      </c>
      <c r="H87" s="11">
        <v>1</v>
      </c>
      <c r="I87" s="11">
        <v>1</v>
      </c>
      <c r="J87" s="11">
        <v>1</v>
      </c>
      <c r="K87" s="11">
        <v>1</v>
      </c>
      <c r="L87" s="11">
        <v>1</v>
      </c>
      <c r="M87" s="11">
        <v>1</v>
      </c>
      <c r="N87" s="11">
        <v>1</v>
      </c>
      <c r="O87" s="11">
        <v>1</v>
      </c>
    </row>
    <row r="88" spans="2:15" s="11" customFormat="1" x14ac:dyDescent="0.15">
      <c r="B88" s="11" t="s">
        <v>2443</v>
      </c>
      <c r="E88" s="11" t="s">
        <v>448</v>
      </c>
      <c r="F88" s="11">
        <v>0</v>
      </c>
      <c r="G88" s="11">
        <v>1</v>
      </c>
      <c r="H88" s="11">
        <v>1</v>
      </c>
      <c r="I88" s="11">
        <v>1</v>
      </c>
      <c r="J88" s="11">
        <v>1</v>
      </c>
      <c r="K88" s="11">
        <v>1</v>
      </c>
      <c r="L88" s="11">
        <v>1</v>
      </c>
      <c r="M88" s="11">
        <v>1</v>
      </c>
      <c r="N88" s="11">
        <v>1</v>
      </c>
      <c r="O88" s="11">
        <v>1</v>
      </c>
    </row>
    <row r="89" spans="2:15" s="11" customFormat="1" x14ac:dyDescent="0.15">
      <c r="B89" s="11" t="s">
        <v>2445</v>
      </c>
      <c r="E89" s="11" t="s">
        <v>450</v>
      </c>
      <c r="F89" s="11">
        <v>0</v>
      </c>
      <c r="G89" s="11">
        <v>1</v>
      </c>
      <c r="H89" s="11">
        <v>1</v>
      </c>
      <c r="I89" s="11">
        <v>1</v>
      </c>
      <c r="J89" s="11">
        <v>1</v>
      </c>
      <c r="K89" s="11">
        <v>1</v>
      </c>
      <c r="L89" s="11">
        <v>1</v>
      </c>
      <c r="M89" s="11">
        <v>1</v>
      </c>
      <c r="N89" s="11">
        <v>1</v>
      </c>
      <c r="O89" s="11">
        <v>1</v>
      </c>
    </row>
    <row r="90" spans="2:15" s="11" customFormat="1" x14ac:dyDescent="0.15">
      <c r="B90" s="11" t="s">
        <v>1873</v>
      </c>
      <c r="E90" s="11" t="s">
        <v>449</v>
      </c>
      <c r="F90" s="11">
        <v>0</v>
      </c>
      <c r="G90" s="11">
        <v>1</v>
      </c>
      <c r="H90" s="11">
        <v>1</v>
      </c>
      <c r="I90" s="11">
        <v>1</v>
      </c>
      <c r="J90" s="11">
        <v>1</v>
      </c>
      <c r="K90" s="11">
        <v>1</v>
      </c>
      <c r="L90" s="11">
        <v>1</v>
      </c>
      <c r="M90" s="11">
        <v>1</v>
      </c>
      <c r="N90" s="11">
        <v>1</v>
      </c>
      <c r="O90" s="11">
        <v>1</v>
      </c>
    </row>
    <row r="91" spans="2:15" s="11" customFormat="1" x14ac:dyDescent="0.15">
      <c r="B91" s="11" t="s">
        <v>2449</v>
      </c>
      <c r="E91" s="11" t="s">
        <v>451</v>
      </c>
      <c r="F91" s="11">
        <v>0</v>
      </c>
      <c r="G91" s="11">
        <v>1</v>
      </c>
      <c r="H91" s="11">
        <v>1</v>
      </c>
      <c r="I91" s="11">
        <v>1</v>
      </c>
      <c r="J91" s="11">
        <v>1</v>
      </c>
      <c r="K91" s="11">
        <v>1</v>
      </c>
      <c r="L91" s="11">
        <v>1</v>
      </c>
      <c r="M91" s="11">
        <v>1</v>
      </c>
      <c r="N91" s="11">
        <v>1</v>
      </c>
      <c r="O91" s="11">
        <v>1</v>
      </c>
    </row>
    <row r="92" spans="2:15" s="11" customFormat="1" x14ac:dyDescent="0.15">
      <c r="B92" s="11" t="s">
        <v>2456</v>
      </c>
      <c r="E92" s="11" t="s">
        <v>448</v>
      </c>
      <c r="F92" s="11">
        <v>0</v>
      </c>
      <c r="G92" s="11">
        <v>1</v>
      </c>
      <c r="H92" s="11">
        <v>1</v>
      </c>
      <c r="I92" s="11">
        <v>1</v>
      </c>
      <c r="J92" s="11">
        <v>1</v>
      </c>
      <c r="K92" s="11">
        <v>1</v>
      </c>
      <c r="L92" s="11">
        <v>1</v>
      </c>
      <c r="M92" s="11">
        <v>1</v>
      </c>
      <c r="N92" s="11">
        <v>1</v>
      </c>
      <c r="O92" s="11">
        <v>1</v>
      </c>
    </row>
    <row r="93" spans="2:15" s="11" customFormat="1" x14ac:dyDescent="0.15">
      <c r="B93" s="11" t="s">
        <v>2458</v>
      </c>
      <c r="E93" s="11" t="s">
        <v>450</v>
      </c>
      <c r="F93" s="11">
        <v>0</v>
      </c>
      <c r="G93" s="11">
        <v>1</v>
      </c>
      <c r="H93" s="11">
        <v>1</v>
      </c>
      <c r="I93" s="11">
        <v>1</v>
      </c>
      <c r="J93" s="11">
        <v>1</v>
      </c>
      <c r="K93" s="11">
        <v>1</v>
      </c>
      <c r="L93" s="11">
        <v>1</v>
      </c>
      <c r="M93" s="11">
        <v>1</v>
      </c>
      <c r="N93" s="11">
        <v>1</v>
      </c>
      <c r="O93" s="11">
        <v>1</v>
      </c>
    </row>
    <row r="94" spans="2:15" s="11" customFormat="1" x14ac:dyDescent="0.15">
      <c r="B94" s="11" t="s">
        <v>2460</v>
      </c>
      <c r="E94" s="11" t="s">
        <v>446</v>
      </c>
      <c r="F94" s="11">
        <v>0</v>
      </c>
      <c r="G94" s="11">
        <v>1</v>
      </c>
      <c r="H94" s="11">
        <v>1</v>
      </c>
      <c r="I94" s="11">
        <v>1</v>
      </c>
      <c r="J94" s="11">
        <v>1</v>
      </c>
      <c r="K94" s="11">
        <v>1</v>
      </c>
      <c r="L94" s="11">
        <v>1</v>
      </c>
      <c r="M94" s="11">
        <v>1</v>
      </c>
      <c r="N94" s="11">
        <v>1</v>
      </c>
      <c r="O94" s="11">
        <v>1</v>
      </c>
    </row>
    <row r="95" spans="2:15" s="11" customFormat="1" x14ac:dyDescent="0.15">
      <c r="B95" s="11" t="s">
        <v>2463</v>
      </c>
      <c r="E95" s="11" t="s">
        <v>453</v>
      </c>
      <c r="F95" s="11">
        <v>0</v>
      </c>
      <c r="G95" s="11">
        <v>1</v>
      </c>
      <c r="H95" s="11">
        <v>1</v>
      </c>
      <c r="I95" s="11">
        <v>1</v>
      </c>
      <c r="J95" s="11">
        <v>1</v>
      </c>
      <c r="K95" s="11">
        <v>1</v>
      </c>
      <c r="L95" s="11">
        <v>1</v>
      </c>
      <c r="M95" s="11">
        <v>1</v>
      </c>
      <c r="N95" s="11">
        <v>1</v>
      </c>
      <c r="O95" s="11">
        <v>1</v>
      </c>
    </row>
    <row r="96" spans="2:15" s="11" customFormat="1" x14ac:dyDescent="0.15">
      <c r="B96" s="11" t="s">
        <v>2465</v>
      </c>
      <c r="E96" s="11" t="s">
        <v>448</v>
      </c>
      <c r="F96" s="11">
        <v>0</v>
      </c>
      <c r="G96" s="11">
        <v>1</v>
      </c>
      <c r="H96" s="11">
        <v>1</v>
      </c>
      <c r="I96" s="11">
        <v>1</v>
      </c>
      <c r="J96" s="11">
        <v>1</v>
      </c>
      <c r="K96" s="11">
        <v>1</v>
      </c>
      <c r="L96" s="11">
        <v>1</v>
      </c>
      <c r="M96" s="11">
        <v>1</v>
      </c>
      <c r="N96" s="11">
        <v>1</v>
      </c>
      <c r="O96" s="11">
        <v>1</v>
      </c>
    </row>
    <row r="97" spans="2:15" s="11" customFormat="1" x14ac:dyDescent="0.15">
      <c r="B97" s="11" t="s">
        <v>2467</v>
      </c>
      <c r="E97" s="11" t="s">
        <v>449</v>
      </c>
      <c r="F97" s="11">
        <v>0</v>
      </c>
      <c r="G97" s="11">
        <v>1</v>
      </c>
      <c r="H97" s="11">
        <v>1</v>
      </c>
      <c r="I97" s="11">
        <v>1</v>
      </c>
      <c r="J97" s="11">
        <v>1</v>
      </c>
      <c r="K97" s="11">
        <v>1</v>
      </c>
      <c r="L97" s="11">
        <v>1</v>
      </c>
      <c r="M97" s="11">
        <v>1</v>
      </c>
      <c r="N97" s="11">
        <v>1</v>
      </c>
      <c r="O97" s="11">
        <v>1</v>
      </c>
    </row>
    <row r="98" spans="2:15" s="11" customFormat="1" x14ac:dyDescent="0.15">
      <c r="B98" s="11" t="s">
        <v>2471</v>
      </c>
      <c r="E98" s="11" t="s">
        <v>451</v>
      </c>
      <c r="F98" s="11">
        <v>0</v>
      </c>
      <c r="G98" s="11">
        <v>1</v>
      </c>
      <c r="H98" s="11">
        <v>1</v>
      </c>
      <c r="I98" s="11">
        <v>1</v>
      </c>
      <c r="J98" s="11">
        <v>1</v>
      </c>
      <c r="K98" s="11">
        <v>1</v>
      </c>
      <c r="L98" s="11">
        <v>1</v>
      </c>
      <c r="M98" s="11">
        <v>1</v>
      </c>
      <c r="N98" s="11">
        <v>1</v>
      </c>
      <c r="O98" s="11">
        <v>1</v>
      </c>
    </row>
    <row r="99" spans="2:15" s="11" customFormat="1" x14ac:dyDescent="0.15">
      <c r="B99" s="11" t="s">
        <v>2478</v>
      </c>
      <c r="E99" s="11" t="s">
        <v>448</v>
      </c>
      <c r="F99" s="11">
        <v>0</v>
      </c>
      <c r="G99" s="11">
        <v>1</v>
      </c>
      <c r="H99" s="11">
        <v>1</v>
      </c>
      <c r="I99" s="11">
        <v>1</v>
      </c>
      <c r="J99" s="11">
        <v>1</v>
      </c>
      <c r="K99" s="11">
        <v>1</v>
      </c>
      <c r="L99" s="11">
        <v>1</v>
      </c>
      <c r="M99" s="11">
        <v>1</v>
      </c>
      <c r="N99" s="11">
        <v>1</v>
      </c>
      <c r="O99" s="11">
        <v>1</v>
      </c>
    </row>
    <row r="100" spans="2:15" s="11" customFormat="1" x14ac:dyDescent="0.15">
      <c r="B100" s="11" t="s">
        <v>2480</v>
      </c>
      <c r="E100" s="11" t="s">
        <v>450</v>
      </c>
      <c r="F100" s="11">
        <v>0</v>
      </c>
      <c r="G100" s="11">
        <v>1</v>
      </c>
      <c r="H100" s="11">
        <v>1</v>
      </c>
      <c r="I100" s="11">
        <v>1</v>
      </c>
      <c r="J100" s="11">
        <v>1</v>
      </c>
      <c r="K100" s="11">
        <v>1</v>
      </c>
      <c r="L100" s="11">
        <v>1</v>
      </c>
      <c r="M100" s="11">
        <v>1</v>
      </c>
      <c r="N100" s="11">
        <v>1</v>
      </c>
      <c r="O100" s="11">
        <v>1</v>
      </c>
    </row>
    <row r="101" spans="2:15" s="11" customFormat="1" x14ac:dyDescent="0.15">
      <c r="B101" s="11" t="s">
        <v>2481</v>
      </c>
      <c r="E101" s="11" t="s">
        <v>448</v>
      </c>
      <c r="F101" s="11">
        <v>0</v>
      </c>
      <c r="G101" s="11">
        <v>1</v>
      </c>
      <c r="H101" s="11">
        <v>1</v>
      </c>
      <c r="I101" s="11">
        <v>1</v>
      </c>
      <c r="J101" s="11">
        <v>1</v>
      </c>
      <c r="K101" s="11">
        <v>1</v>
      </c>
      <c r="L101" s="11">
        <v>1</v>
      </c>
      <c r="M101" s="11">
        <v>1</v>
      </c>
      <c r="N101" s="11">
        <v>1</v>
      </c>
      <c r="O101" s="11">
        <v>1</v>
      </c>
    </row>
    <row r="102" spans="2:15" s="11" customFormat="1" x14ac:dyDescent="0.15">
      <c r="B102" s="11" t="s">
        <v>1875</v>
      </c>
      <c r="E102" s="11" t="s">
        <v>449</v>
      </c>
      <c r="F102" s="11">
        <v>0</v>
      </c>
      <c r="G102" s="11">
        <v>1</v>
      </c>
      <c r="H102" s="11">
        <v>1</v>
      </c>
      <c r="I102" s="11">
        <v>1</v>
      </c>
      <c r="J102" s="11">
        <v>1</v>
      </c>
      <c r="K102" s="11">
        <v>1</v>
      </c>
      <c r="L102" s="11">
        <v>1</v>
      </c>
      <c r="M102" s="11">
        <v>1</v>
      </c>
      <c r="N102" s="11">
        <v>1</v>
      </c>
      <c r="O102" s="11">
        <v>1</v>
      </c>
    </row>
    <row r="103" spans="2:15" s="11" customFormat="1" x14ac:dyDescent="0.15">
      <c r="B103" s="11" t="s">
        <v>1877</v>
      </c>
      <c r="E103" s="11" t="s">
        <v>448</v>
      </c>
      <c r="F103" s="11">
        <v>0</v>
      </c>
      <c r="G103" s="11">
        <v>1</v>
      </c>
      <c r="H103" s="11">
        <v>1</v>
      </c>
      <c r="I103" s="11">
        <v>1</v>
      </c>
      <c r="J103" s="11">
        <v>1</v>
      </c>
      <c r="K103" s="11">
        <v>1</v>
      </c>
      <c r="L103" s="11">
        <v>1</v>
      </c>
      <c r="M103" s="11">
        <v>1</v>
      </c>
      <c r="N103" s="11">
        <v>1</v>
      </c>
      <c r="O103" s="11">
        <v>1</v>
      </c>
    </row>
    <row r="104" spans="2:15" s="11" customFormat="1" x14ac:dyDescent="0.15">
      <c r="B104" s="11" t="s">
        <v>1879</v>
      </c>
      <c r="E104" s="11" t="s">
        <v>453</v>
      </c>
      <c r="F104" s="11">
        <v>0</v>
      </c>
      <c r="G104" s="11">
        <v>1</v>
      </c>
      <c r="H104" s="11">
        <v>1</v>
      </c>
      <c r="I104" s="11">
        <v>1</v>
      </c>
      <c r="J104" s="11">
        <v>1</v>
      </c>
      <c r="K104" s="11">
        <v>1</v>
      </c>
      <c r="L104" s="11">
        <v>1</v>
      </c>
      <c r="M104" s="11">
        <v>1</v>
      </c>
      <c r="N104" s="11">
        <v>1</v>
      </c>
      <c r="O104" s="11">
        <v>1</v>
      </c>
    </row>
    <row r="105" spans="2:15" s="11" customFormat="1" x14ac:dyDescent="0.15">
      <c r="B105" s="11" t="s">
        <v>1881</v>
      </c>
      <c r="E105" s="11" t="s">
        <v>449</v>
      </c>
      <c r="F105" s="11">
        <v>0</v>
      </c>
      <c r="G105" s="11">
        <v>1</v>
      </c>
      <c r="H105" s="11">
        <v>1</v>
      </c>
      <c r="I105" s="11">
        <v>1</v>
      </c>
      <c r="J105" s="11">
        <v>1</v>
      </c>
      <c r="K105" s="11">
        <v>1</v>
      </c>
      <c r="L105" s="11">
        <v>1</v>
      </c>
      <c r="M105" s="11">
        <v>1</v>
      </c>
      <c r="N105" s="11">
        <v>1</v>
      </c>
      <c r="O105" s="11">
        <v>1</v>
      </c>
    </row>
    <row r="106" spans="2:15" s="11" customFormat="1" x14ac:dyDescent="0.15">
      <c r="B106" s="11" t="s">
        <v>1883</v>
      </c>
      <c r="E106" s="11" t="s">
        <v>452</v>
      </c>
      <c r="F106" s="11">
        <v>0</v>
      </c>
      <c r="G106" s="11">
        <v>1</v>
      </c>
      <c r="H106" s="11">
        <v>1</v>
      </c>
      <c r="I106" s="11">
        <v>1</v>
      </c>
      <c r="J106" s="11">
        <v>1</v>
      </c>
      <c r="K106" s="11">
        <v>1</v>
      </c>
      <c r="L106" s="11">
        <v>1</v>
      </c>
      <c r="M106" s="11">
        <v>1</v>
      </c>
      <c r="N106" s="11">
        <v>1</v>
      </c>
      <c r="O106" s="11">
        <v>1</v>
      </c>
    </row>
    <row r="107" spans="2:15" s="11" customFormat="1" x14ac:dyDescent="0.15">
      <c r="B107" s="11" t="s">
        <v>2483</v>
      </c>
      <c r="E107" s="11" t="s">
        <v>451</v>
      </c>
      <c r="F107" s="11">
        <v>0</v>
      </c>
      <c r="G107" s="11">
        <v>1</v>
      </c>
      <c r="H107" s="11">
        <v>1</v>
      </c>
      <c r="I107" s="11">
        <v>1</v>
      </c>
      <c r="J107" s="11">
        <v>1</v>
      </c>
      <c r="K107" s="11">
        <v>1</v>
      </c>
      <c r="L107" s="11">
        <v>1</v>
      </c>
      <c r="M107" s="11">
        <v>1</v>
      </c>
      <c r="N107" s="11">
        <v>1</v>
      </c>
      <c r="O107" s="11">
        <v>1</v>
      </c>
    </row>
    <row r="108" spans="2:15" s="11" customFormat="1" x14ac:dyDescent="0.15">
      <c r="B108" s="11" t="s">
        <v>2485</v>
      </c>
      <c r="E108" s="11" t="s">
        <v>448</v>
      </c>
      <c r="F108" s="11">
        <v>0</v>
      </c>
      <c r="G108" s="11">
        <v>1</v>
      </c>
      <c r="H108" s="11">
        <v>1</v>
      </c>
      <c r="I108" s="11">
        <v>1</v>
      </c>
      <c r="J108" s="11">
        <v>1</v>
      </c>
      <c r="K108" s="11">
        <v>1</v>
      </c>
      <c r="L108" s="11">
        <v>1</v>
      </c>
      <c r="M108" s="11">
        <v>1</v>
      </c>
      <c r="N108" s="11">
        <v>1</v>
      </c>
      <c r="O108" s="11">
        <v>1</v>
      </c>
    </row>
    <row r="109" spans="2:15" s="11" customFormat="1" x14ac:dyDescent="0.15">
      <c r="B109" s="11" t="s">
        <v>2487</v>
      </c>
      <c r="E109" s="11" t="s">
        <v>450</v>
      </c>
      <c r="F109" s="11">
        <v>0</v>
      </c>
      <c r="G109" s="11">
        <v>1</v>
      </c>
      <c r="H109" s="11">
        <v>1</v>
      </c>
      <c r="I109" s="11">
        <v>1</v>
      </c>
      <c r="J109" s="11">
        <v>1</v>
      </c>
      <c r="K109" s="11">
        <v>1</v>
      </c>
      <c r="L109" s="11">
        <v>1</v>
      </c>
      <c r="M109" s="11">
        <v>1</v>
      </c>
      <c r="N109" s="11">
        <v>1</v>
      </c>
      <c r="O109" s="11">
        <v>1</v>
      </c>
    </row>
    <row r="110" spans="2:15" s="11" customFormat="1" x14ac:dyDescent="0.15">
      <c r="B110" s="11" t="s">
        <v>2489</v>
      </c>
      <c r="E110" s="11" t="s">
        <v>446</v>
      </c>
      <c r="F110" s="11">
        <v>0</v>
      </c>
      <c r="G110" s="11">
        <v>1</v>
      </c>
      <c r="H110" s="11">
        <v>1</v>
      </c>
      <c r="I110" s="11">
        <v>1</v>
      </c>
      <c r="J110" s="11">
        <v>1</v>
      </c>
      <c r="K110" s="11">
        <v>1</v>
      </c>
      <c r="L110" s="11">
        <v>1</v>
      </c>
      <c r="M110" s="11">
        <v>1</v>
      </c>
      <c r="N110" s="11">
        <v>1</v>
      </c>
      <c r="O110" s="11">
        <v>1</v>
      </c>
    </row>
    <row r="111" spans="2:15" s="11" customFormat="1" x14ac:dyDescent="0.15">
      <c r="B111" s="11" t="s">
        <v>1885</v>
      </c>
      <c r="E111" s="11" t="s">
        <v>451</v>
      </c>
      <c r="F111" s="11">
        <v>0</v>
      </c>
      <c r="G111" s="11">
        <v>1</v>
      </c>
      <c r="H111" s="11">
        <v>1</v>
      </c>
      <c r="I111" s="11">
        <v>1</v>
      </c>
      <c r="J111" s="11">
        <v>1</v>
      </c>
      <c r="K111" s="11">
        <v>1</v>
      </c>
      <c r="L111" s="11">
        <v>1</v>
      </c>
      <c r="M111" s="11">
        <v>1</v>
      </c>
      <c r="N111" s="11">
        <v>1</v>
      </c>
      <c r="O111" s="11">
        <v>1</v>
      </c>
    </row>
    <row r="112" spans="2:15" s="11" customFormat="1" x14ac:dyDescent="0.15">
      <c r="B112" s="11" t="s">
        <v>1887</v>
      </c>
      <c r="E112" s="11" t="s">
        <v>448</v>
      </c>
      <c r="F112" s="11">
        <v>0</v>
      </c>
      <c r="G112" s="11">
        <v>1</v>
      </c>
      <c r="H112" s="11">
        <v>1</v>
      </c>
      <c r="I112" s="11">
        <v>1</v>
      </c>
      <c r="J112" s="11">
        <v>1</v>
      </c>
      <c r="K112" s="11">
        <v>1</v>
      </c>
      <c r="L112" s="11">
        <v>1</v>
      </c>
      <c r="M112" s="11">
        <v>1</v>
      </c>
      <c r="N112" s="11">
        <v>1</v>
      </c>
      <c r="O112" s="11">
        <v>1</v>
      </c>
    </row>
    <row r="113" spans="2:15" s="11" customFormat="1" x14ac:dyDescent="0.15">
      <c r="B113" s="11" t="s">
        <v>1889</v>
      </c>
      <c r="E113" s="11" t="s">
        <v>450</v>
      </c>
      <c r="F113" s="11">
        <v>0</v>
      </c>
      <c r="G113" s="11">
        <v>1</v>
      </c>
      <c r="H113" s="11">
        <v>1</v>
      </c>
      <c r="I113" s="11">
        <v>1</v>
      </c>
      <c r="J113" s="11">
        <v>1</v>
      </c>
      <c r="K113" s="11">
        <v>1</v>
      </c>
      <c r="L113" s="11">
        <v>1</v>
      </c>
      <c r="M113" s="11">
        <v>1</v>
      </c>
      <c r="N113" s="11">
        <v>1</v>
      </c>
      <c r="O113" s="11">
        <v>1</v>
      </c>
    </row>
    <row r="114" spans="2:15" s="11" customFormat="1" x14ac:dyDescent="0.15">
      <c r="B114" s="11" t="s">
        <v>1891</v>
      </c>
      <c r="E114" s="11" t="s">
        <v>449</v>
      </c>
      <c r="F114" s="11">
        <v>0</v>
      </c>
      <c r="G114" s="11">
        <v>1</v>
      </c>
      <c r="H114" s="11">
        <v>1</v>
      </c>
      <c r="I114" s="11">
        <v>1</v>
      </c>
      <c r="J114" s="11">
        <v>1</v>
      </c>
      <c r="K114" s="11">
        <v>1</v>
      </c>
      <c r="L114" s="11">
        <v>1</v>
      </c>
      <c r="M114" s="11">
        <v>1</v>
      </c>
      <c r="N114" s="11">
        <v>1</v>
      </c>
      <c r="O114" s="11">
        <v>1</v>
      </c>
    </row>
    <row r="115" spans="2:15" s="11" customFormat="1" x14ac:dyDescent="0.15">
      <c r="B115" s="11" t="s">
        <v>1893</v>
      </c>
      <c r="E115" s="11" t="s">
        <v>451</v>
      </c>
      <c r="F115" s="11">
        <v>0</v>
      </c>
      <c r="G115" s="11">
        <v>1</v>
      </c>
      <c r="H115" s="11">
        <v>1</v>
      </c>
      <c r="I115" s="11">
        <v>1</v>
      </c>
      <c r="J115" s="11">
        <v>1</v>
      </c>
      <c r="K115" s="11">
        <v>1</v>
      </c>
      <c r="L115" s="11">
        <v>1</v>
      </c>
      <c r="M115" s="11">
        <v>1</v>
      </c>
      <c r="N115" s="11">
        <v>1</v>
      </c>
      <c r="O115" s="11">
        <v>1</v>
      </c>
    </row>
    <row r="116" spans="2:15" s="11" customFormat="1" x14ac:dyDescent="0.15">
      <c r="B116" s="11" t="s">
        <v>2491</v>
      </c>
      <c r="E116" s="11" t="s">
        <v>448</v>
      </c>
      <c r="F116" s="11">
        <v>0</v>
      </c>
      <c r="G116" s="11">
        <v>1</v>
      </c>
      <c r="H116" s="11">
        <v>1</v>
      </c>
      <c r="I116" s="11">
        <v>1</v>
      </c>
      <c r="J116" s="11">
        <v>1</v>
      </c>
      <c r="K116" s="11">
        <v>1</v>
      </c>
      <c r="L116" s="11">
        <v>1</v>
      </c>
      <c r="M116" s="11">
        <v>1</v>
      </c>
      <c r="N116" s="11">
        <v>1</v>
      </c>
      <c r="O116" s="11">
        <v>1</v>
      </c>
    </row>
    <row r="117" spans="2:15" s="11" customFormat="1" x14ac:dyDescent="0.15">
      <c r="B117" s="11" t="s">
        <v>1895</v>
      </c>
      <c r="E117" s="11" t="s">
        <v>453</v>
      </c>
      <c r="F117" s="11">
        <v>0</v>
      </c>
      <c r="G117" s="11">
        <v>1</v>
      </c>
      <c r="H117" s="11">
        <v>1</v>
      </c>
      <c r="I117" s="11">
        <v>1</v>
      </c>
      <c r="J117" s="11">
        <v>1</v>
      </c>
      <c r="K117" s="11">
        <v>1</v>
      </c>
      <c r="L117" s="11">
        <v>1</v>
      </c>
      <c r="M117" s="11">
        <v>1</v>
      </c>
      <c r="N117" s="11">
        <v>1</v>
      </c>
      <c r="O117" s="11">
        <v>1</v>
      </c>
    </row>
    <row r="118" spans="2:15" s="13" customFormat="1" x14ac:dyDescent="0.15">
      <c r="B118" s="13" t="s">
        <v>1897</v>
      </c>
      <c r="E118" s="13" t="s">
        <v>449</v>
      </c>
      <c r="F118" s="13">
        <v>0</v>
      </c>
      <c r="G118" s="13">
        <v>1</v>
      </c>
      <c r="H118" s="13">
        <v>1</v>
      </c>
      <c r="I118" s="13">
        <v>1</v>
      </c>
      <c r="J118" s="13">
        <v>1</v>
      </c>
      <c r="K118" s="13">
        <v>1</v>
      </c>
      <c r="L118" s="13">
        <v>1</v>
      </c>
      <c r="M118" s="13">
        <v>1</v>
      </c>
      <c r="N118" s="13">
        <v>1</v>
      </c>
      <c r="O118" s="13">
        <v>1</v>
      </c>
    </row>
    <row r="119" spans="2:15" s="13" customFormat="1" x14ac:dyDescent="0.15">
      <c r="B119" s="13" t="s">
        <v>1899</v>
      </c>
      <c r="E119" s="13" t="s">
        <v>452</v>
      </c>
      <c r="F119" s="13">
        <v>0</v>
      </c>
      <c r="G119" s="13">
        <v>1</v>
      </c>
      <c r="H119" s="13">
        <v>1</v>
      </c>
      <c r="I119" s="13">
        <v>1</v>
      </c>
      <c r="J119" s="13">
        <v>1</v>
      </c>
      <c r="K119" s="13">
        <v>1</v>
      </c>
      <c r="L119" s="13">
        <v>1</v>
      </c>
      <c r="M119" s="13">
        <v>1</v>
      </c>
      <c r="N119" s="13">
        <v>1</v>
      </c>
      <c r="O119" s="13">
        <v>1</v>
      </c>
    </row>
    <row r="120" spans="2:15" s="13" customFormat="1" x14ac:dyDescent="0.15">
      <c r="B120" s="13" t="s">
        <v>2493</v>
      </c>
      <c r="E120" s="13" t="s">
        <v>446</v>
      </c>
      <c r="F120" s="13">
        <v>0</v>
      </c>
      <c r="G120" s="13">
        <v>1</v>
      </c>
      <c r="H120" s="13">
        <v>1</v>
      </c>
      <c r="I120" s="13">
        <v>1</v>
      </c>
      <c r="J120" s="13">
        <v>1</v>
      </c>
      <c r="K120" s="13">
        <v>1</v>
      </c>
      <c r="L120" s="13">
        <v>1</v>
      </c>
      <c r="M120" s="13">
        <v>1</v>
      </c>
      <c r="N120" s="13">
        <v>1</v>
      </c>
      <c r="O120" s="13">
        <v>1</v>
      </c>
    </row>
    <row r="121" spans="2:15" s="13" customFormat="1" x14ac:dyDescent="0.15">
      <c r="B121" s="13" t="s">
        <v>2495</v>
      </c>
      <c r="E121" s="13" t="s">
        <v>451</v>
      </c>
      <c r="F121" s="13">
        <v>0</v>
      </c>
      <c r="G121" s="13">
        <v>1</v>
      </c>
      <c r="H121" s="13">
        <v>1</v>
      </c>
      <c r="I121" s="13">
        <v>1</v>
      </c>
      <c r="J121" s="13">
        <v>1</v>
      </c>
      <c r="K121" s="13">
        <v>1</v>
      </c>
      <c r="L121" s="13">
        <v>1</v>
      </c>
      <c r="M121" s="13">
        <v>1</v>
      </c>
      <c r="N121" s="13">
        <v>1</v>
      </c>
      <c r="O121" s="13">
        <v>1</v>
      </c>
    </row>
    <row r="122" spans="2:15" s="11" customFormat="1" x14ac:dyDescent="0.15">
      <c r="B122" s="11" t="s">
        <v>1901</v>
      </c>
      <c r="E122" s="11" t="s">
        <v>448</v>
      </c>
      <c r="F122" s="11">
        <v>0</v>
      </c>
      <c r="G122" s="11">
        <v>1</v>
      </c>
      <c r="H122" s="11">
        <v>1</v>
      </c>
      <c r="I122" s="11">
        <v>1</v>
      </c>
      <c r="J122" s="11">
        <v>1</v>
      </c>
      <c r="K122" s="11">
        <v>1</v>
      </c>
      <c r="L122" s="11">
        <v>1</v>
      </c>
      <c r="M122" s="11">
        <v>1</v>
      </c>
      <c r="N122" s="11">
        <v>1</v>
      </c>
      <c r="O122" s="11">
        <v>1</v>
      </c>
    </row>
    <row r="123" spans="2:15" s="11" customFormat="1" x14ac:dyDescent="0.15">
      <c r="B123" s="11" t="s">
        <v>2497</v>
      </c>
      <c r="E123" s="11" t="s">
        <v>450</v>
      </c>
      <c r="F123" s="11">
        <v>0</v>
      </c>
      <c r="G123" s="11">
        <v>1</v>
      </c>
      <c r="H123" s="11">
        <v>1</v>
      </c>
      <c r="I123" s="11">
        <v>1</v>
      </c>
      <c r="J123" s="11">
        <v>1</v>
      </c>
      <c r="K123" s="11">
        <v>1</v>
      </c>
      <c r="L123" s="11">
        <v>1</v>
      </c>
      <c r="M123" s="11">
        <v>1</v>
      </c>
      <c r="N123" s="11">
        <v>1</v>
      </c>
      <c r="O123" s="11">
        <v>1</v>
      </c>
    </row>
    <row r="124" spans="2:15" s="11" customFormat="1" x14ac:dyDescent="0.15">
      <c r="B124" s="11" t="s">
        <v>1903</v>
      </c>
      <c r="E124" s="11" t="s">
        <v>449</v>
      </c>
      <c r="F124" s="11">
        <v>0</v>
      </c>
      <c r="G124" s="11">
        <v>1</v>
      </c>
      <c r="H124" s="11">
        <v>1</v>
      </c>
      <c r="I124" s="11">
        <v>1</v>
      </c>
      <c r="J124" s="11">
        <v>1</v>
      </c>
      <c r="K124" s="11">
        <v>1</v>
      </c>
      <c r="L124" s="11">
        <v>1</v>
      </c>
      <c r="M124" s="11">
        <v>1</v>
      </c>
      <c r="N124" s="11">
        <v>1</v>
      </c>
      <c r="O124" s="11">
        <v>1</v>
      </c>
    </row>
    <row r="125" spans="2:15" s="11" customFormat="1" x14ac:dyDescent="0.15">
      <c r="B125" s="11" t="s">
        <v>2499</v>
      </c>
      <c r="E125" s="11" t="s">
        <v>447</v>
      </c>
      <c r="F125" s="11">
        <v>0</v>
      </c>
      <c r="G125" s="11">
        <v>1</v>
      </c>
      <c r="H125" s="11">
        <v>1</v>
      </c>
      <c r="I125" s="11">
        <v>1</v>
      </c>
      <c r="J125" s="11">
        <v>1</v>
      </c>
      <c r="K125" s="11">
        <v>1</v>
      </c>
      <c r="L125" s="11">
        <v>1</v>
      </c>
      <c r="M125" s="11">
        <v>1</v>
      </c>
      <c r="N125" s="11">
        <v>1</v>
      </c>
      <c r="O125" s="11">
        <v>1</v>
      </c>
    </row>
    <row r="126" spans="2:15" s="11" customFormat="1" x14ac:dyDescent="0.15">
      <c r="B126" s="11" t="s">
        <v>1905</v>
      </c>
      <c r="E126" s="11" t="s">
        <v>446</v>
      </c>
      <c r="F126" s="11">
        <v>0</v>
      </c>
      <c r="G126" s="11">
        <v>1</v>
      </c>
      <c r="H126" s="11">
        <v>1</v>
      </c>
      <c r="I126" s="11">
        <v>1</v>
      </c>
      <c r="J126" s="11">
        <v>1</v>
      </c>
      <c r="K126" s="11">
        <v>1</v>
      </c>
      <c r="L126" s="11">
        <v>1</v>
      </c>
      <c r="M126" s="11">
        <v>1</v>
      </c>
      <c r="N126" s="11">
        <v>1</v>
      </c>
      <c r="O126" s="11">
        <v>1</v>
      </c>
    </row>
    <row r="127" spans="2:15" s="11" customFormat="1" x14ac:dyDescent="0.15">
      <c r="B127" s="11" t="s">
        <v>2501</v>
      </c>
      <c r="E127" s="11" t="s">
        <v>453</v>
      </c>
      <c r="F127" s="11">
        <v>0</v>
      </c>
      <c r="G127" s="11">
        <v>1</v>
      </c>
      <c r="H127" s="11">
        <v>1</v>
      </c>
      <c r="I127" s="11">
        <v>1</v>
      </c>
      <c r="J127" s="11">
        <v>1</v>
      </c>
      <c r="K127" s="11">
        <v>1</v>
      </c>
      <c r="L127" s="11">
        <v>1</v>
      </c>
      <c r="M127" s="11">
        <v>1</v>
      </c>
      <c r="N127" s="11">
        <v>1</v>
      </c>
      <c r="O127" s="11">
        <v>1</v>
      </c>
    </row>
    <row r="128" spans="2:15" s="11" customFormat="1" x14ac:dyDescent="0.15">
      <c r="B128" s="11" t="s">
        <v>1907</v>
      </c>
      <c r="E128" s="11" t="s">
        <v>452</v>
      </c>
      <c r="F128" s="11">
        <v>0</v>
      </c>
      <c r="G128" s="11">
        <v>1</v>
      </c>
      <c r="H128" s="11">
        <v>1</v>
      </c>
      <c r="I128" s="11">
        <v>1</v>
      </c>
      <c r="J128" s="11">
        <v>1</v>
      </c>
      <c r="K128" s="11">
        <v>1</v>
      </c>
      <c r="L128" s="11">
        <v>1</v>
      </c>
      <c r="M128" s="11">
        <v>1</v>
      </c>
      <c r="N128" s="11">
        <v>1</v>
      </c>
      <c r="O128" s="11">
        <v>1</v>
      </c>
    </row>
    <row r="129" spans="2:15" s="11" customFormat="1" x14ac:dyDescent="0.15">
      <c r="B129" s="11" t="s">
        <v>1909</v>
      </c>
      <c r="E129" s="11" t="s">
        <v>448</v>
      </c>
      <c r="F129" s="11">
        <v>0</v>
      </c>
      <c r="G129" s="11">
        <v>1</v>
      </c>
      <c r="H129" s="11">
        <v>1</v>
      </c>
      <c r="I129" s="11">
        <v>1</v>
      </c>
      <c r="J129" s="11">
        <v>1</v>
      </c>
      <c r="K129" s="11">
        <v>1</v>
      </c>
      <c r="L129" s="11">
        <v>1</v>
      </c>
      <c r="M129" s="11">
        <v>1</v>
      </c>
      <c r="N129" s="11">
        <v>1</v>
      </c>
      <c r="O129" s="11">
        <v>1</v>
      </c>
    </row>
    <row r="130" spans="2:15" s="11" customFormat="1" x14ac:dyDescent="0.15">
      <c r="B130" s="11" t="s">
        <v>2503</v>
      </c>
      <c r="E130" s="11" t="s">
        <v>449</v>
      </c>
      <c r="F130" s="11">
        <v>0</v>
      </c>
      <c r="G130" s="11">
        <v>1</v>
      </c>
      <c r="H130" s="11">
        <v>1</v>
      </c>
      <c r="I130" s="11">
        <v>1</v>
      </c>
      <c r="J130" s="11">
        <v>1</v>
      </c>
      <c r="K130" s="11">
        <v>1</v>
      </c>
      <c r="L130" s="11">
        <v>1</v>
      </c>
      <c r="M130" s="11">
        <v>1</v>
      </c>
      <c r="N130" s="11">
        <v>1</v>
      </c>
      <c r="O130" s="11">
        <v>1</v>
      </c>
    </row>
    <row r="131" spans="2:15" s="11" customFormat="1" x14ac:dyDescent="0.15">
      <c r="B131" s="11" t="s">
        <v>2505</v>
      </c>
      <c r="E131" s="11" t="s">
        <v>451</v>
      </c>
      <c r="F131" s="11">
        <v>0</v>
      </c>
      <c r="G131" s="11">
        <v>1</v>
      </c>
      <c r="H131" s="11">
        <v>1</v>
      </c>
      <c r="I131" s="11">
        <v>1</v>
      </c>
      <c r="J131" s="11">
        <v>1</v>
      </c>
      <c r="K131" s="11">
        <v>1</v>
      </c>
      <c r="L131" s="11">
        <v>1</v>
      </c>
      <c r="M131" s="11">
        <v>1</v>
      </c>
      <c r="N131" s="11">
        <v>1</v>
      </c>
      <c r="O131" s="11">
        <v>1</v>
      </c>
    </row>
    <row r="132" spans="2:15" s="11" customFormat="1" x14ac:dyDescent="0.15">
      <c r="B132" s="11" t="s">
        <v>2507</v>
      </c>
      <c r="E132" s="11" t="s">
        <v>450</v>
      </c>
      <c r="F132" s="11">
        <v>0</v>
      </c>
      <c r="G132" s="11">
        <v>1</v>
      </c>
      <c r="H132" s="11">
        <v>1</v>
      </c>
      <c r="I132" s="11">
        <v>1</v>
      </c>
      <c r="J132" s="11">
        <v>1</v>
      </c>
      <c r="K132" s="11">
        <v>1</v>
      </c>
      <c r="L132" s="11">
        <v>1</v>
      </c>
      <c r="M132" s="11">
        <v>1</v>
      </c>
      <c r="N132" s="11">
        <v>1</v>
      </c>
      <c r="O132" s="11">
        <v>1</v>
      </c>
    </row>
    <row r="133" spans="2:15" s="11" customFormat="1" x14ac:dyDescent="0.15">
      <c r="B133" s="11" t="s">
        <v>2509</v>
      </c>
      <c r="E133" s="11" t="s">
        <v>451</v>
      </c>
      <c r="F133" s="11">
        <v>0</v>
      </c>
      <c r="G133" s="11">
        <v>1</v>
      </c>
      <c r="H133" s="11">
        <v>1</v>
      </c>
      <c r="I133" s="11">
        <v>1</v>
      </c>
      <c r="J133" s="11">
        <v>1</v>
      </c>
      <c r="K133" s="11">
        <v>1</v>
      </c>
      <c r="L133" s="11">
        <v>1</v>
      </c>
      <c r="M133" s="11">
        <v>1</v>
      </c>
      <c r="N133" s="11">
        <v>1</v>
      </c>
      <c r="O133" s="11">
        <v>1</v>
      </c>
    </row>
    <row r="134" spans="2:15" s="11" customFormat="1" x14ac:dyDescent="0.15">
      <c r="B134" s="11" t="s">
        <v>2511</v>
      </c>
      <c r="E134" s="11" t="s">
        <v>448</v>
      </c>
      <c r="F134" s="11">
        <v>0</v>
      </c>
      <c r="G134" s="11">
        <v>1</v>
      </c>
      <c r="H134" s="11">
        <v>1</v>
      </c>
      <c r="I134" s="11">
        <v>1</v>
      </c>
      <c r="J134" s="11">
        <v>1</v>
      </c>
      <c r="K134" s="11">
        <v>1</v>
      </c>
      <c r="L134" s="11">
        <v>1</v>
      </c>
      <c r="M134" s="11">
        <v>1</v>
      </c>
      <c r="N134" s="11">
        <v>1</v>
      </c>
      <c r="O134" s="11">
        <v>1</v>
      </c>
    </row>
    <row r="135" spans="2:15" s="11" customFormat="1" x14ac:dyDescent="0.15">
      <c r="B135" s="11" t="s">
        <v>2513</v>
      </c>
      <c r="E135" s="11" t="s">
        <v>450</v>
      </c>
      <c r="F135" s="11">
        <v>0</v>
      </c>
      <c r="G135" s="11">
        <v>1</v>
      </c>
      <c r="H135" s="11">
        <v>1</v>
      </c>
      <c r="I135" s="11">
        <v>1</v>
      </c>
      <c r="J135" s="11">
        <v>1</v>
      </c>
      <c r="K135" s="11">
        <v>1</v>
      </c>
      <c r="L135" s="11">
        <v>1</v>
      </c>
      <c r="M135" s="11">
        <v>1</v>
      </c>
      <c r="N135" s="11">
        <v>1</v>
      </c>
      <c r="O135" s="11">
        <v>1</v>
      </c>
    </row>
    <row r="136" spans="2:15" s="11" customFormat="1" x14ac:dyDescent="0.15">
      <c r="B136" s="11" t="s">
        <v>2515</v>
      </c>
      <c r="E136" s="11" t="s">
        <v>453</v>
      </c>
      <c r="F136" s="11">
        <v>0</v>
      </c>
      <c r="G136" s="11">
        <v>1</v>
      </c>
      <c r="H136" s="11">
        <v>1</v>
      </c>
      <c r="I136" s="11">
        <v>1</v>
      </c>
      <c r="J136" s="11">
        <v>1</v>
      </c>
      <c r="K136" s="11">
        <v>1</v>
      </c>
      <c r="L136" s="11">
        <v>1</v>
      </c>
      <c r="M136" s="11">
        <v>1</v>
      </c>
      <c r="N136" s="11">
        <v>1</v>
      </c>
      <c r="O136" s="11">
        <v>1</v>
      </c>
    </row>
    <row r="137" spans="2:15" s="11" customFormat="1" x14ac:dyDescent="0.15">
      <c r="B137" s="11" t="s">
        <v>2517</v>
      </c>
      <c r="E137" s="11" t="s">
        <v>449</v>
      </c>
      <c r="F137" s="11">
        <v>0</v>
      </c>
      <c r="G137" s="11">
        <v>1</v>
      </c>
      <c r="H137" s="11">
        <v>1</v>
      </c>
      <c r="I137" s="11">
        <v>1</v>
      </c>
      <c r="J137" s="11">
        <v>1</v>
      </c>
      <c r="K137" s="11">
        <v>1</v>
      </c>
      <c r="L137" s="11">
        <v>1</v>
      </c>
      <c r="M137" s="11">
        <v>1</v>
      </c>
      <c r="N137" s="11">
        <v>1</v>
      </c>
      <c r="O137" s="11">
        <v>1</v>
      </c>
    </row>
    <row r="138" spans="2:15" s="11" customFormat="1" x14ac:dyDescent="0.15">
      <c r="B138" s="11" t="s">
        <v>2519</v>
      </c>
      <c r="E138" s="11" t="s">
        <v>452</v>
      </c>
      <c r="F138" s="11">
        <v>0</v>
      </c>
      <c r="G138" s="11">
        <v>1</v>
      </c>
      <c r="H138" s="11">
        <v>1</v>
      </c>
      <c r="I138" s="11">
        <v>1</v>
      </c>
      <c r="J138" s="11">
        <v>1</v>
      </c>
      <c r="K138" s="11">
        <v>1</v>
      </c>
      <c r="L138" s="11">
        <v>1</v>
      </c>
      <c r="M138" s="11">
        <v>1</v>
      </c>
      <c r="N138" s="11">
        <v>1</v>
      </c>
      <c r="O138" s="11">
        <v>1</v>
      </c>
    </row>
    <row r="139" spans="2:15" s="13" customFormat="1" x14ac:dyDescent="0.15">
      <c r="B139" s="13" t="s">
        <v>1911</v>
      </c>
      <c r="E139" s="13" t="s">
        <v>449</v>
      </c>
      <c r="F139" s="13">
        <v>0</v>
      </c>
      <c r="G139" s="13">
        <v>1</v>
      </c>
      <c r="H139" s="13">
        <v>1</v>
      </c>
      <c r="I139" s="13">
        <v>1</v>
      </c>
      <c r="J139" s="13">
        <v>1</v>
      </c>
      <c r="K139" s="13">
        <v>1</v>
      </c>
      <c r="L139" s="13">
        <v>1</v>
      </c>
      <c r="M139" s="13">
        <v>1</v>
      </c>
      <c r="N139" s="13">
        <v>1</v>
      </c>
      <c r="O139" s="13">
        <v>1</v>
      </c>
    </row>
    <row r="140" spans="2:15" s="13" customFormat="1" x14ac:dyDescent="0.15">
      <c r="B140" s="13" t="s">
        <v>2521</v>
      </c>
      <c r="E140" s="13" t="s">
        <v>447</v>
      </c>
      <c r="F140" s="13">
        <v>0</v>
      </c>
      <c r="G140" s="13">
        <v>1</v>
      </c>
      <c r="H140" s="13">
        <v>1</v>
      </c>
      <c r="I140" s="13">
        <v>1</v>
      </c>
      <c r="J140" s="13">
        <v>1</v>
      </c>
      <c r="K140" s="13">
        <v>1</v>
      </c>
      <c r="L140" s="13">
        <v>1</v>
      </c>
      <c r="M140" s="13">
        <v>1</v>
      </c>
      <c r="N140" s="13">
        <v>1</v>
      </c>
      <c r="O140" s="13">
        <v>1</v>
      </c>
    </row>
    <row r="141" spans="2:15" s="13" customFormat="1" x14ac:dyDescent="0.15">
      <c r="B141" s="13" t="s">
        <v>1913</v>
      </c>
      <c r="E141" s="13" t="s">
        <v>446</v>
      </c>
      <c r="F141" s="13">
        <v>0</v>
      </c>
      <c r="G141" s="13">
        <v>1</v>
      </c>
      <c r="H141" s="13">
        <v>1</v>
      </c>
      <c r="I141" s="13">
        <v>1</v>
      </c>
      <c r="J141" s="13">
        <v>1</v>
      </c>
      <c r="K141" s="13">
        <v>1</v>
      </c>
      <c r="L141" s="13">
        <v>1</v>
      </c>
      <c r="M141" s="13">
        <v>1</v>
      </c>
      <c r="N141" s="13">
        <v>1</v>
      </c>
      <c r="O141" s="13">
        <v>1</v>
      </c>
    </row>
    <row r="142" spans="2:15" s="13" customFormat="1" x14ac:dyDescent="0.15">
      <c r="B142" s="13" t="s">
        <v>2523</v>
      </c>
      <c r="E142" s="13" t="s">
        <v>448</v>
      </c>
      <c r="F142" s="13">
        <v>0</v>
      </c>
      <c r="G142" s="13">
        <v>1</v>
      </c>
      <c r="H142" s="13">
        <v>1</v>
      </c>
      <c r="I142" s="13">
        <v>1</v>
      </c>
      <c r="J142" s="13">
        <v>1</v>
      </c>
      <c r="K142" s="13">
        <v>1</v>
      </c>
      <c r="L142" s="13">
        <v>1</v>
      </c>
      <c r="M142" s="13">
        <v>1</v>
      </c>
      <c r="N142" s="13">
        <v>1</v>
      </c>
      <c r="O142" s="13">
        <v>1</v>
      </c>
    </row>
    <row r="143" spans="2:15" s="13" customFormat="1" x14ac:dyDescent="0.15">
      <c r="B143" s="13" t="s">
        <v>1915</v>
      </c>
      <c r="E143" s="13" t="s">
        <v>446</v>
      </c>
      <c r="F143" s="13">
        <v>0</v>
      </c>
      <c r="G143" s="13">
        <v>1</v>
      </c>
      <c r="H143" s="13">
        <v>1</v>
      </c>
      <c r="I143" s="13">
        <v>1</v>
      </c>
      <c r="J143" s="13">
        <v>1</v>
      </c>
      <c r="K143" s="13">
        <v>1</v>
      </c>
      <c r="L143" s="13">
        <v>1</v>
      </c>
      <c r="M143" s="13">
        <v>1</v>
      </c>
      <c r="N143" s="13">
        <v>1</v>
      </c>
      <c r="O143" s="13">
        <v>1</v>
      </c>
    </row>
    <row r="144" spans="2:15" s="13" customFormat="1" x14ac:dyDescent="0.15">
      <c r="B144" s="13" t="s">
        <v>1917</v>
      </c>
      <c r="E144" s="13" t="s">
        <v>449</v>
      </c>
      <c r="F144" s="13">
        <v>0</v>
      </c>
      <c r="G144" s="13">
        <v>1</v>
      </c>
      <c r="H144" s="13">
        <v>1</v>
      </c>
      <c r="I144" s="13">
        <v>1</v>
      </c>
      <c r="J144" s="13">
        <v>1</v>
      </c>
      <c r="K144" s="13">
        <v>1</v>
      </c>
      <c r="L144" s="13">
        <v>1</v>
      </c>
      <c r="M144" s="13">
        <v>1</v>
      </c>
      <c r="N144" s="13">
        <v>1</v>
      </c>
      <c r="O144" s="13">
        <v>1</v>
      </c>
    </row>
    <row r="145" spans="2:15" s="13" customFormat="1" x14ac:dyDescent="0.15">
      <c r="B145" s="13" t="s">
        <v>2525</v>
      </c>
      <c r="E145" s="13" t="s">
        <v>451</v>
      </c>
      <c r="F145" s="13">
        <v>0</v>
      </c>
      <c r="G145" s="13">
        <v>1</v>
      </c>
      <c r="H145" s="13">
        <v>1</v>
      </c>
      <c r="I145" s="13">
        <v>1</v>
      </c>
      <c r="J145" s="13">
        <v>1</v>
      </c>
      <c r="K145" s="13">
        <v>1</v>
      </c>
      <c r="L145" s="13">
        <v>1</v>
      </c>
      <c r="M145" s="13">
        <v>1</v>
      </c>
      <c r="N145" s="13">
        <v>1</v>
      </c>
      <c r="O145" s="13">
        <v>1</v>
      </c>
    </row>
    <row r="146" spans="2:15" s="13" customFormat="1" x14ac:dyDescent="0.15">
      <c r="B146" s="13" t="s">
        <v>2527</v>
      </c>
      <c r="E146" s="13" t="s">
        <v>450</v>
      </c>
      <c r="F146" s="13">
        <v>0</v>
      </c>
      <c r="G146" s="13">
        <v>1</v>
      </c>
      <c r="H146" s="13">
        <v>1</v>
      </c>
      <c r="I146" s="13">
        <v>1</v>
      </c>
      <c r="J146" s="13">
        <v>1</v>
      </c>
      <c r="K146" s="13">
        <v>1</v>
      </c>
      <c r="L146" s="13">
        <v>1</v>
      </c>
      <c r="M146" s="13">
        <v>1</v>
      </c>
      <c r="N146" s="13">
        <v>1</v>
      </c>
      <c r="O146" s="13">
        <v>1</v>
      </c>
    </row>
    <row r="147" spans="2:15" s="13" customFormat="1" x14ac:dyDescent="0.15">
      <c r="B147" s="13" t="s">
        <v>2529</v>
      </c>
      <c r="E147" s="13" t="s">
        <v>448</v>
      </c>
      <c r="F147" s="13">
        <v>0</v>
      </c>
      <c r="G147" s="13">
        <v>1</v>
      </c>
      <c r="H147" s="13">
        <v>1</v>
      </c>
      <c r="I147" s="13">
        <v>1</v>
      </c>
      <c r="J147" s="13">
        <v>1</v>
      </c>
      <c r="K147" s="13">
        <v>1</v>
      </c>
      <c r="L147" s="13">
        <v>1</v>
      </c>
      <c r="M147" s="13">
        <v>1</v>
      </c>
      <c r="N147" s="13">
        <v>1</v>
      </c>
      <c r="O147" s="13">
        <v>1</v>
      </c>
    </row>
    <row r="148" spans="2:15" s="13" customFormat="1" x14ac:dyDescent="0.15">
      <c r="B148" s="13" t="s">
        <v>2531</v>
      </c>
      <c r="E148" s="13" t="s">
        <v>447</v>
      </c>
      <c r="F148" s="13">
        <v>0</v>
      </c>
      <c r="G148" s="13">
        <v>1</v>
      </c>
      <c r="H148" s="13">
        <v>1</v>
      </c>
      <c r="I148" s="13">
        <v>1</v>
      </c>
      <c r="J148" s="13">
        <v>1</v>
      </c>
      <c r="K148" s="13">
        <v>1</v>
      </c>
      <c r="L148" s="13">
        <v>1</v>
      </c>
      <c r="M148" s="13">
        <v>1</v>
      </c>
      <c r="N148" s="13">
        <v>1</v>
      </c>
      <c r="O148" s="13">
        <v>1</v>
      </c>
    </row>
    <row r="149" spans="2:15" s="13" customFormat="1" x14ac:dyDescent="0.15">
      <c r="B149" s="13" t="s">
        <v>2533</v>
      </c>
      <c r="E149" s="13" t="s">
        <v>446</v>
      </c>
      <c r="F149" s="13">
        <v>0</v>
      </c>
      <c r="G149" s="13">
        <v>1</v>
      </c>
      <c r="H149" s="13">
        <v>1</v>
      </c>
      <c r="I149" s="13">
        <v>1</v>
      </c>
      <c r="J149" s="13">
        <v>1</v>
      </c>
      <c r="K149" s="13">
        <v>1</v>
      </c>
      <c r="L149" s="13">
        <v>1</v>
      </c>
      <c r="M149" s="13">
        <v>1</v>
      </c>
      <c r="N149" s="13">
        <v>1</v>
      </c>
      <c r="O149" s="13">
        <v>1</v>
      </c>
    </row>
    <row r="150" spans="2:15" s="13" customFormat="1" x14ac:dyDescent="0.15">
      <c r="B150" s="13" t="s">
        <v>2535</v>
      </c>
      <c r="E150" s="13" t="s">
        <v>448</v>
      </c>
      <c r="F150" s="13">
        <v>0</v>
      </c>
      <c r="G150" s="13">
        <v>1</v>
      </c>
      <c r="H150" s="13">
        <v>1</v>
      </c>
      <c r="I150" s="13">
        <v>1</v>
      </c>
      <c r="J150" s="13">
        <v>1</v>
      </c>
      <c r="K150" s="13">
        <v>1</v>
      </c>
      <c r="L150" s="13">
        <v>1</v>
      </c>
      <c r="M150" s="13">
        <v>1</v>
      </c>
      <c r="N150" s="13">
        <v>1</v>
      </c>
      <c r="O150" s="13">
        <v>1</v>
      </c>
    </row>
    <row r="151" spans="2:15" s="11" customFormat="1" x14ac:dyDescent="0.15">
      <c r="B151" s="11" t="s">
        <v>2537</v>
      </c>
      <c r="E151" s="11" t="s">
        <v>447</v>
      </c>
      <c r="F151" s="11">
        <v>0</v>
      </c>
      <c r="G151" s="11">
        <v>1</v>
      </c>
      <c r="H151" s="11">
        <v>1</v>
      </c>
      <c r="I151" s="11">
        <v>1</v>
      </c>
      <c r="J151" s="11">
        <v>1</v>
      </c>
      <c r="K151" s="11">
        <v>1</v>
      </c>
      <c r="L151" s="11">
        <v>1</v>
      </c>
      <c r="M151" s="11">
        <v>1</v>
      </c>
      <c r="N151" s="11">
        <v>1</v>
      </c>
      <c r="O151" s="11">
        <v>1</v>
      </c>
    </row>
    <row r="152" spans="2:15" s="11" customFormat="1" x14ac:dyDescent="0.15">
      <c r="B152" s="11" t="s">
        <v>2539</v>
      </c>
      <c r="E152" s="11" t="s">
        <v>446</v>
      </c>
      <c r="F152" s="11">
        <v>0</v>
      </c>
      <c r="G152" s="11">
        <v>1</v>
      </c>
      <c r="H152" s="11">
        <v>1</v>
      </c>
      <c r="I152" s="11">
        <v>1</v>
      </c>
      <c r="J152" s="11">
        <v>1</v>
      </c>
      <c r="K152" s="11">
        <v>1</v>
      </c>
      <c r="L152" s="11">
        <v>1</v>
      </c>
      <c r="M152" s="11">
        <v>1</v>
      </c>
      <c r="N152" s="11">
        <v>1</v>
      </c>
      <c r="O152" s="11">
        <v>1</v>
      </c>
    </row>
    <row r="153" spans="2:15" s="11" customFormat="1" x14ac:dyDescent="0.15">
      <c r="B153" s="11" t="s">
        <v>2541</v>
      </c>
      <c r="E153" s="11" t="s">
        <v>453</v>
      </c>
      <c r="F153" s="11">
        <v>0</v>
      </c>
      <c r="G153" s="11">
        <v>1</v>
      </c>
      <c r="H153" s="11">
        <v>1</v>
      </c>
      <c r="I153" s="11">
        <v>1</v>
      </c>
      <c r="J153" s="11">
        <v>1</v>
      </c>
      <c r="K153" s="11">
        <v>1</v>
      </c>
      <c r="L153" s="11">
        <v>1</v>
      </c>
      <c r="M153" s="11">
        <v>1</v>
      </c>
      <c r="N153" s="11">
        <v>1</v>
      </c>
      <c r="O153" s="11">
        <v>1</v>
      </c>
    </row>
    <row r="154" spans="2:15" s="11" customFormat="1" x14ac:dyDescent="0.15">
      <c r="B154" s="11" t="s">
        <v>2543</v>
      </c>
      <c r="E154" s="11" t="s">
        <v>449</v>
      </c>
      <c r="F154" s="11">
        <v>0</v>
      </c>
      <c r="G154" s="11">
        <v>1</v>
      </c>
      <c r="H154" s="11">
        <v>1</v>
      </c>
      <c r="I154" s="11">
        <v>1</v>
      </c>
      <c r="J154" s="11">
        <v>1</v>
      </c>
      <c r="K154" s="11">
        <v>1</v>
      </c>
      <c r="L154" s="11">
        <v>1</v>
      </c>
      <c r="M154" s="11">
        <v>1</v>
      </c>
      <c r="N154" s="11">
        <v>1</v>
      </c>
      <c r="O154" s="11">
        <v>1</v>
      </c>
    </row>
    <row r="155" spans="2:15" s="11" customFormat="1" x14ac:dyDescent="0.15">
      <c r="B155" s="11" t="s">
        <v>2545</v>
      </c>
      <c r="E155" s="11" t="s">
        <v>452</v>
      </c>
      <c r="F155" s="11">
        <v>0</v>
      </c>
      <c r="G155" s="11">
        <v>1</v>
      </c>
      <c r="H155" s="11">
        <v>1</v>
      </c>
      <c r="I155" s="11">
        <v>1</v>
      </c>
      <c r="J155" s="11">
        <v>1</v>
      </c>
      <c r="K155" s="11">
        <v>1</v>
      </c>
      <c r="L155" s="11">
        <v>1</v>
      </c>
      <c r="M155" s="11">
        <v>1</v>
      </c>
      <c r="N155" s="11">
        <v>1</v>
      </c>
      <c r="O155" s="11">
        <v>1</v>
      </c>
    </row>
    <row r="156" spans="2:15" s="11" customFormat="1" x14ac:dyDescent="0.15">
      <c r="B156" s="11" t="s">
        <v>1919</v>
      </c>
      <c r="E156" s="11" t="s">
        <v>448</v>
      </c>
      <c r="F156" s="11">
        <v>0</v>
      </c>
      <c r="G156" s="11">
        <v>1</v>
      </c>
      <c r="H156" s="11">
        <v>1</v>
      </c>
      <c r="I156" s="11">
        <v>1</v>
      </c>
      <c r="J156" s="11">
        <v>1</v>
      </c>
      <c r="K156" s="11">
        <v>1</v>
      </c>
      <c r="L156" s="11">
        <v>1</v>
      </c>
      <c r="M156" s="11">
        <v>1</v>
      </c>
      <c r="N156" s="11">
        <v>1</v>
      </c>
      <c r="O156" s="11">
        <v>1</v>
      </c>
    </row>
    <row r="157" spans="2:15" s="11" customFormat="1" x14ac:dyDescent="0.15">
      <c r="B157" s="11" t="s">
        <v>1921</v>
      </c>
      <c r="E157" s="11" t="s">
        <v>453</v>
      </c>
      <c r="F157" s="11">
        <v>0</v>
      </c>
      <c r="G157" s="11">
        <v>1</v>
      </c>
      <c r="H157" s="11">
        <v>1</v>
      </c>
      <c r="I157" s="11">
        <v>1</v>
      </c>
      <c r="J157" s="11">
        <v>1</v>
      </c>
      <c r="K157" s="11">
        <v>1</v>
      </c>
      <c r="L157" s="11">
        <v>1</v>
      </c>
      <c r="M157" s="11">
        <v>1</v>
      </c>
      <c r="N157" s="11">
        <v>1</v>
      </c>
      <c r="O157" s="11">
        <v>1</v>
      </c>
    </row>
    <row r="158" spans="2:15" s="11" customFormat="1" x14ac:dyDescent="0.15">
      <c r="B158" s="11" t="s">
        <v>1923</v>
      </c>
      <c r="E158" s="11" t="s">
        <v>449</v>
      </c>
      <c r="F158" s="11">
        <v>0</v>
      </c>
      <c r="G158" s="11">
        <v>1</v>
      </c>
      <c r="H158" s="11">
        <v>1</v>
      </c>
      <c r="I158" s="11">
        <v>1</v>
      </c>
      <c r="J158" s="11">
        <v>1</v>
      </c>
      <c r="K158" s="11">
        <v>1</v>
      </c>
      <c r="L158" s="11">
        <v>1</v>
      </c>
      <c r="M158" s="11">
        <v>1</v>
      </c>
      <c r="N158" s="11">
        <v>1</v>
      </c>
      <c r="O158" s="11">
        <v>1</v>
      </c>
    </row>
    <row r="159" spans="2:15" s="11" customFormat="1" x14ac:dyDescent="0.15">
      <c r="B159" s="11" t="s">
        <v>1925</v>
      </c>
      <c r="E159" s="11" t="s">
        <v>452</v>
      </c>
      <c r="F159" s="11">
        <v>0</v>
      </c>
      <c r="G159" s="11">
        <v>1</v>
      </c>
      <c r="H159" s="11">
        <v>1</v>
      </c>
      <c r="I159" s="11">
        <v>1</v>
      </c>
      <c r="J159" s="11">
        <v>1</v>
      </c>
      <c r="K159" s="11">
        <v>1</v>
      </c>
      <c r="L159" s="11">
        <v>1</v>
      </c>
      <c r="M159" s="11">
        <v>1</v>
      </c>
      <c r="N159" s="11">
        <v>1</v>
      </c>
      <c r="O159" s="11">
        <v>1</v>
      </c>
    </row>
    <row r="160" spans="2:15" s="11" customFormat="1" x14ac:dyDescent="0.15">
      <c r="B160" s="11" t="s">
        <v>2547</v>
      </c>
      <c r="E160" s="11" t="s">
        <v>448</v>
      </c>
      <c r="F160" s="11">
        <v>0</v>
      </c>
      <c r="G160" s="11">
        <v>1</v>
      </c>
      <c r="H160" s="11">
        <v>1</v>
      </c>
      <c r="I160" s="11">
        <v>1</v>
      </c>
      <c r="J160" s="11">
        <v>1</v>
      </c>
      <c r="K160" s="11">
        <v>1</v>
      </c>
      <c r="L160" s="11">
        <v>1</v>
      </c>
      <c r="M160" s="11">
        <v>1</v>
      </c>
      <c r="N160" s="11">
        <v>1</v>
      </c>
      <c r="O160" s="11">
        <v>1</v>
      </c>
    </row>
    <row r="161" spans="2:15" s="11" customFormat="1" x14ac:dyDescent="0.15">
      <c r="B161" s="11" t="s">
        <v>2549</v>
      </c>
      <c r="E161" s="11" t="s">
        <v>449</v>
      </c>
      <c r="F161" s="11">
        <v>0</v>
      </c>
      <c r="G161" s="11">
        <v>1</v>
      </c>
      <c r="H161" s="11">
        <v>1</v>
      </c>
      <c r="I161" s="11">
        <v>1</v>
      </c>
      <c r="J161" s="11">
        <v>1</v>
      </c>
      <c r="K161" s="11">
        <v>1</v>
      </c>
      <c r="L161" s="11">
        <v>1</v>
      </c>
      <c r="M161" s="11">
        <v>1</v>
      </c>
      <c r="N161" s="11">
        <v>1</v>
      </c>
      <c r="O161" s="11">
        <v>1</v>
      </c>
    </row>
    <row r="162" spans="2:15" s="11" customFormat="1" x14ac:dyDescent="0.15">
      <c r="B162" s="11" t="s">
        <v>1927</v>
      </c>
      <c r="E162" s="11" t="s">
        <v>449</v>
      </c>
      <c r="F162" s="11">
        <v>0</v>
      </c>
      <c r="G162" s="11">
        <v>1</v>
      </c>
      <c r="H162" s="11">
        <v>1</v>
      </c>
      <c r="I162" s="11">
        <v>1</v>
      </c>
      <c r="J162" s="11">
        <v>1</v>
      </c>
      <c r="K162" s="11">
        <v>1</v>
      </c>
      <c r="L162" s="11">
        <v>1</v>
      </c>
      <c r="M162" s="11">
        <v>1</v>
      </c>
      <c r="N162" s="11">
        <v>1</v>
      </c>
      <c r="O162" s="11">
        <v>1</v>
      </c>
    </row>
    <row r="163" spans="2:15" s="11" customFormat="1" x14ac:dyDescent="0.15">
      <c r="B163" s="11" t="s">
        <v>2558</v>
      </c>
      <c r="E163" s="11" t="s">
        <v>448</v>
      </c>
      <c r="F163" s="11">
        <v>0</v>
      </c>
      <c r="G163" s="11">
        <v>1</v>
      </c>
      <c r="H163" s="11">
        <v>1</v>
      </c>
      <c r="I163" s="11">
        <v>1</v>
      </c>
      <c r="J163" s="11">
        <v>1</v>
      </c>
      <c r="K163" s="11">
        <v>1</v>
      </c>
      <c r="L163" s="11">
        <v>1</v>
      </c>
      <c r="M163" s="11">
        <v>1</v>
      </c>
      <c r="N163" s="11">
        <v>1</v>
      </c>
      <c r="O163" s="11">
        <v>1</v>
      </c>
    </row>
    <row r="164" spans="2:15" s="11" customFormat="1" x14ac:dyDescent="0.15">
      <c r="B164" s="11" t="s">
        <v>2562</v>
      </c>
      <c r="E164" s="11" t="s">
        <v>447</v>
      </c>
      <c r="F164" s="11">
        <v>0</v>
      </c>
      <c r="G164" s="11">
        <v>1</v>
      </c>
      <c r="H164" s="11">
        <v>1</v>
      </c>
      <c r="I164" s="11">
        <v>1</v>
      </c>
      <c r="J164" s="11">
        <v>1</v>
      </c>
      <c r="K164" s="11">
        <v>1</v>
      </c>
      <c r="L164" s="11">
        <v>1</v>
      </c>
      <c r="M164" s="11">
        <v>1</v>
      </c>
      <c r="N164" s="11">
        <v>1</v>
      </c>
      <c r="O164" s="11">
        <v>1</v>
      </c>
    </row>
    <row r="165" spans="2:15" s="11" customFormat="1" x14ac:dyDescent="0.15">
      <c r="B165" s="11" t="s">
        <v>1929</v>
      </c>
      <c r="E165" s="11" t="s">
        <v>453</v>
      </c>
      <c r="F165" s="11">
        <v>0</v>
      </c>
      <c r="G165" s="11">
        <v>1</v>
      </c>
      <c r="H165" s="11">
        <v>1</v>
      </c>
      <c r="I165" s="11">
        <v>1</v>
      </c>
      <c r="J165" s="11">
        <v>1</v>
      </c>
      <c r="K165" s="11">
        <v>1</v>
      </c>
      <c r="L165" s="11">
        <v>1</v>
      </c>
      <c r="M165" s="11">
        <v>1</v>
      </c>
      <c r="N165" s="11">
        <v>1</v>
      </c>
      <c r="O165" s="11">
        <v>1</v>
      </c>
    </row>
    <row r="166" spans="2:15" s="11" customFormat="1" x14ac:dyDescent="0.15">
      <c r="B166" s="11" t="s">
        <v>1931</v>
      </c>
      <c r="E166" s="11" t="s">
        <v>449</v>
      </c>
      <c r="F166" s="11">
        <v>0</v>
      </c>
      <c r="G166" s="11">
        <v>1</v>
      </c>
      <c r="H166" s="11">
        <v>1</v>
      </c>
      <c r="I166" s="11">
        <v>1</v>
      </c>
      <c r="J166" s="11">
        <v>1</v>
      </c>
      <c r="K166" s="11">
        <v>1</v>
      </c>
      <c r="L166" s="11">
        <v>1</v>
      </c>
      <c r="M166" s="11">
        <v>1</v>
      </c>
      <c r="N166" s="11">
        <v>1</v>
      </c>
      <c r="O166" s="11">
        <v>1</v>
      </c>
    </row>
    <row r="167" spans="2:15" s="11" customFormat="1" x14ac:dyDescent="0.15">
      <c r="B167" s="11" t="s">
        <v>2569</v>
      </c>
      <c r="E167" s="11" t="s">
        <v>446</v>
      </c>
      <c r="F167" s="11">
        <v>0</v>
      </c>
      <c r="G167" s="11">
        <v>1</v>
      </c>
      <c r="H167" s="11">
        <v>1</v>
      </c>
      <c r="I167" s="11">
        <v>1</v>
      </c>
      <c r="J167" s="11">
        <v>1</v>
      </c>
      <c r="K167" s="11">
        <v>1</v>
      </c>
      <c r="L167" s="11">
        <v>1</v>
      </c>
      <c r="M167" s="11">
        <v>1</v>
      </c>
      <c r="N167" s="11">
        <v>1</v>
      </c>
      <c r="O167" s="11">
        <v>1</v>
      </c>
    </row>
    <row r="168" spans="2:15" s="11" customFormat="1" x14ac:dyDescent="0.15">
      <c r="B168" s="11" t="s">
        <v>2571</v>
      </c>
      <c r="E168" s="11" t="s">
        <v>451</v>
      </c>
      <c r="F168" s="11">
        <v>0</v>
      </c>
      <c r="G168" s="11">
        <v>1</v>
      </c>
      <c r="H168" s="11">
        <v>1</v>
      </c>
      <c r="I168" s="11">
        <v>1</v>
      </c>
      <c r="J168" s="11">
        <v>1</v>
      </c>
      <c r="K168" s="11">
        <v>1</v>
      </c>
      <c r="L168" s="11">
        <v>1</v>
      </c>
      <c r="M168" s="11">
        <v>1</v>
      </c>
      <c r="N168" s="11">
        <v>1</v>
      </c>
      <c r="O168" s="11">
        <v>1</v>
      </c>
    </row>
    <row r="169" spans="2:15" s="11" customFormat="1" x14ac:dyDescent="0.15">
      <c r="B169" s="11" t="s">
        <v>2573</v>
      </c>
      <c r="E169" s="11" t="s">
        <v>448</v>
      </c>
      <c r="F169" s="11">
        <v>0</v>
      </c>
      <c r="G169" s="11">
        <v>1</v>
      </c>
      <c r="H169" s="11">
        <v>1</v>
      </c>
      <c r="I169" s="11">
        <v>1</v>
      </c>
      <c r="J169" s="11">
        <v>1</v>
      </c>
      <c r="K169" s="11">
        <v>1</v>
      </c>
      <c r="L169" s="11">
        <v>1</v>
      </c>
      <c r="M169" s="11">
        <v>1</v>
      </c>
      <c r="N169" s="11">
        <v>1</v>
      </c>
      <c r="O169" s="11">
        <v>1</v>
      </c>
    </row>
    <row r="170" spans="2:15" s="11" customFormat="1" x14ac:dyDescent="0.15">
      <c r="B170" s="11" t="s">
        <v>2575</v>
      </c>
      <c r="E170" s="11" t="s">
        <v>447</v>
      </c>
      <c r="F170" s="11">
        <v>0</v>
      </c>
      <c r="G170" s="11">
        <v>1</v>
      </c>
      <c r="H170" s="11">
        <v>1</v>
      </c>
      <c r="I170" s="11">
        <v>1</v>
      </c>
      <c r="J170" s="11">
        <v>1</v>
      </c>
      <c r="K170" s="11">
        <v>1</v>
      </c>
      <c r="L170" s="11">
        <v>1</v>
      </c>
      <c r="M170" s="11">
        <v>1</v>
      </c>
      <c r="N170" s="11">
        <v>1</v>
      </c>
      <c r="O170" s="11">
        <v>1</v>
      </c>
    </row>
    <row r="171" spans="2:15" s="11" customFormat="1" x14ac:dyDescent="0.15">
      <c r="B171" s="11" t="s">
        <v>2577</v>
      </c>
      <c r="E171" s="11" t="s">
        <v>449</v>
      </c>
      <c r="F171" s="11">
        <v>0</v>
      </c>
      <c r="G171" s="11">
        <v>1</v>
      </c>
      <c r="H171" s="11">
        <v>1</v>
      </c>
      <c r="I171" s="11">
        <v>1</v>
      </c>
      <c r="J171" s="11">
        <v>1</v>
      </c>
      <c r="K171" s="11">
        <v>1</v>
      </c>
      <c r="L171" s="11">
        <v>1</v>
      </c>
      <c r="M171" s="11">
        <v>1</v>
      </c>
      <c r="N171" s="11">
        <v>1</v>
      </c>
      <c r="O171" s="11">
        <v>1</v>
      </c>
    </row>
    <row r="172" spans="2:15" s="11" customFormat="1" x14ac:dyDescent="0.15">
      <c r="B172" s="11" t="s">
        <v>1933</v>
      </c>
      <c r="E172" s="11" t="s">
        <v>448</v>
      </c>
      <c r="F172" s="11">
        <v>0</v>
      </c>
      <c r="G172" s="11">
        <v>1</v>
      </c>
      <c r="H172" s="11">
        <v>1</v>
      </c>
      <c r="I172" s="11">
        <v>1</v>
      </c>
      <c r="J172" s="11">
        <v>1</v>
      </c>
      <c r="K172" s="11">
        <v>1</v>
      </c>
      <c r="L172" s="11">
        <v>1</v>
      </c>
      <c r="M172" s="11">
        <v>1</v>
      </c>
      <c r="N172" s="11">
        <v>1</v>
      </c>
      <c r="O172" s="11">
        <v>1</v>
      </c>
    </row>
    <row r="173" spans="2:15" s="11" customFormat="1" x14ac:dyDescent="0.15">
      <c r="B173" s="11" t="s">
        <v>2579</v>
      </c>
      <c r="E173" s="11" t="s">
        <v>449</v>
      </c>
      <c r="F173" s="11">
        <v>0</v>
      </c>
      <c r="G173" s="11">
        <v>1</v>
      </c>
      <c r="H173" s="11">
        <v>1</v>
      </c>
      <c r="I173" s="11">
        <v>1</v>
      </c>
      <c r="J173" s="11">
        <v>1</v>
      </c>
      <c r="K173" s="11">
        <v>1</v>
      </c>
      <c r="L173" s="11">
        <v>1</v>
      </c>
      <c r="M173" s="11">
        <v>1</v>
      </c>
      <c r="N173" s="11">
        <v>1</v>
      </c>
      <c r="O173" s="11">
        <v>1</v>
      </c>
    </row>
    <row r="174" spans="2:15" s="11" customFormat="1" x14ac:dyDescent="0.15">
      <c r="B174" s="11" t="s">
        <v>2581</v>
      </c>
      <c r="E174" s="11" t="s">
        <v>448</v>
      </c>
      <c r="F174" s="11">
        <v>0</v>
      </c>
      <c r="G174" s="11">
        <v>1</v>
      </c>
      <c r="H174" s="11">
        <v>1</v>
      </c>
      <c r="I174" s="11">
        <v>1</v>
      </c>
      <c r="J174" s="11">
        <v>1</v>
      </c>
      <c r="K174" s="11">
        <v>1</v>
      </c>
      <c r="L174" s="11">
        <v>1</v>
      </c>
      <c r="M174" s="11">
        <v>1</v>
      </c>
      <c r="N174" s="11">
        <v>1</v>
      </c>
      <c r="O174" s="11">
        <v>1</v>
      </c>
    </row>
    <row r="175" spans="2:15" s="11" customFormat="1" x14ac:dyDescent="0.15">
      <c r="B175" s="11" t="s">
        <v>2583</v>
      </c>
      <c r="E175" s="11" t="s">
        <v>450</v>
      </c>
      <c r="F175" s="11">
        <v>0</v>
      </c>
      <c r="G175" s="11">
        <v>1</v>
      </c>
      <c r="H175" s="11">
        <v>1</v>
      </c>
      <c r="I175" s="11">
        <v>1</v>
      </c>
      <c r="J175" s="11">
        <v>1</v>
      </c>
      <c r="K175" s="11">
        <v>1</v>
      </c>
      <c r="L175" s="11">
        <v>1</v>
      </c>
      <c r="M175" s="11">
        <v>1</v>
      </c>
      <c r="N175" s="11">
        <v>1</v>
      </c>
      <c r="O175" s="11">
        <v>1</v>
      </c>
    </row>
    <row r="176" spans="2:15" s="11" customFormat="1" x14ac:dyDescent="0.15">
      <c r="B176" s="11" t="s">
        <v>2585</v>
      </c>
      <c r="E176" s="11" t="s">
        <v>449</v>
      </c>
      <c r="F176" s="11">
        <v>0</v>
      </c>
      <c r="G176" s="11">
        <v>1</v>
      </c>
      <c r="H176" s="11">
        <v>1</v>
      </c>
      <c r="I176" s="11">
        <v>1</v>
      </c>
      <c r="J176" s="11">
        <v>1</v>
      </c>
      <c r="K176" s="11">
        <v>1</v>
      </c>
      <c r="L176" s="11">
        <v>1</v>
      </c>
      <c r="M176" s="11">
        <v>1</v>
      </c>
      <c r="N176" s="11">
        <v>1</v>
      </c>
      <c r="O176" s="11">
        <v>1</v>
      </c>
    </row>
    <row r="177" spans="2:15" s="11" customFormat="1" x14ac:dyDescent="0.15">
      <c r="B177" s="11" t="s">
        <v>2587</v>
      </c>
      <c r="E177" s="11" t="s">
        <v>451</v>
      </c>
      <c r="F177" s="11">
        <v>0</v>
      </c>
      <c r="G177" s="11">
        <v>1</v>
      </c>
      <c r="H177" s="11">
        <v>1</v>
      </c>
      <c r="I177" s="11">
        <v>1</v>
      </c>
      <c r="J177" s="11">
        <v>1</v>
      </c>
      <c r="K177" s="11">
        <v>1</v>
      </c>
      <c r="L177" s="11">
        <v>1</v>
      </c>
      <c r="M177" s="11">
        <v>1</v>
      </c>
      <c r="N177" s="11">
        <v>1</v>
      </c>
      <c r="O177" s="11">
        <v>1</v>
      </c>
    </row>
    <row r="178" spans="2:15" s="11" customFormat="1" x14ac:dyDescent="0.15">
      <c r="B178" s="11" t="s">
        <v>2589</v>
      </c>
      <c r="E178" s="11" t="s">
        <v>448</v>
      </c>
      <c r="F178" s="11">
        <v>0</v>
      </c>
      <c r="G178" s="11">
        <v>1</v>
      </c>
      <c r="H178" s="11">
        <v>1</v>
      </c>
      <c r="I178" s="11">
        <v>1</v>
      </c>
      <c r="J178" s="11">
        <v>1</v>
      </c>
      <c r="K178" s="11">
        <v>1</v>
      </c>
      <c r="L178" s="11">
        <v>1</v>
      </c>
      <c r="M178" s="11">
        <v>1</v>
      </c>
      <c r="N178" s="11">
        <v>1</v>
      </c>
      <c r="O178" s="11">
        <v>1</v>
      </c>
    </row>
    <row r="179" spans="2:15" s="11" customFormat="1" x14ac:dyDescent="0.15">
      <c r="B179" s="11" t="s">
        <v>2591</v>
      </c>
      <c r="E179" s="11" t="s">
        <v>449</v>
      </c>
      <c r="F179" s="11">
        <v>0</v>
      </c>
      <c r="G179" s="11">
        <v>1</v>
      </c>
      <c r="H179" s="11">
        <v>1</v>
      </c>
      <c r="I179" s="11">
        <v>1</v>
      </c>
      <c r="J179" s="11">
        <v>1</v>
      </c>
      <c r="K179" s="11">
        <v>1</v>
      </c>
      <c r="L179" s="11">
        <v>1</v>
      </c>
      <c r="M179" s="11">
        <v>1</v>
      </c>
      <c r="N179" s="11">
        <v>1</v>
      </c>
      <c r="O179" s="11">
        <v>1</v>
      </c>
    </row>
    <row r="180" spans="2:15" s="11" customFormat="1" x14ac:dyDescent="0.15">
      <c r="B180" s="11" t="s">
        <v>2593</v>
      </c>
      <c r="E180" s="11" t="s">
        <v>448</v>
      </c>
      <c r="F180" s="11">
        <v>0</v>
      </c>
      <c r="G180" s="11">
        <v>1</v>
      </c>
      <c r="H180" s="11">
        <v>1</v>
      </c>
      <c r="I180" s="11">
        <v>1</v>
      </c>
      <c r="J180" s="11">
        <v>1</v>
      </c>
      <c r="K180" s="11">
        <v>1</v>
      </c>
      <c r="L180" s="11">
        <v>1</v>
      </c>
      <c r="M180" s="11">
        <v>1</v>
      </c>
      <c r="N180" s="11">
        <v>1</v>
      </c>
      <c r="O180" s="11">
        <v>1</v>
      </c>
    </row>
    <row r="181" spans="2:15" s="11" customFormat="1" x14ac:dyDescent="0.15">
      <c r="B181" s="11" t="s">
        <v>2595</v>
      </c>
      <c r="E181" s="11" t="s">
        <v>449</v>
      </c>
      <c r="F181" s="11">
        <v>0</v>
      </c>
      <c r="G181" s="11">
        <v>1</v>
      </c>
      <c r="H181" s="11">
        <v>1</v>
      </c>
      <c r="I181" s="11">
        <v>1</v>
      </c>
      <c r="J181" s="11">
        <v>1</v>
      </c>
      <c r="K181" s="11">
        <v>1</v>
      </c>
      <c r="L181" s="11">
        <v>1</v>
      </c>
      <c r="M181" s="11">
        <v>1</v>
      </c>
      <c r="N181" s="11">
        <v>1</v>
      </c>
      <c r="O181" s="11">
        <v>1</v>
      </c>
    </row>
    <row r="182" spans="2:15" s="11" customFormat="1" x14ac:dyDescent="0.15">
      <c r="B182" s="11" t="s">
        <v>2597</v>
      </c>
      <c r="E182" s="11" t="s">
        <v>448</v>
      </c>
      <c r="F182" s="11">
        <v>0</v>
      </c>
      <c r="G182" s="11">
        <v>1</v>
      </c>
      <c r="H182" s="11">
        <v>1</v>
      </c>
      <c r="I182" s="11">
        <v>1</v>
      </c>
      <c r="J182" s="11">
        <v>1</v>
      </c>
      <c r="K182" s="11">
        <v>1</v>
      </c>
      <c r="L182" s="11">
        <v>1</v>
      </c>
      <c r="M182" s="11">
        <v>1</v>
      </c>
      <c r="N182" s="11">
        <v>1</v>
      </c>
      <c r="O182" s="11">
        <v>1</v>
      </c>
    </row>
    <row r="183" spans="2:15" s="11" customFormat="1" x14ac:dyDescent="0.15">
      <c r="B183" s="11" t="s">
        <v>2599</v>
      </c>
      <c r="E183" s="11" t="s">
        <v>450</v>
      </c>
      <c r="F183" s="11">
        <v>0</v>
      </c>
      <c r="G183" s="11">
        <v>1</v>
      </c>
      <c r="H183" s="11">
        <v>1</v>
      </c>
      <c r="I183" s="11">
        <v>1</v>
      </c>
      <c r="J183" s="11">
        <v>1</v>
      </c>
      <c r="K183" s="11">
        <v>1</v>
      </c>
      <c r="L183" s="11">
        <v>1</v>
      </c>
      <c r="M183" s="11">
        <v>1</v>
      </c>
      <c r="N183" s="11">
        <v>1</v>
      </c>
      <c r="O183" s="11">
        <v>1</v>
      </c>
    </row>
    <row r="184" spans="2:15" s="11" customFormat="1" x14ac:dyDescent="0.15">
      <c r="B184" s="11" t="s">
        <v>2601</v>
      </c>
      <c r="E184" s="11" t="s">
        <v>446</v>
      </c>
      <c r="F184" s="11">
        <v>0</v>
      </c>
      <c r="G184" s="11">
        <v>1</v>
      </c>
      <c r="H184" s="11">
        <v>1</v>
      </c>
      <c r="I184" s="11">
        <v>1</v>
      </c>
      <c r="J184" s="11">
        <v>1</v>
      </c>
      <c r="K184" s="11">
        <v>1</v>
      </c>
      <c r="L184" s="11">
        <v>1</v>
      </c>
      <c r="M184" s="11">
        <v>1</v>
      </c>
      <c r="N184" s="11">
        <v>1</v>
      </c>
      <c r="O184" s="11">
        <v>1</v>
      </c>
    </row>
    <row r="185" spans="2:15" s="11" customFormat="1" x14ac:dyDescent="0.15">
      <c r="B185" s="11" t="s">
        <v>2603</v>
      </c>
      <c r="E185" s="11" t="s">
        <v>453</v>
      </c>
      <c r="F185" s="11">
        <v>0</v>
      </c>
      <c r="G185" s="11">
        <v>1</v>
      </c>
      <c r="H185" s="11">
        <v>1</v>
      </c>
      <c r="I185" s="11">
        <v>1</v>
      </c>
      <c r="J185" s="11">
        <v>1</v>
      </c>
      <c r="K185" s="11">
        <v>1</v>
      </c>
      <c r="L185" s="11">
        <v>1</v>
      </c>
      <c r="M185" s="11">
        <v>1</v>
      </c>
      <c r="N185" s="11">
        <v>1</v>
      </c>
      <c r="O185" s="11">
        <v>1</v>
      </c>
    </row>
    <row r="186" spans="2:15" s="11" customFormat="1" x14ac:dyDescent="0.15">
      <c r="B186" s="11" t="s">
        <v>2605</v>
      </c>
      <c r="E186" s="11" t="s">
        <v>449</v>
      </c>
      <c r="F186" s="11">
        <v>0</v>
      </c>
      <c r="G186" s="11">
        <v>1</v>
      </c>
      <c r="H186" s="11">
        <v>1</v>
      </c>
      <c r="I186" s="11">
        <v>1</v>
      </c>
      <c r="J186" s="11">
        <v>1</v>
      </c>
      <c r="K186" s="11">
        <v>1</v>
      </c>
      <c r="L186" s="11">
        <v>1</v>
      </c>
      <c r="M186" s="11">
        <v>1</v>
      </c>
      <c r="N186" s="11">
        <v>1</v>
      </c>
      <c r="O186" s="11">
        <v>1</v>
      </c>
    </row>
    <row r="187" spans="2:15" s="11" customFormat="1" x14ac:dyDescent="0.15">
      <c r="B187" s="11" t="s">
        <v>2607</v>
      </c>
      <c r="E187" s="11" t="s">
        <v>452</v>
      </c>
      <c r="F187" s="11">
        <v>0</v>
      </c>
      <c r="G187" s="11">
        <v>1</v>
      </c>
      <c r="H187" s="11">
        <v>1</v>
      </c>
      <c r="I187" s="11">
        <v>1</v>
      </c>
      <c r="J187" s="11">
        <v>1</v>
      </c>
      <c r="K187" s="11">
        <v>1</v>
      </c>
      <c r="L187" s="11">
        <v>1</v>
      </c>
      <c r="M187" s="11">
        <v>1</v>
      </c>
      <c r="N187" s="11">
        <v>1</v>
      </c>
      <c r="O187" s="11">
        <v>1</v>
      </c>
    </row>
    <row r="188" spans="2:15" s="11" customFormat="1" x14ac:dyDescent="0.15">
      <c r="B188" s="11" t="s">
        <v>1935</v>
      </c>
      <c r="E188" s="11" t="s">
        <v>448</v>
      </c>
      <c r="F188" s="11">
        <v>0</v>
      </c>
      <c r="G188" s="11">
        <v>1</v>
      </c>
      <c r="H188" s="11">
        <v>1</v>
      </c>
      <c r="I188" s="11">
        <v>1</v>
      </c>
      <c r="J188" s="11">
        <v>1</v>
      </c>
      <c r="K188" s="11">
        <v>1</v>
      </c>
      <c r="L188" s="11">
        <v>1</v>
      </c>
      <c r="M188" s="11">
        <v>1</v>
      </c>
      <c r="N188" s="11">
        <v>1</v>
      </c>
      <c r="O188" s="11">
        <v>1</v>
      </c>
    </row>
    <row r="189" spans="2:15" s="11" customFormat="1" x14ac:dyDescent="0.15">
      <c r="B189" s="11" t="s">
        <v>1937</v>
      </c>
      <c r="E189" s="11" t="s">
        <v>450</v>
      </c>
      <c r="F189" s="11">
        <v>0</v>
      </c>
      <c r="G189" s="11">
        <v>1</v>
      </c>
      <c r="H189" s="11">
        <v>1</v>
      </c>
      <c r="I189" s="11">
        <v>1</v>
      </c>
      <c r="J189" s="11">
        <v>1</v>
      </c>
      <c r="K189" s="11">
        <v>1</v>
      </c>
      <c r="L189" s="11">
        <v>1</v>
      </c>
      <c r="M189" s="11">
        <v>1</v>
      </c>
      <c r="N189" s="11">
        <v>1</v>
      </c>
      <c r="O189" s="11">
        <v>1</v>
      </c>
    </row>
    <row r="190" spans="2:15" s="11" customFormat="1" x14ac:dyDescent="0.15">
      <c r="B190" s="11" t="s">
        <v>2609</v>
      </c>
      <c r="E190" s="11" t="s">
        <v>450</v>
      </c>
      <c r="F190" s="11">
        <v>0</v>
      </c>
      <c r="G190" s="11">
        <v>1</v>
      </c>
      <c r="H190" s="11">
        <v>1</v>
      </c>
      <c r="I190" s="11">
        <v>1</v>
      </c>
      <c r="J190" s="11">
        <v>1</v>
      </c>
      <c r="K190" s="11">
        <v>1</v>
      </c>
      <c r="L190" s="11">
        <v>1</v>
      </c>
      <c r="M190" s="11">
        <v>1</v>
      </c>
      <c r="N190" s="11">
        <v>1</v>
      </c>
      <c r="O190" s="11">
        <v>1</v>
      </c>
    </row>
    <row r="191" spans="2:15" s="11" customFormat="1" x14ac:dyDescent="0.15">
      <c r="B191" s="11" t="s">
        <v>1939</v>
      </c>
      <c r="E191" s="11" t="s">
        <v>451</v>
      </c>
      <c r="F191" s="11">
        <v>0</v>
      </c>
      <c r="G191" s="11">
        <v>1</v>
      </c>
      <c r="H191" s="11">
        <v>1</v>
      </c>
      <c r="I191" s="11">
        <v>1</v>
      </c>
      <c r="J191" s="11">
        <v>1</v>
      </c>
      <c r="K191" s="11">
        <v>1</v>
      </c>
      <c r="L191" s="11">
        <v>1</v>
      </c>
      <c r="M191" s="11">
        <v>1</v>
      </c>
      <c r="N191" s="11">
        <v>1</v>
      </c>
      <c r="O191" s="11">
        <v>1</v>
      </c>
    </row>
    <row r="192" spans="2:15" s="11" customFormat="1" x14ac:dyDescent="0.15">
      <c r="B192" s="11" t="s">
        <v>1941</v>
      </c>
      <c r="E192" s="11" t="s">
        <v>448</v>
      </c>
      <c r="F192" s="11">
        <v>0</v>
      </c>
      <c r="G192" s="11">
        <v>1</v>
      </c>
      <c r="H192" s="11">
        <v>1</v>
      </c>
      <c r="I192" s="11">
        <v>1</v>
      </c>
      <c r="J192" s="11">
        <v>1</v>
      </c>
      <c r="K192" s="11">
        <v>1</v>
      </c>
      <c r="L192" s="11">
        <v>1</v>
      </c>
      <c r="M192" s="11">
        <v>1</v>
      </c>
      <c r="N192" s="11">
        <v>1</v>
      </c>
      <c r="O192" s="11">
        <v>1</v>
      </c>
    </row>
    <row r="193" spans="2:15" s="11" customFormat="1" x14ac:dyDescent="0.15">
      <c r="B193" s="11" t="s">
        <v>1943</v>
      </c>
      <c r="E193" s="11" t="s">
        <v>450</v>
      </c>
      <c r="F193" s="11">
        <v>0</v>
      </c>
      <c r="G193" s="11">
        <v>1</v>
      </c>
      <c r="H193" s="11">
        <v>1</v>
      </c>
      <c r="I193" s="11">
        <v>1</v>
      </c>
      <c r="J193" s="11">
        <v>1</v>
      </c>
      <c r="K193" s="11">
        <v>1</v>
      </c>
      <c r="L193" s="11">
        <v>1</v>
      </c>
      <c r="M193" s="11">
        <v>1</v>
      </c>
      <c r="N193" s="11">
        <v>1</v>
      </c>
      <c r="O193" s="11">
        <v>1</v>
      </c>
    </row>
    <row r="194" spans="2:15" s="11" customFormat="1" x14ac:dyDescent="0.15">
      <c r="B194" s="11" t="s">
        <v>2611</v>
      </c>
      <c r="E194" s="11" t="s">
        <v>451</v>
      </c>
      <c r="F194" s="11">
        <v>0</v>
      </c>
      <c r="G194" s="11">
        <v>1</v>
      </c>
      <c r="H194" s="11">
        <v>1</v>
      </c>
      <c r="I194" s="11">
        <v>1</v>
      </c>
      <c r="J194" s="11">
        <v>1</v>
      </c>
      <c r="K194" s="11">
        <v>1</v>
      </c>
      <c r="L194" s="11">
        <v>1</v>
      </c>
      <c r="M194" s="11">
        <v>1</v>
      </c>
      <c r="N194" s="11">
        <v>1</v>
      </c>
      <c r="O194" s="11">
        <v>1</v>
      </c>
    </row>
    <row r="195" spans="2:15" s="11" customFormat="1" x14ac:dyDescent="0.15">
      <c r="B195" s="11" t="s">
        <v>1945</v>
      </c>
      <c r="E195" s="11" t="s">
        <v>448</v>
      </c>
      <c r="F195" s="11">
        <v>0</v>
      </c>
      <c r="G195" s="11">
        <v>1</v>
      </c>
      <c r="H195" s="11">
        <v>1</v>
      </c>
      <c r="I195" s="11">
        <v>1</v>
      </c>
      <c r="J195" s="11">
        <v>1</v>
      </c>
      <c r="K195" s="11">
        <v>1</v>
      </c>
      <c r="L195" s="11">
        <v>1</v>
      </c>
      <c r="M195" s="11">
        <v>1</v>
      </c>
      <c r="N195" s="11">
        <v>1</v>
      </c>
      <c r="O195" s="11">
        <v>1</v>
      </c>
    </row>
    <row r="196" spans="2:15" s="11" customFormat="1" x14ac:dyDescent="0.15">
      <c r="B196" s="11" t="s">
        <v>2613</v>
      </c>
      <c r="E196" s="11" t="s">
        <v>450</v>
      </c>
      <c r="F196" s="11">
        <v>0</v>
      </c>
      <c r="G196" s="11">
        <v>1</v>
      </c>
      <c r="H196" s="11">
        <v>1</v>
      </c>
      <c r="I196" s="11">
        <v>1</v>
      </c>
      <c r="J196" s="11">
        <v>1</v>
      </c>
      <c r="K196" s="11">
        <v>1</v>
      </c>
      <c r="L196" s="11">
        <v>1</v>
      </c>
      <c r="M196" s="11">
        <v>1</v>
      </c>
      <c r="N196" s="11">
        <v>1</v>
      </c>
      <c r="O196" s="11">
        <v>1</v>
      </c>
    </row>
    <row r="197" spans="2:15" s="11" customFormat="1" x14ac:dyDescent="0.15">
      <c r="B197" s="11" t="s">
        <v>2615</v>
      </c>
      <c r="E197" s="11" t="s">
        <v>449</v>
      </c>
      <c r="F197" s="11">
        <v>0</v>
      </c>
      <c r="G197" s="11">
        <v>1</v>
      </c>
      <c r="H197" s="11">
        <v>1</v>
      </c>
      <c r="I197" s="11">
        <v>1</v>
      </c>
      <c r="J197" s="11">
        <v>1</v>
      </c>
      <c r="K197" s="11">
        <v>1</v>
      </c>
      <c r="L197" s="11">
        <v>1</v>
      </c>
      <c r="M197" s="11">
        <v>1</v>
      </c>
      <c r="N197" s="11">
        <v>1</v>
      </c>
      <c r="O197" s="11">
        <v>1</v>
      </c>
    </row>
    <row r="198" spans="2:15" s="11" customFormat="1" x14ac:dyDescent="0.15">
      <c r="B198" s="11" t="s">
        <v>1947</v>
      </c>
      <c r="E198" s="11" t="s">
        <v>448</v>
      </c>
      <c r="F198" s="11">
        <v>0</v>
      </c>
      <c r="G198" s="11">
        <v>1</v>
      </c>
      <c r="H198" s="11">
        <v>1</v>
      </c>
      <c r="I198" s="11">
        <v>1</v>
      </c>
      <c r="J198" s="11">
        <v>1</v>
      </c>
      <c r="K198" s="11">
        <v>1</v>
      </c>
      <c r="L198" s="11">
        <v>1</v>
      </c>
      <c r="M198" s="11">
        <v>1</v>
      </c>
      <c r="N198" s="11">
        <v>1</v>
      </c>
      <c r="O198" s="11">
        <v>1</v>
      </c>
    </row>
    <row r="199" spans="2:15" s="11" customFormat="1" x14ac:dyDescent="0.15">
      <c r="B199" s="11" t="s">
        <v>1949</v>
      </c>
      <c r="E199" s="11" t="s">
        <v>448</v>
      </c>
      <c r="F199" s="11">
        <v>0</v>
      </c>
      <c r="G199" s="11">
        <v>1</v>
      </c>
      <c r="H199" s="11">
        <v>1</v>
      </c>
      <c r="I199" s="11">
        <v>1</v>
      </c>
      <c r="J199" s="11">
        <v>1</v>
      </c>
      <c r="K199" s="11">
        <v>1</v>
      </c>
      <c r="L199" s="11">
        <v>1</v>
      </c>
      <c r="M199" s="11">
        <v>1</v>
      </c>
      <c r="N199" s="11">
        <v>1</v>
      </c>
      <c r="O199" s="11">
        <v>1</v>
      </c>
    </row>
    <row r="200" spans="2:15" s="11" customFormat="1" x14ac:dyDescent="0.15">
      <c r="B200" s="11" t="s">
        <v>1952</v>
      </c>
      <c r="E200" s="11" t="s">
        <v>448</v>
      </c>
      <c r="F200" s="11">
        <v>0</v>
      </c>
      <c r="G200" s="11">
        <v>1</v>
      </c>
      <c r="H200" s="11">
        <v>1</v>
      </c>
      <c r="I200" s="11">
        <v>1</v>
      </c>
      <c r="J200" s="11">
        <v>1</v>
      </c>
      <c r="K200" s="11">
        <v>1</v>
      </c>
      <c r="L200" s="11">
        <v>1</v>
      </c>
      <c r="M200" s="11">
        <v>1</v>
      </c>
      <c r="N200" s="11">
        <v>1</v>
      </c>
      <c r="O200" s="11">
        <v>1</v>
      </c>
    </row>
    <row r="201" spans="2:15" s="11" customFormat="1" x14ac:dyDescent="0.15">
      <c r="B201" s="11" t="s">
        <v>1954</v>
      </c>
      <c r="E201" s="11" t="s">
        <v>447</v>
      </c>
      <c r="F201" s="11">
        <v>0</v>
      </c>
      <c r="G201" s="11">
        <v>1</v>
      </c>
      <c r="H201" s="11">
        <v>1</v>
      </c>
      <c r="I201" s="11">
        <v>1</v>
      </c>
      <c r="J201" s="11">
        <v>1</v>
      </c>
      <c r="K201" s="11">
        <v>1</v>
      </c>
      <c r="L201" s="11">
        <v>1</v>
      </c>
      <c r="M201" s="11">
        <v>1</v>
      </c>
      <c r="N201" s="11">
        <v>1</v>
      </c>
      <c r="O201" s="11">
        <v>1</v>
      </c>
    </row>
    <row r="202" spans="2:15" s="11" customFormat="1" x14ac:dyDescent="0.15">
      <c r="B202" s="11" t="s">
        <v>1956</v>
      </c>
      <c r="E202" s="11" t="s">
        <v>446</v>
      </c>
      <c r="F202" s="11">
        <v>0</v>
      </c>
      <c r="G202" s="11">
        <v>1</v>
      </c>
      <c r="H202" s="11">
        <v>1</v>
      </c>
      <c r="I202" s="11">
        <v>1</v>
      </c>
      <c r="J202" s="11">
        <v>1</v>
      </c>
      <c r="K202" s="11">
        <v>1</v>
      </c>
      <c r="L202" s="11">
        <v>1</v>
      </c>
      <c r="M202" s="11">
        <v>1</v>
      </c>
      <c r="N202" s="11">
        <v>1</v>
      </c>
      <c r="O202" s="11">
        <v>1</v>
      </c>
    </row>
    <row r="203" spans="2:15" s="11" customFormat="1" x14ac:dyDescent="0.15">
      <c r="B203" s="11" t="s">
        <v>1958</v>
      </c>
      <c r="E203" s="11" t="s">
        <v>451</v>
      </c>
      <c r="F203" s="11">
        <v>0</v>
      </c>
      <c r="G203" s="11">
        <v>1</v>
      </c>
      <c r="H203" s="11">
        <v>1</v>
      </c>
      <c r="I203" s="11">
        <v>1</v>
      </c>
      <c r="J203" s="11">
        <v>1</v>
      </c>
      <c r="K203" s="11">
        <v>1</v>
      </c>
      <c r="L203" s="11">
        <v>1</v>
      </c>
      <c r="M203" s="11">
        <v>1</v>
      </c>
      <c r="N203" s="11">
        <v>1</v>
      </c>
      <c r="O203" s="11">
        <v>1</v>
      </c>
    </row>
    <row r="204" spans="2:15" s="11" customFormat="1" x14ac:dyDescent="0.15">
      <c r="B204" s="11" t="s">
        <v>1960</v>
      </c>
      <c r="E204" s="11" t="s">
        <v>448</v>
      </c>
      <c r="F204" s="11">
        <v>0</v>
      </c>
      <c r="G204" s="11">
        <v>1</v>
      </c>
      <c r="H204" s="11">
        <v>1</v>
      </c>
      <c r="I204" s="11">
        <v>1</v>
      </c>
      <c r="J204" s="11">
        <v>1</v>
      </c>
      <c r="K204" s="11">
        <v>1</v>
      </c>
      <c r="L204" s="11">
        <v>1</v>
      </c>
      <c r="M204" s="11">
        <v>1</v>
      </c>
      <c r="N204" s="11">
        <v>1</v>
      </c>
      <c r="O204" s="11">
        <v>1</v>
      </c>
    </row>
    <row r="205" spans="2:15" s="11" customFormat="1" x14ac:dyDescent="0.15">
      <c r="B205" s="11" t="s">
        <v>2617</v>
      </c>
      <c r="E205" s="11" t="s">
        <v>450</v>
      </c>
      <c r="F205" s="11">
        <v>0</v>
      </c>
      <c r="G205" s="11">
        <v>1</v>
      </c>
      <c r="H205" s="11">
        <v>1</v>
      </c>
      <c r="I205" s="11">
        <v>1</v>
      </c>
      <c r="J205" s="11">
        <v>1</v>
      </c>
      <c r="K205" s="11">
        <v>1</v>
      </c>
      <c r="L205" s="11">
        <v>1</v>
      </c>
      <c r="M205" s="11">
        <v>1</v>
      </c>
      <c r="N205" s="11">
        <v>1</v>
      </c>
      <c r="O205" s="11">
        <v>1</v>
      </c>
    </row>
    <row r="206" spans="2:15" s="11" customFormat="1" x14ac:dyDescent="0.15">
      <c r="B206" s="11" t="s">
        <v>2619</v>
      </c>
      <c r="E206" s="11" t="s">
        <v>447</v>
      </c>
      <c r="F206" s="11">
        <v>0</v>
      </c>
      <c r="G206" s="11">
        <v>1</v>
      </c>
      <c r="H206" s="11">
        <v>1</v>
      </c>
      <c r="I206" s="11">
        <v>1</v>
      </c>
      <c r="J206" s="11">
        <v>1</v>
      </c>
      <c r="K206" s="11">
        <v>1</v>
      </c>
      <c r="L206" s="11">
        <v>1</v>
      </c>
      <c r="M206" s="11">
        <v>1</v>
      </c>
      <c r="N206" s="11">
        <v>1</v>
      </c>
      <c r="O206" s="11">
        <v>1</v>
      </c>
    </row>
    <row r="207" spans="2:15" s="11" customFormat="1" x14ac:dyDescent="0.15">
      <c r="B207" s="11" t="s">
        <v>1962</v>
      </c>
      <c r="E207" s="11" t="s">
        <v>446</v>
      </c>
      <c r="F207" s="11">
        <v>0</v>
      </c>
      <c r="G207" s="11">
        <v>1</v>
      </c>
      <c r="H207" s="11">
        <v>1</v>
      </c>
      <c r="I207" s="11">
        <v>1</v>
      </c>
      <c r="J207" s="11">
        <v>1</v>
      </c>
      <c r="K207" s="11">
        <v>1</v>
      </c>
      <c r="L207" s="11">
        <v>1</v>
      </c>
      <c r="M207" s="11">
        <v>1</v>
      </c>
      <c r="N207" s="11">
        <v>1</v>
      </c>
      <c r="O207" s="11">
        <v>1</v>
      </c>
    </row>
    <row r="208" spans="2:15" s="11" customFormat="1" x14ac:dyDescent="0.15">
      <c r="B208" s="11" t="s">
        <v>1964</v>
      </c>
      <c r="E208" s="11" t="s">
        <v>448</v>
      </c>
      <c r="F208" s="11">
        <v>0</v>
      </c>
      <c r="G208" s="11">
        <v>1</v>
      </c>
      <c r="H208" s="11">
        <v>1</v>
      </c>
      <c r="I208" s="11">
        <v>1</v>
      </c>
      <c r="J208" s="11">
        <v>1</v>
      </c>
      <c r="K208" s="11">
        <v>1</v>
      </c>
      <c r="L208" s="11">
        <v>1</v>
      </c>
      <c r="M208" s="11">
        <v>1</v>
      </c>
      <c r="N208" s="11">
        <v>1</v>
      </c>
      <c r="O208" s="11">
        <v>1</v>
      </c>
    </row>
    <row r="209" spans="2:15" s="11" customFormat="1" x14ac:dyDescent="0.15">
      <c r="B209" s="11" t="s">
        <v>2621</v>
      </c>
      <c r="E209" s="11" t="s">
        <v>453</v>
      </c>
      <c r="F209" s="11">
        <v>0</v>
      </c>
      <c r="G209" s="11">
        <v>1</v>
      </c>
      <c r="H209" s="11">
        <v>1</v>
      </c>
      <c r="I209" s="11">
        <v>1</v>
      </c>
      <c r="J209" s="11">
        <v>1</v>
      </c>
      <c r="K209" s="11">
        <v>1</v>
      </c>
      <c r="L209" s="11">
        <v>1</v>
      </c>
      <c r="M209" s="11">
        <v>1</v>
      </c>
      <c r="N209" s="11">
        <v>1</v>
      </c>
      <c r="O209" s="11">
        <v>1</v>
      </c>
    </row>
    <row r="210" spans="2:15" s="11" customFormat="1" x14ac:dyDescent="0.15">
      <c r="B210" s="11" t="s">
        <v>1967</v>
      </c>
      <c r="E210" s="11" t="s">
        <v>449</v>
      </c>
      <c r="F210" s="11">
        <v>0</v>
      </c>
      <c r="G210" s="11">
        <v>1</v>
      </c>
      <c r="H210" s="11">
        <v>1</v>
      </c>
      <c r="I210" s="11">
        <v>1</v>
      </c>
      <c r="J210" s="11">
        <v>1</v>
      </c>
      <c r="K210" s="11">
        <v>1</v>
      </c>
      <c r="L210" s="11">
        <v>1</v>
      </c>
      <c r="M210" s="11">
        <v>1</v>
      </c>
      <c r="N210" s="11">
        <v>1</v>
      </c>
      <c r="O210" s="11">
        <v>1</v>
      </c>
    </row>
    <row r="211" spans="2:15" s="11" customFormat="1" x14ac:dyDescent="0.15">
      <c r="B211" s="11" t="s">
        <v>2623</v>
      </c>
      <c r="E211" s="11" t="s">
        <v>452</v>
      </c>
      <c r="F211" s="11">
        <v>0</v>
      </c>
      <c r="G211" s="11">
        <v>1</v>
      </c>
      <c r="H211" s="11">
        <v>1</v>
      </c>
      <c r="I211" s="11">
        <v>1</v>
      </c>
      <c r="J211" s="11">
        <v>1</v>
      </c>
      <c r="K211" s="11">
        <v>1</v>
      </c>
      <c r="L211" s="11">
        <v>1</v>
      </c>
      <c r="M211" s="11">
        <v>1</v>
      </c>
      <c r="N211" s="11">
        <v>1</v>
      </c>
      <c r="O211" s="11">
        <v>1</v>
      </c>
    </row>
    <row r="212" spans="2:15" s="11" customFormat="1" x14ac:dyDescent="0.15">
      <c r="B212" s="11" t="s">
        <v>1969</v>
      </c>
      <c r="E212" s="11" t="s">
        <v>451</v>
      </c>
      <c r="F212" s="11">
        <v>0</v>
      </c>
      <c r="G212" s="11">
        <v>1</v>
      </c>
      <c r="H212" s="11">
        <v>1</v>
      </c>
      <c r="I212" s="11">
        <v>1</v>
      </c>
      <c r="J212" s="11">
        <v>1</v>
      </c>
      <c r="K212" s="11">
        <v>1</v>
      </c>
      <c r="L212" s="11">
        <v>1</v>
      </c>
      <c r="M212" s="11">
        <v>1</v>
      </c>
      <c r="N212" s="11">
        <v>1</v>
      </c>
      <c r="O212" s="11">
        <v>1</v>
      </c>
    </row>
    <row r="213" spans="2:15" s="11" customFormat="1" x14ac:dyDescent="0.15">
      <c r="B213" s="11" t="s">
        <v>2625</v>
      </c>
      <c r="E213" s="11" t="s">
        <v>446</v>
      </c>
      <c r="F213" s="11">
        <v>0</v>
      </c>
      <c r="G213" s="11">
        <v>1</v>
      </c>
      <c r="H213" s="11">
        <v>1</v>
      </c>
      <c r="I213" s="11">
        <v>1</v>
      </c>
      <c r="J213" s="11">
        <v>1</v>
      </c>
      <c r="K213" s="11">
        <v>1</v>
      </c>
      <c r="L213" s="11">
        <v>1</v>
      </c>
      <c r="M213" s="11">
        <v>1</v>
      </c>
      <c r="N213" s="11">
        <v>1</v>
      </c>
      <c r="O213" s="11">
        <v>1</v>
      </c>
    </row>
    <row r="214" spans="2:15" s="11" customFormat="1" x14ac:dyDescent="0.15">
      <c r="B214" s="11" t="s">
        <v>1971</v>
      </c>
      <c r="E214" s="11" t="s">
        <v>453</v>
      </c>
      <c r="F214" s="11">
        <v>0</v>
      </c>
      <c r="G214" s="11">
        <v>1</v>
      </c>
      <c r="H214" s="11">
        <v>1</v>
      </c>
      <c r="I214" s="11">
        <v>1</v>
      </c>
      <c r="J214" s="11">
        <v>1</v>
      </c>
      <c r="K214" s="11">
        <v>1</v>
      </c>
      <c r="L214" s="11">
        <v>1</v>
      </c>
      <c r="M214" s="11">
        <v>1</v>
      </c>
      <c r="N214" s="11">
        <v>1</v>
      </c>
      <c r="O214" s="11">
        <v>1</v>
      </c>
    </row>
    <row r="215" spans="2:15" s="11" customFormat="1" x14ac:dyDescent="0.15">
      <c r="B215" s="11" t="s">
        <v>2627</v>
      </c>
      <c r="E215" s="11" t="s">
        <v>451</v>
      </c>
      <c r="F215" s="11">
        <v>0</v>
      </c>
      <c r="G215" s="11">
        <v>1</v>
      </c>
      <c r="H215" s="11">
        <v>1</v>
      </c>
      <c r="I215" s="11">
        <v>1</v>
      </c>
      <c r="J215" s="11">
        <v>1</v>
      </c>
      <c r="K215" s="11">
        <v>1</v>
      </c>
      <c r="L215" s="11">
        <v>1</v>
      </c>
      <c r="M215" s="11">
        <v>1</v>
      </c>
      <c r="N215" s="11">
        <v>1</v>
      </c>
      <c r="O215" s="11">
        <v>1</v>
      </c>
    </row>
    <row r="216" spans="2:15" s="11" customFormat="1" x14ac:dyDescent="0.15">
      <c r="B216" s="11" t="s">
        <v>2629</v>
      </c>
      <c r="E216" s="11" t="s">
        <v>448</v>
      </c>
      <c r="F216" s="11">
        <v>0</v>
      </c>
      <c r="G216" s="11">
        <v>1</v>
      </c>
      <c r="H216" s="11">
        <v>1</v>
      </c>
      <c r="I216" s="11">
        <v>1</v>
      </c>
      <c r="J216" s="11">
        <v>1</v>
      </c>
      <c r="K216" s="11">
        <v>1</v>
      </c>
      <c r="L216" s="11">
        <v>1</v>
      </c>
      <c r="M216" s="11">
        <v>1</v>
      </c>
      <c r="N216" s="11">
        <v>1</v>
      </c>
      <c r="O216" s="11">
        <v>1</v>
      </c>
    </row>
    <row r="217" spans="2:15" s="11" customFormat="1" x14ac:dyDescent="0.15">
      <c r="B217" s="11" t="s">
        <v>2631</v>
      </c>
      <c r="E217" s="11" t="s">
        <v>450</v>
      </c>
      <c r="F217" s="11">
        <v>0</v>
      </c>
      <c r="G217" s="11">
        <v>1</v>
      </c>
      <c r="H217" s="11">
        <v>1</v>
      </c>
      <c r="I217" s="11">
        <v>1</v>
      </c>
      <c r="J217" s="11">
        <v>1</v>
      </c>
      <c r="K217" s="11">
        <v>1</v>
      </c>
      <c r="L217" s="11">
        <v>1</v>
      </c>
      <c r="M217" s="11">
        <v>1</v>
      </c>
      <c r="N217" s="11">
        <v>1</v>
      </c>
      <c r="O217" s="11">
        <v>1</v>
      </c>
    </row>
    <row r="218" spans="2:15" s="11" customFormat="1" x14ac:dyDescent="0.15">
      <c r="B218" s="11" t="s">
        <v>2633</v>
      </c>
      <c r="E218" s="11" t="s">
        <v>447</v>
      </c>
      <c r="F218" s="11">
        <v>0</v>
      </c>
      <c r="G218" s="11">
        <v>1</v>
      </c>
      <c r="H218" s="11">
        <v>1</v>
      </c>
      <c r="I218" s="11">
        <v>1</v>
      </c>
      <c r="J218" s="11">
        <v>1</v>
      </c>
      <c r="K218" s="11">
        <v>1</v>
      </c>
      <c r="L218" s="11">
        <v>1</v>
      </c>
      <c r="M218" s="11">
        <v>1</v>
      </c>
      <c r="N218" s="11">
        <v>1</v>
      </c>
      <c r="O218" s="11">
        <v>1</v>
      </c>
    </row>
    <row r="219" spans="2:15" s="11" customFormat="1" x14ac:dyDescent="0.15">
      <c r="B219" s="11" t="s">
        <v>2635</v>
      </c>
      <c r="E219" s="11" t="s">
        <v>449</v>
      </c>
      <c r="F219" s="11">
        <v>0</v>
      </c>
      <c r="G219" s="11">
        <v>1</v>
      </c>
      <c r="H219" s="11">
        <v>1</v>
      </c>
      <c r="I219" s="11">
        <v>1</v>
      </c>
      <c r="J219" s="11">
        <v>1</v>
      </c>
      <c r="K219" s="11">
        <v>1</v>
      </c>
      <c r="L219" s="11">
        <v>1</v>
      </c>
      <c r="M219" s="11">
        <v>1</v>
      </c>
      <c r="N219" s="11">
        <v>1</v>
      </c>
      <c r="O219" s="11">
        <v>1</v>
      </c>
    </row>
    <row r="220" spans="2:15" s="11" customFormat="1" x14ac:dyDescent="0.15">
      <c r="B220" s="11" t="s">
        <v>1973</v>
      </c>
      <c r="E220" s="11" t="s">
        <v>451</v>
      </c>
      <c r="F220" s="11">
        <v>0</v>
      </c>
      <c r="G220" s="11">
        <v>1</v>
      </c>
      <c r="H220" s="11">
        <v>1</v>
      </c>
      <c r="I220" s="11">
        <v>1</v>
      </c>
      <c r="J220" s="11">
        <v>1</v>
      </c>
      <c r="K220" s="11">
        <v>1</v>
      </c>
      <c r="L220" s="11">
        <v>1</v>
      </c>
      <c r="M220" s="11">
        <v>1</v>
      </c>
      <c r="N220" s="11">
        <v>1</v>
      </c>
      <c r="O220" s="11">
        <v>1</v>
      </c>
    </row>
    <row r="221" spans="2:15" s="11" customFormat="1" x14ac:dyDescent="0.15">
      <c r="B221" s="11" t="s">
        <v>1975</v>
      </c>
      <c r="E221" s="11" t="s">
        <v>448</v>
      </c>
      <c r="F221" s="11">
        <v>0</v>
      </c>
      <c r="G221" s="11">
        <v>1</v>
      </c>
      <c r="H221" s="11">
        <v>1</v>
      </c>
      <c r="I221" s="11">
        <v>1</v>
      </c>
      <c r="J221" s="11">
        <v>1</v>
      </c>
      <c r="K221" s="11">
        <v>1</v>
      </c>
      <c r="L221" s="11">
        <v>1</v>
      </c>
      <c r="M221" s="11">
        <v>1</v>
      </c>
      <c r="N221" s="11">
        <v>1</v>
      </c>
      <c r="O221" s="11">
        <v>1</v>
      </c>
    </row>
    <row r="222" spans="2:15" s="11" customFormat="1" x14ac:dyDescent="0.15">
      <c r="B222" s="11" t="s">
        <v>1977</v>
      </c>
      <c r="E222" s="11" t="s">
        <v>450</v>
      </c>
      <c r="F222" s="11">
        <v>0</v>
      </c>
      <c r="G222" s="11">
        <v>1</v>
      </c>
      <c r="H222" s="11">
        <v>1</v>
      </c>
      <c r="I222" s="11">
        <v>1</v>
      </c>
      <c r="J222" s="11">
        <v>1</v>
      </c>
      <c r="K222" s="11">
        <v>1</v>
      </c>
      <c r="L222" s="11">
        <v>1</v>
      </c>
      <c r="M222" s="11">
        <v>1</v>
      </c>
      <c r="N222" s="11">
        <v>1</v>
      </c>
      <c r="O222" s="11">
        <v>1</v>
      </c>
    </row>
    <row r="223" spans="2:15" s="13" customFormat="1" x14ac:dyDescent="0.15">
      <c r="B223" s="13" t="s">
        <v>2637</v>
      </c>
      <c r="E223" s="13" t="s">
        <v>447</v>
      </c>
      <c r="F223" s="13">
        <v>0</v>
      </c>
      <c r="G223" s="13">
        <v>1</v>
      </c>
      <c r="H223" s="13">
        <v>1</v>
      </c>
      <c r="I223" s="13">
        <v>1</v>
      </c>
      <c r="J223" s="13">
        <v>1</v>
      </c>
      <c r="K223" s="13">
        <v>1</v>
      </c>
      <c r="L223" s="13">
        <v>1</v>
      </c>
      <c r="M223" s="13">
        <v>1</v>
      </c>
      <c r="N223" s="13">
        <v>1</v>
      </c>
      <c r="O223" s="13">
        <v>1</v>
      </c>
    </row>
    <row r="224" spans="2:15" s="13" customFormat="1" x14ac:dyDescent="0.15">
      <c r="B224" s="13" t="s">
        <v>2639</v>
      </c>
      <c r="E224" s="13" t="s">
        <v>449</v>
      </c>
      <c r="F224" s="13">
        <v>0</v>
      </c>
      <c r="G224" s="13">
        <v>1</v>
      </c>
      <c r="H224" s="13">
        <v>1</v>
      </c>
      <c r="I224" s="13">
        <v>1</v>
      </c>
      <c r="J224" s="13">
        <v>1</v>
      </c>
      <c r="K224" s="13">
        <v>1</v>
      </c>
      <c r="L224" s="13">
        <v>1</v>
      </c>
      <c r="M224" s="13">
        <v>1</v>
      </c>
      <c r="N224" s="13">
        <v>1</v>
      </c>
      <c r="O224" s="13">
        <v>1</v>
      </c>
    </row>
    <row r="225" spans="2:15" s="13" customFormat="1" x14ac:dyDescent="0.15">
      <c r="B225" s="13" t="s">
        <v>1979</v>
      </c>
      <c r="E225" s="13" t="s">
        <v>448</v>
      </c>
      <c r="F225" s="13">
        <v>0</v>
      </c>
      <c r="G225" s="13">
        <v>1</v>
      </c>
      <c r="H225" s="13">
        <v>1</v>
      </c>
      <c r="I225" s="13">
        <v>1</v>
      </c>
      <c r="J225" s="13">
        <v>1</v>
      </c>
      <c r="K225" s="13">
        <v>1</v>
      </c>
      <c r="L225" s="13">
        <v>1</v>
      </c>
      <c r="M225" s="13">
        <v>1</v>
      </c>
      <c r="N225" s="13">
        <v>1</v>
      </c>
      <c r="O225" s="13">
        <v>1</v>
      </c>
    </row>
    <row r="226" spans="2:15" s="13" customFormat="1" x14ac:dyDescent="0.15">
      <c r="B226" s="13" t="s">
        <v>2641</v>
      </c>
      <c r="E226" s="13" t="s">
        <v>450</v>
      </c>
      <c r="F226" s="13">
        <v>0</v>
      </c>
      <c r="G226" s="13">
        <v>1</v>
      </c>
      <c r="H226" s="13">
        <v>1</v>
      </c>
      <c r="I226" s="13">
        <v>1</v>
      </c>
      <c r="J226" s="13">
        <v>1</v>
      </c>
      <c r="K226" s="13">
        <v>1</v>
      </c>
      <c r="L226" s="13">
        <v>1</v>
      </c>
      <c r="M226" s="13">
        <v>1</v>
      </c>
      <c r="N226" s="13">
        <v>1</v>
      </c>
      <c r="O226" s="13">
        <v>1</v>
      </c>
    </row>
    <row r="227" spans="2:15" s="13" customFormat="1" x14ac:dyDescent="0.15">
      <c r="B227" s="13" t="s">
        <v>2643</v>
      </c>
      <c r="E227" s="13" t="s">
        <v>447</v>
      </c>
      <c r="F227" s="13">
        <v>0</v>
      </c>
      <c r="G227" s="13">
        <v>1</v>
      </c>
      <c r="H227" s="13">
        <v>1</v>
      </c>
      <c r="I227" s="13">
        <v>1</v>
      </c>
      <c r="J227" s="13">
        <v>1</v>
      </c>
      <c r="K227" s="13">
        <v>1</v>
      </c>
      <c r="L227" s="13">
        <v>1</v>
      </c>
      <c r="M227" s="13">
        <v>1</v>
      </c>
      <c r="N227" s="13">
        <v>1</v>
      </c>
      <c r="O227" s="13">
        <v>1</v>
      </c>
    </row>
    <row r="228" spans="2:15" s="13" customFormat="1" x14ac:dyDescent="0.15">
      <c r="B228" s="13" t="s">
        <v>1981</v>
      </c>
      <c r="E228" s="13" t="s">
        <v>449</v>
      </c>
      <c r="F228" s="13">
        <v>0</v>
      </c>
      <c r="G228" s="13">
        <v>1</v>
      </c>
      <c r="H228" s="13">
        <v>1</v>
      </c>
      <c r="I228" s="13">
        <v>1</v>
      </c>
      <c r="J228" s="13">
        <v>1</v>
      </c>
      <c r="K228" s="13">
        <v>1</v>
      </c>
      <c r="L228" s="13">
        <v>1</v>
      </c>
      <c r="M228" s="13">
        <v>1</v>
      </c>
      <c r="N228" s="13">
        <v>1</v>
      </c>
      <c r="O228" s="13">
        <v>1</v>
      </c>
    </row>
    <row r="229" spans="2:15" s="13" customFormat="1" x14ac:dyDescent="0.15">
      <c r="B229" s="13" t="s">
        <v>2645</v>
      </c>
      <c r="E229" s="13" t="s">
        <v>451</v>
      </c>
      <c r="F229" s="13">
        <v>0</v>
      </c>
      <c r="G229" s="13">
        <v>1</v>
      </c>
      <c r="H229" s="13">
        <v>1</v>
      </c>
      <c r="I229" s="13">
        <v>1</v>
      </c>
      <c r="J229" s="13">
        <v>1</v>
      </c>
      <c r="K229" s="13">
        <v>1</v>
      </c>
      <c r="L229" s="13">
        <v>1</v>
      </c>
      <c r="M229" s="13">
        <v>1</v>
      </c>
      <c r="N229" s="13">
        <v>1</v>
      </c>
      <c r="O229" s="13">
        <v>1</v>
      </c>
    </row>
    <row r="230" spans="2:15" s="13" customFormat="1" x14ac:dyDescent="0.15">
      <c r="B230" s="13" t="s">
        <v>2648</v>
      </c>
      <c r="E230" s="13" t="s">
        <v>450</v>
      </c>
      <c r="F230" s="13">
        <v>0</v>
      </c>
      <c r="G230" s="13">
        <v>1</v>
      </c>
      <c r="H230" s="13">
        <v>1</v>
      </c>
      <c r="I230" s="13">
        <v>1</v>
      </c>
      <c r="J230" s="13">
        <v>1</v>
      </c>
      <c r="K230" s="13">
        <v>1</v>
      </c>
      <c r="L230" s="13">
        <v>1</v>
      </c>
      <c r="M230" s="13">
        <v>1</v>
      </c>
      <c r="N230" s="13">
        <v>1</v>
      </c>
      <c r="O230" s="13">
        <v>1</v>
      </c>
    </row>
    <row r="231" spans="2:15" s="13" customFormat="1" x14ac:dyDescent="0.15">
      <c r="B231" s="13" t="s">
        <v>2650</v>
      </c>
      <c r="E231" s="13" t="s">
        <v>447</v>
      </c>
      <c r="F231" s="13">
        <v>0</v>
      </c>
      <c r="G231" s="13">
        <v>1</v>
      </c>
      <c r="H231" s="13">
        <v>1</v>
      </c>
      <c r="I231" s="13">
        <v>1</v>
      </c>
      <c r="J231" s="13">
        <v>1</v>
      </c>
      <c r="K231" s="13">
        <v>1</v>
      </c>
      <c r="L231" s="13">
        <v>1</v>
      </c>
      <c r="M231" s="13">
        <v>1</v>
      </c>
      <c r="N231" s="13">
        <v>1</v>
      </c>
      <c r="O231" s="13">
        <v>1</v>
      </c>
    </row>
    <row r="232" spans="2:15" s="13" customFormat="1" x14ac:dyDescent="0.15">
      <c r="B232" s="13" t="s">
        <v>1983</v>
      </c>
      <c r="E232" s="13" t="s">
        <v>446</v>
      </c>
      <c r="F232" s="13">
        <v>0</v>
      </c>
      <c r="G232" s="13">
        <v>1</v>
      </c>
      <c r="H232" s="13">
        <v>1</v>
      </c>
      <c r="I232" s="13">
        <v>1</v>
      </c>
      <c r="J232" s="13">
        <v>1</v>
      </c>
      <c r="K232" s="13">
        <v>1</v>
      </c>
      <c r="L232" s="13">
        <v>1</v>
      </c>
      <c r="M232" s="13">
        <v>1</v>
      </c>
      <c r="N232" s="13">
        <v>1</v>
      </c>
      <c r="O232" s="13">
        <v>1</v>
      </c>
    </row>
    <row r="233" spans="2:15" s="11" customFormat="1" x14ac:dyDescent="0.15">
      <c r="B233" s="11" t="s">
        <v>2652</v>
      </c>
      <c r="E233" s="11" t="s">
        <v>452</v>
      </c>
      <c r="F233" s="11">
        <v>0</v>
      </c>
      <c r="G233" s="11">
        <v>1</v>
      </c>
      <c r="H233" s="11">
        <v>1</v>
      </c>
      <c r="I233" s="11">
        <v>1</v>
      </c>
      <c r="J233" s="11">
        <v>1</v>
      </c>
      <c r="K233" s="11">
        <v>1</v>
      </c>
      <c r="L233" s="11">
        <v>1</v>
      </c>
      <c r="M233" s="11">
        <v>1</v>
      </c>
      <c r="N233" s="11">
        <v>1</v>
      </c>
      <c r="O233" s="11">
        <v>1</v>
      </c>
    </row>
    <row r="234" spans="2:15" s="11" customFormat="1" x14ac:dyDescent="0.15">
      <c r="B234" s="11" t="s">
        <v>2654</v>
      </c>
      <c r="E234" s="11" t="s">
        <v>451</v>
      </c>
      <c r="F234" s="11">
        <v>0</v>
      </c>
      <c r="G234" s="11">
        <v>1</v>
      </c>
      <c r="H234" s="11">
        <v>1</v>
      </c>
      <c r="I234" s="11">
        <v>1</v>
      </c>
      <c r="J234" s="11">
        <v>1</v>
      </c>
      <c r="K234" s="11">
        <v>1</v>
      </c>
      <c r="L234" s="11">
        <v>1</v>
      </c>
      <c r="M234" s="11">
        <v>1</v>
      </c>
      <c r="N234" s="11">
        <v>1</v>
      </c>
      <c r="O234" s="11">
        <v>1</v>
      </c>
    </row>
    <row r="235" spans="2:15" s="11" customFormat="1" x14ac:dyDescent="0.15">
      <c r="B235" s="11" t="s">
        <v>1985</v>
      </c>
      <c r="E235" s="11" t="s">
        <v>448</v>
      </c>
      <c r="F235" s="11">
        <v>0</v>
      </c>
      <c r="G235" s="11">
        <v>1</v>
      </c>
      <c r="H235" s="11">
        <v>1</v>
      </c>
      <c r="I235" s="11">
        <v>1</v>
      </c>
      <c r="J235" s="11">
        <v>1</v>
      </c>
      <c r="K235" s="11">
        <v>1</v>
      </c>
      <c r="L235" s="11">
        <v>1</v>
      </c>
      <c r="M235" s="11">
        <v>1</v>
      </c>
      <c r="N235" s="11">
        <v>1</v>
      </c>
      <c r="O235" s="11">
        <v>1</v>
      </c>
    </row>
    <row r="236" spans="2:15" s="11" customFormat="1" x14ac:dyDescent="0.15">
      <c r="B236" s="11" t="s">
        <v>1987</v>
      </c>
      <c r="E236" s="11" t="s">
        <v>450</v>
      </c>
      <c r="F236" s="11">
        <v>0</v>
      </c>
      <c r="G236" s="11">
        <v>1</v>
      </c>
      <c r="H236" s="11">
        <v>1</v>
      </c>
      <c r="I236" s="11">
        <v>1</v>
      </c>
      <c r="J236" s="11">
        <v>1</v>
      </c>
      <c r="K236" s="11">
        <v>1</v>
      </c>
      <c r="L236" s="11">
        <v>1</v>
      </c>
      <c r="M236" s="11">
        <v>1</v>
      </c>
      <c r="N236" s="11">
        <v>1</v>
      </c>
      <c r="O236" s="11">
        <v>1</v>
      </c>
    </row>
    <row r="237" spans="2:15" s="11" customFormat="1" x14ac:dyDescent="0.15">
      <c r="B237" s="11" t="s">
        <v>2656</v>
      </c>
      <c r="E237" s="11" t="s">
        <v>448</v>
      </c>
      <c r="F237" s="11">
        <v>0</v>
      </c>
      <c r="G237" s="11">
        <v>1</v>
      </c>
      <c r="H237" s="11">
        <v>1</v>
      </c>
      <c r="I237" s="11">
        <v>1</v>
      </c>
      <c r="J237" s="11">
        <v>1</v>
      </c>
      <c r="K237" s="11">
        <v>1</v>
      </c>
      <c r="L237" s="11">
        <v>1</v>
      </c>
      <c r="M237" s="11">
        <v>1</v>
      </c>
      <c r="N237" s="11">
        <v>1</v>
      </c>
      <c r="O237" s="11">
        <v>1</v>
      </c>
    </row>
    <row r="238" spans="2:15" s="11" customFormat="1" x14ac:dyDescent="0.15">
      <c r="B238" s="11" t="s">
        <v>2660</v>
      </c>
      <c r="E238" s="11" t="s">
        <v>453</v>
      </c>
      <c r="F238" s="11">
        <v>0</v>
      </c>
      <c r="G238" s="11">
        <v>1</v>
      </c>
      <c r="H238" s="11">
        <v>1</v>
      </c>
      <c r="I238" s="11">
        <v>1</v>
      </c>
      <c r="J238" s="11">
        <v>1</v>
      </c>
      <c r="K238" s="11">
        <v>1</v>
      </c>
      <c r="L238" s="11">
        <v>1</v>
      </c>
      <c r="M238" s="11">
        <v>1</v>
      </c>
      <c r="N238" s="11">
        <v>1</v>
      </c>
      <c r="O238" s="11">
        <v>1</v>
      </c>
    </row>
    <row r="239" spans="2:15" s="11" customFormat="1" x14ac:dyDescent="0.15">
      <c r="B239" s="11" t="s">
        <v>2667</v>
      </c>
      <c r="E239" s="11" t="s">
        <v>451</v>
      </c>
      <c r="F239" s="11">
        <v>0</v>
      </c>
      <c r="G239" s="11">
        <v>1</v>
      </c>
      <c r="H239" s="11">
        <v>1</v>
      </c>
      <c r="I239" s="11">
        <v>1</v>
      </c>
      <c r="J239" s="11">
        <v>1</v>
      </c>
      <c r="K239" s="11">
        <v>1</v>
      </c>
      <c r="L239" s="11">
        <v>1</v>
      </c>
      <c r="M239" s="11">
        <v>1</v>
      </c>
      <c r="N239" s="11">
        <v>1</v>
      </c>
      <c r="O239" s="11">
        <v>1</v>
      </c>
    </row>
    <row r="240" spans="2:15" s="11" customFormat="1" x14ac:dyDescent="0.15">
      <c r="B240" s="11" t="s">
        <v>1989</v>
      </c>
      <c r="E240" s="11" t="s">
        <v>448</v>
      </c>
      <c r="F240" s="11">
        <v>0</v>
      </c>
      <c r="G240" s="11">
        <v>1</v>
      </c>
      <c r="H240" s="11">
        <v>1</v>
      </c>
      <c r="I240" s="11">
        <v>1</v>
      </c>
      <c r="J240" s="11">
        <v>1</v>
      </c>
      <c r="K240" s="11">
        <v>1</v>
      </c>
      <c r="L240" s="11">
        <v>1</v>
      </c>
      <c r="M240" s="11">
        <v>1</v>
      </c>
      <c r="N240" s="11">
        <v>1</v>
      </c>
      <c r="O240" s="11">
        <v>1</v>
      </c>
    </row>
    <row r="241" spans="2:15" s="11" customFormat="1" x14ac:dyDescent="0.15">
      <c r="B241" s="11" t="s">
        <v>1991</v>
      </c>
      <c r="E241" s="11" t="s">
        <v>449</v>
      </c>
      <c r="F241" s="11">
        <v>0</v>
      </c>
      <c r="G241" s="11">
        <v>1</v>
      </c>
      <c r="H241" s="11">
        <v>1</v>
      </c>
      <c r="I241" s="11">
        <v>1</v>
      </c>
      <c r="J241" s="11">
        <v>1</v>
      </c>
      <c r="K241" s="11">
        <v>1</v>
      </c>
      <c r="L241" s="11">
        <v>1</v>
      </c>
      <c r="M241" s="11">
        <v>1</v>
      </c>
      <c r="N241" s="11">
        <v>1</v>
      </c>
      <c r="O241" s="11">
        <v>1</v>
      </c>
    </row>
    <row r="242" spans="2:15" s="11" customFormat="1" x14ac:dyDescent="0.15">
      <c r="B242" s="11" t="s">
        <v>2669</v>
      </c>
      <c r="E242" s="11" t="s">
        <v>448</v>
      </c>
      <c r="F242" s="11">
        <v>0</v>
      </c>
      <c r="G242" s="11">
        <v>1</v>
      </c>
      <c r="H242" s="11">
        <v>1</v>
      </c>
      <c r="I242" s="11">
        <v>1</v>
      </c>
      <c r="J242" s="11">
        <v>1</v>
      </c>
      <c r="K242" s="11">
        <v>1</v>
      </c>
      <c r="L242" s="11">
        <v>1</v>
      </c>
      <c r="M242" s="11">
        <v>1</v>
      </c>
      <c r="N242" s="11">
        <v>1</v>
      </c>
      <c r="O242" s="11">
        <v>1</v>
      </c>
    </row>
    <row r="243" spans="2:15" s="11" customFormat="1" x14ac:dyDescent="0.15">
      <c r="B243" s="11" t="s">
        <v>1993</v>
      </c>
      <c r="E243" s="11" t="s">
        <v>450</v>
      </c>
      <c r="F243" s="11">
        <v>0</v>
      </c>
      <c r="G243" s="11">
        <v>1</v>
      </c>
      <c r="H243" s="11">
        <v>1</v>
      </c>
      <c r="I243" s="11">
        <v>1</v>
      </c>
      <c r="J243" s="11">
        <v>1</v>
      </c>
      <c r="K243" s="11">
        <v>1</v>
      </c>
      <c r="L243" s="11">
        <v>1</v>
      </c>
      <c r="M243" s="11">
        <v>1</v>
      </c>
      <c r="N243" s="11">
        <v>1</v>
      </c>
      <c r="O243" s="11">
        <v>1</v>
      </c>
    </row>
    <row r="244" spans="2:15" s="11" customFormat="1" x14ac:dyDescent="0.15">
      <c r="B244" s="11" t="s">
        <v>2671</v>
      </c>
      <c r="E244" s="11" t="s">
        <v>447</v>
      </c>
      <c r="F244" s="11">
        <v>0</v>
      </c>
      <c r="G244" s="11">
        <v>1</v>
      </c>
      <c r="H244" s="11">
        <v>1</v>
      </c>
      <c r="I244" s="11">
        <v>1</v>
      </c>
      <c r="J244" s="11">
        <v>1</v>
      </c>
      <c r="K244" s="11">
        <v>1</v>
      </c>
      <c r="L244" s="11">
        <v>1</v>
      </c>
      <c r="M244" s="11">
        <v>1</v>
      </c>
      <c r="N244" s="11">
        <v>1</v>
      </c>
      <c r="O244" s="11">
        <v>1</v>
      </c>
    </row>
    <row r="245" spans="2:15" s="11" customFormat="1" x14ac:dyDescent="0.15">
      <c r="B245" s="11" t="s">
        <v>2673</v>
      </c>
      <c r="E245" s="11" t="s">
        <v>452</v>
      </c>
      <c r="F245" s="11">
        <v>0</v>
      </c>
      <c r="G245" s="11">
        <v>1</v>
      </c>
      <c r="H245" s="11">
        <v>1</v>
      </c>
      <c r="I245" s="11">
        <v>1</v>
      </c>
      <c r="J245" s="11">
        <v>1</v>
      </c>
      <c r="K245" s="11">
        <v>1</v>
      </c>
      <c r="L245" s="11">
        <v>1</v>
      </c>
      <c r="M245" s="11">
        <v>1</v>
      </c>
      <c r="N245" s="11">
        <v>1</v>
      </c>
      <c r="O245" s="11">
        <v>1</v>
      </c>
    </row>
    <row r="246" spans="2:15" s="11" customFormat="1" x14ac:dyDescent="0.15">
      <c r="B246" s="11" t="s">
        <v>1995</v>
      </c>
      <c r="E246" s="11" t="s">
        <v>451</v>
      </c>
      <c r="F246" s="11">
        <v>0</v>
      </c>
      <c r="G246" s="11">
        <v>1</v>
      </c>
      <c r="H246" s="11">
        <v>1</v>
      </c>
      <c r="I246" s="11">
        <v>1</v>
      </c>
      <c r="J246" s="11">
        <v>1</v>
      </c>
      <c r="K246" s="11">
        <v>1</v>
      </c>
      <c r="L246" s="11">
        <v>1</v>
      </c>
      <c r="M246" s="11">
        <v>1</v>
      </c>
      <c r="N246" s="11">
        <v>1</v>
      </c>
      <c r="O246" s="11">
        <v>1</v>
      </c>
    </row>
    <row r="247" spans="2:15" s="11" customFormat="1" x14ac:dyDescent="0.15">
      <c r="B247" s="11" t="s">
        <v>1997</v>
      </c>
      <c r="E247" s="11" t="s">
        <v>448</v>
      </c>
      <c r="F247" s="11">
        <v>0</v>
      </c>
      <c r="G247" s="11">
        <v>1</v>
      </c>
      <c r="H247" s="11">
        <v>1</v>
      </c>
      <c r="I247" s="11">
        <v>1</v>
      </c>
      <c r="J247" s="11">
        <v>1</v>
      </c>
      <c r="K247" s="11">
        <v>1</v>
      </c>
      <c r="L247" s="11">
        <v>1</v>
      </c>
      <c r="M247" s="11">
        <v>1</v>
      </c>
      <c r="N247" s="11">
        <v>1</v>
      </c>
      <c r="O247" s="11">
        <v>1</v>
      </c>
    </row>
    <row r="248" spans="2:15" s="11" customFormat="1" x14ac:dyDescent="0.15">
      <c r="B248" s="11" t="s">
        <v>2675</v>
      </c>
      <c r="E248" s="11" t="s">
        <v>447</v>
      </c>
      <c r="F248" s="11">
        <v>0</v>
      </c>
      <c r="G248" s="11">
        <v>1</v>
      </c>
      <c r="H248" s="11">
        <v>1</v>
      </c>
      <c r="I248" s="11">
        <v>1</v>
      </c>
      <c r="J248" s="11">
        <v>1</v>
      </c>
      <c r="K248" s="11">
        <v>1</v>
      </c>
      <c r="L248" s="11">
        <v>1</v>
      </c>
      <c r="M248" s="11">
        <v>1</v>
      </c>
      <c r="N248" s="11">
        <v>1</v>
      </c>
      <c r="O248" s="11">
        <v>1</v>
      </c>
    </row>
    <row r="249" spans="2:15" s="11" customFormat="1" x14ac:dyDescent="0.15">
      <c r="B249" s="11" t="s">
        <v>2677</v>
      </c>
      <c r="E249" s="11" t="s">
        <v>449</v>
      </c>
      <c r="F249" s="11">
        <v>0</v>
      </c>
      <c r="G249" s="11">
        <v>1</v>
      </c>
      <c r="H249" s="11">
        <v>1</v>
      </c>
      <c r="I249" s="11">
        <v>1</v>
      </c>
      <c r="J249" s="11">
        <v>1</v>
      </c>
      <c r="K249" s="11">
        <v>1</v>
      </c>
      <c r="L249" s="11">
        <v>1</v>
      </c>
      <c r="M249" s="11">
        <v>1</v>
      </c>
      <c r="N249" s="11">
        <v>1</v>
      </c>
      <c r="O249" s="11">
        <v>1</v>
      </c>
    </row>
    <row r="250" spans="2:15" s="11" customFormat="1" x14ac:dyDescent="0.15">
      <c r="B250" s="11" t="s">
        <v>2679</v>
      </c>
      <c r="E250" s="11" t="s">
        <v>450</v>
      </c>
      <c r="F250" s="11">
        <v>0</v>
      </c>
      <c r="G250" s="11">
        <v>1</v>
      </c>
      <c r="H250" s="11">
        <v>1</v>
      </c>
      <c r="I250" s="11">
        <v>1</v>
      </c>
      <c r="J250" s="11">
        <v>1</v>
      </c>
      <c r="K250" s="11">
        <v>1</v>
      </c>
      <c r="L250" s="11">
        <v>1</v>
      </c>
      <c r="M250" s="11">
        <v>1</v>
      </c>
      <c r="N250" s="11">
        <v>1</v>
      </c>
      <c r="O250" s="11">
        <v>1</v>
      </c>
    </row>
    <row r="251" spans="2:15" s="11" customFormat="1" x14ac:dyDescent="0.15">
      <c r="B251" s="11" t="s">
        <v>2681</v>
      </c>
      <c r="E251" s="11" t="s">
        <v>446</v>
      </c>
      <c r="F251" s="11">
        <v>0</v>
      </c>
      <c r="G251" s="11">
        <v>1</v>
      </c>
      <c r="H251" s="11">
        <v>1</v>
      </c>
      <c r="I251" s="11">
        <v>1</v>
      </c>
      <c r="J251" s="11">
        <v>1</v>
      </c>
      <c r="K251" s="11">
        <v>1</v>
      </c>
      <c r="L251" s="11">
        <v>1</v>
      </c>
      <c r="M251" s="11">
        <v>1</v>
      </c>
      <c r="N251" s="11">
        <v>1</v>
      </c>
      <c r="O251" s="11">
        <v>1</v>
      </c>
    </row>
    <row r="252" spans="2:15" s="11" customFormat="1" x14ac:dyDescent="0.15">
      <c r="B252" s="11" t="s">
        <v>2683</v>
      </c>
      <c r="E252" s="11" t="s">
        <v>453</v>
      </c>
      <c r="F252" s="11">
        <v>0</v>
      </c>
      <c r="G252" s="11">
        <v>1</v>
      </c>
      <c r="H252" s="11">
        <v>1</v>
      </c>
      <c r="I252" s="11">
        <v>1</v>
      </c>
      <c r="J252" s="11">
        <v>1</v>
      </c>
      <c r="K252" s="11">
        <v>1</v>
      </c>
      <c r="L252" s="11">
        <v>1</v>
      </c>
      <c r="M252" s="11">
        <v>1</v>
      </c>
      <c r="N252" s="11">
        <v>1</v>
      </c>
      <c r="O252" s="11">
        <v>1</v>
      </c>
    </row>
    <row r="253" spans="2:15" s="11" customFormat="1" x14ac:dyDescent="0.15">
      <c r="B253" s="11" t="s">
        <v>1999</v>
      </c>
      <c r="E253" s="11" t="s">
        <v>449</v>
      </c>
      <c r="F253" s="11">
        <v>0</v>
      </c>
      <c r="G253" s="11">
        <v>1</v>
      </c>
      <c r="H253" s="11">
        <v>1</v>
      </c>
      <c r="I253" s="11">
        <v>1</v>
      </c>
      <c r="J253" s="11">
        <v>1</v>
      </c>
      <c r="K253" s="11">
        <v>1</v>
      </c>
      <c r="L253" s="11">
        <v>1</v>
      </c>
      <c r="M253" s="11">
        <v>1</v>
      </c>
      <c r="N253" s="11">
        <v>1</v>
      </c>
      <c r="O253" s="11">
        <v>1</v>
      </c>
    </row>
    <row r="254" spans="2:15" s="11" customFormat="1" x14ac:dyDescent="0.15">
      <c r="B254" s="11" t="s">
        <v>2685</v>
      </c>
      <c r="E254" s="11" t="s">
        <v>452</v>
      </c>
      <c r="F254" s="11">
        <v>0</v>
      </c>
      <c r="G254" s="11">
        <v>1</v>
      </c>
      <c r="H254" s="11">
        <v>1</v>
      </c>
      <c r="I254" s="11">
        <v>1</v>
      </c>
      <c r="J254" s="11">
        <v>1</v>
      </c>
      <c r="K254" s="11">
        <v>1</v>
      </c>
      <c r="L254" s="11">
        <v>1</v>
      </c>
      <c r="M254" s="11">
        <v>1</v>
      </c>
      <c r="N254" s="11">
        <v>1</v>
      </c>
      <c r="O254" s="11">
        <v>1</v>
      </c>
    </row>
    <row r="255" spans="2:15" s="13" customFormat="1" x14ac:dyDescent="0.15">
      <c r="B255" s="13" t="s">
        <v>2001</v>
      </c>
      <c r="E255" s="13" t="s">
        <v>448</v>
      </c>
      <c r="F255" s="13">
        <v>0</v>
      </c>
      <c r="G255" s="13">
        <v>1</v>
      </c>
      <c r="H255" s="13">
        <v>1</v>
      </c>
      <c r="I255" s="13">
        <v>1</v>
      </c>
      <c r="J255" s="13">
        <v>1</v>
      </c>
      <c r="K255" s="13">
        <v>1</v>
      </c>
      <c r="L255" s="13">
        <v>1</v>
      </c>
      <c r="M255" s="13">
        <v>1</v>
      </c>
      <c r="N255" s="13">
        <v>1</v>
      </c>
      <c r="O255" s="13">
        <v>1</v>
      </c>
    </row>
    <row r="256" spans="2:15" s="13" customFormat="1" x14ac:dyDescent="0.15">
      <c r="B256" s="13" t="s">
        <v>2003</v>
      </c>
      <c r="E256" s="13" t="s">
        <v>446</v>
      </c>
      <c r="F256" s="13">
        <v>0</v>
      </c>
      <c r="G256" s="13">
        <v>1</v>
      </c>
      <c r="H256" s="13">
        <v>1</v>
      </c>
      <c r="I256" s="13">
        <v>1</v>
      </c>
      <c r="J256" s="13">
        <v>1</v>
      </c>
      <c r="K256" s="13">
        <v>1</v>
      </c>
      <c r="L256" s="13">
        <v>1</v>
      </c>
      <c r="M256" s="13">
        <v>1</v>
      </c>
      <c r="N256" s="13">
        <v>1</v>
      </c>
      <c r="O256" s="13">
        <v>1</v>
      </c>
    </row>
    <row r="257" spans="2:15" s="13" customFormat="1" x14ac:dyDescent="0.15">
      <c r="B257" s="13" t="s">
        <v>2005</v>
      </c>
      <c r="E257" s="13" t="s">
        <v>451</v>
      </c>
      <c r="F257" s="13">
        <v>0</v>
      </c>
      <c r="G257" s="13">
        <v>1</v>
      </c>
      <c r="H257" s="13">
        <v>1</v>
      </c>
      <c r="I257" s="13">
        <v>1</v>
      </c>
      <c r="J257" s="13">
        <v>1</v>
      </c>
      <c r="K257" s="13">
        <v>1</v>
      </c>
      <c r="L257" s="13">
        <v>1</v>
      </c>
      <c r="M257" s="13">
        <v>1</v>
      </c>
      <c r="N257" s="13">
        <v>1</v>
      </c>
      <c r="O257" s="13">
        <v>1</v>
      </c>
    </row>
    <row r="258" spans="2:15" s="13" customFormat="1" x14ac:dyDescent="0.15">
      <c r="B258" s="13" t="s">
        <v>2007</v>
      </c>
      <c r="E258" s="13" t="s">
        <v>448</v>
      </c>
      <c r="F258" s="13">
        <v>0</v>
      </c>
      <c r="G258" s="13">
        <v>1</v>
      </c>
      <c r="H258" s="13">
        <v>1</v>
      </c>
      <c r="I258" s="13">
        <v>1</v>
      </c>
      <c r="J258" s="13">
        <v>1</v>
      </c>
      <c r="K258" s="13">
        <v>1</v>
      </c>
      <c r="L258" s="13">
        <v>1</v>
      </c>
      <c r="M258" s="13">
        <v>1</v>
      </c>
      <c r="N258" s="13">
        <v>1</v>
      </c>
      <c r="O258" s="13">
        <v>1</v>
      </c>
    </row>
    <row r="259" spans="2:15" s="13" customFormat="1" x14ac:dyDescent="0.15">
      <c r="B259" s="13" t="s">
        <v>2687</v>
      </c>
      <c r="E259" s="13" t="s">
        <v>447</v>
      </c>
      <c r="F259" s="13">
        <v>0</v>
      </c>
      <c r="G259" s="13">
        <v>1</v>
      </c>
      <c r="H259" s="13">
        <v>1</v>
      </c>
      <c r="I259" s="13">
        <v>1</v>
      </c>
      <c r="J259" s="13">
        <v>1</v>
      </c>
      <c r="K259" s="13">
        <v>1</v>
      </c>
      <c r="L259" s="13">
        <v>1</v>
      </c>
      <c r="M259" s="13">
        <v>1</v>
      </c>
      <c r="N259" s="13">
        <v>1</v>
      </c>
      <c r="O259" s="13">
        <v>1</v>
      </c>
    </row>
    <row r="260" spans="2:15" s="11" customFormat="1" x14ac:dyDescent="0.15">
      <c r="B260" s="11" t="s">
        <v>2689</v>
      </c>
      <c r="E260" s="11" t="s">
        <v>446</v>
      </c>
      <c r="F260" s="11">
        <v>0</v>
      </c>
      <c r="G260" s="11">
        <v>1</v>
      </c>
      <c r="H260" s="11">
        <v>1</v>
      </c>
      <c r="I260" s="11">
        <v>1</v>
      </c>
      <c r="J260" s="11">
        <v>1</v>
      </c>
      <c r="K260" s="11">
        <v>1</v>
      </c>
      <c r="L260" s="11">
        <v>1</v>
      </c>
      <c r="M260" s="11">
        <v>1</v>
      </c>
      <c r="N260" s="11">
        <v>1</v>
      </c>
      <c r="O260" s="11">
        <v>1</v>
      </c>
    </row>
    <row r="261" spans="2:15" s="11" customFormat="1" x14ac:dyDescent="0.15">
      <c r="B261" s="11" t="s">
        <v>2691</v>
      </c>
      <c r="E261" s="11" t="s">
        <v>449</v>
      </c>
      <c r="F261" s="11">
        <v>0</v>
      </c>
      <c r="G261" s="11">
        <v>1</v>
      </c>
      <c r="H261" s="11">
        <v>1</v>
      </c>
      <c r="I261" s="11">
        <v>1</v>
      </c>
      <c r="J261" s="11">
        <v>1</v>
      </c>
      <c r="K261" s="11">
        <v>1</v>
      </c>
      <c r="L261" s="11">
        <v>1</v>
      </c>
      <c r="M261" s="11">
        <v>1</v>
      </c>
      <c r="N261" s="11">
        <v>1</v>
      </c>
      <c r="O261" s="11">
        <v>1</v>
      </c>
    </row>
    <row r="262" spans="2:15" s="11" customFormat="1" x14ac:dyDescent="0.15">
      <c r="B262" s="11" t="s">
        <v>2009</v>
      </c>
      <c r="E262" s="11" t="s">
        <v>451</v>
      </c>
      <c r="F262" s="11">
        <v>0</v>
      </c>
      <c r="G262" s="11">
        <v>1</v>
      </c>
      <c r="H262" s="11">
        <v>1</v>
      </c>
      <c r="I262" s="11">
        <v>1</v>
      </c>
      <c r="J262" s="11">
        <v>1</v>
      </c>
      <c r="K262" s="11">
        <v>1</v>
      </c>
      <c r="L262" s="11">
        <v>1</v>
      </c>
      <c r="M262" s="11">
        <v>1</v>
      </c>
      <c r="N262" s="11">
        <v>1</v>
      </c>
      <c r="O262" s="11">
        <v>1</v>
      </c>
    </row>
    <row r="263" spans="2:15" s="11" customFormat="1" x14ac:dyDescent="0.15">
      <c r="B263" s="11" t="s">
        <v>2011</v>
      </c>
      <c r="E263" s="11" t="s">
        <v>448</v>
      </c>
      <c r="F263" s="11">
        <v>0</v>
      </c>
      <c r="G263" s="11">
        <v>1</v>
      </c>
      <c r="H263" s="11">
        <v>1</v>
      </c>
      <c r="I263" s="11">
        <v>1</v>
      </c>
      <c r="J263" s="11">
        <v>1</v>
      </c>
      <c r="K263" s="11">
        <v>1</v>
      </c>
      <c r="L263" s="11">
        <v>1</v>
      </c>
      <c r="M263" s="11">
        <v>1</v>
      </c>
      <c r="N263" s="11">
        <v>1</v>
      </c>
      <c r="O263" s="11">
        <v>1</v>
      </c>
    </row>
    <row r="264" spans="2:15" s="11" customFormat="1" x14ac:dyDescent="0.15">
      <c r="B264" s="11" t="s">
        <v>2013</v>
      </c>
      <c r="E264" s="11" t="s">
        <v>450</v>
      </c>
      <c r="F264" s="11">
        <v>0</v>
      </c>
      <c r="G264" s="11">
        <v>1</v>
      </c>
      <c r="H264" s="11">
        <v>1</v>
      </c>
      <c r="I264" s="11">
        <v>1</v>
      </c>
      <c r="J264" s="11">
        <v>1</v>
      </c>
      <c r="K264" s="11">
        <v>1</v>
      </c>
      <c r="L264" s="11">
        <v>1</v>
      </c>
      <c r="M264" s="11">
        <v>1</v>
      </c>
      <c r="N264" s="11">
        <v>1</v>
      </c>
      <c r="O264" s="11">
        <v>1</v>
      </c>
    </row>
    <row r="265" spans="2:15" s="11" customFormat="1" x14ac:dyDescent="0.15">
      <c r="B265" s="11" t="s">
        <v>2693</v>
      </c>
      <c r="E265" s="11" t="s">
        <v>448</v>
      </c>
      <c r="F265" s="11">
        <v>0</v>
      </c>
      <c r="G265" s="11">
        <v>1</v>
      </c>
      <c r="H265" s="11">
        <v>1</v>
      </c>
      <c r="I265" s="11">
        <v>1</v>
      </c>
      <c r="J265" s="11">
        <v>1</v>
      </c>
      <c r="K265" s="11">
        <v>1</v>
      </c>
      <c r="L265" s="11">
        <v>1</v>
      </c>
      <c r="M265" s="11">
        <v>1</v>
      </c>
      <c r="N265" s="11">
        <v>1</v>
      </c>
      <c r="O265" s="11">
        <v>1</v>
      </c>
    </row>
    <row r="266" spans="2:15" s="11" customFormat="1" x14ac:dyDescent="0.15">
      <c r="B266" s="11" t="s">
        <v>2695</v>
      </c>
      <c r="E266" s="11" t="s">
        <v>450</v>
      </c>
      <c r="F266" s="11">
        <v>0</v>
      </c>
      <c r="G266" s="11">
        <v>1</v>
      </c>
      <c r="H266" s="11">
        <v>1</v>
      </c>
      <c r="I266" s="11">
        <v>1</v>
      </c>
      <c r="J266" s="11">
        <v>1</v>
      </c>
      <c r="K266" s="11">
        <v>1</v>
      </c>
      <c r="L266" s="11">
        <v>1</v>
      </c>
      <c r="M266" s="11">
        <v>1</v>
      </c>
      <c r="N266" s="11">
        <v>1</v>
      </c>
      <c r="O266" s="11">
        <v>1</v>
      </c>
    </row>
    <row r="267" spans="2:15" s="11" customFormat="1" x14ac:dyDescent="0.15">
      <c r="B267" s="11" t="s">
        <v>2697</v>
      </c>
      <c r="E267" s="11" t="s">
        <v>447</v>
      </c>
      <c r="F267" s="11">
        <v>0</v>
      </c>
      <c r="G267" s="11">
        <v>1</v>
      </c>
      <c r="H267" s="11">
        <v>1</v>
      </c>
      <c r="I267" s="11">
        <v>1</v>
      </c>
      <c r="J267" s="11">
        <v>1</v>
      </c>
      <c r="K267" s="11">
        <v>1</v>
      </c>
      <c r="L267" s="11">
        <v>1</v>
      </c>
      <c r="M267" s="11">
        <v>1</v>
      </c>
      <c r="N267" s="11">
        <v>1</v>
      </c>
      <c r="O267" s="11">
        <v>1</v>
      </c>
    </row>
    <row r="268" spans="2:15" s="11" customFormat="1" x14ac:dyDescent="0.15">
      <c r="B268" s="11" t="s">
        <v>2699</v>
      </c>
      <c r="E268" s="11" t="s">
        <v>446</v>
      </c>
      <c r="F268" s="11">
        <v>0</v>
      </c>
      <c r="G268" s="11">
        <v>1</v>
      </c>
      <c r="H268" s="11">
        <v>1</v>
      </c>
      <c r="I268" s="11">
        <v>1</v>
      </c>
      <c r="J268" s="11">
        <v>1</v>
      </c>
      <c r="K268" s="11">
        <v>1</v>
      </c>
      <c r="L268" s="11">
        <v>1</v>
      </c>
      <c r="M268" s="11">
        <v>1</v>
      </c>
      <c r="N268" s="11">
        <v>1</v>
      </c>
      <c r="O268" s="11">
        <v>1</v>
      </c>
    </row>
    <row r="269" spans="2:15" s="11" customFormat="1" x14ac:dyDescent="0.15">
      <c r="B269" s="11" t="s">
        <v>2015</v>
      </c>
      <c r="E269" s="11" t="s">
        <v>449</v>
      </c>
      <c r="F269" s="11">
        <v>0</v>
      </c>
      <c r="G269" s="11">
        <v>1</v>
      </c>
      <c r="H269" s="11">
        <v>1</v>
      </c>
      <c r="I269" s="11">
        <v>1</v>
      </c>
      <c r="J269" s="11">
        <v>1</v>
      </c>
      <c r="K269" s="11">
        <v>1</v>
      </c>
      <c r="L269" s="11">
        <v>1</v>
      </c>
      <c r="M269" s="11">
        <v>1</v>
      </c>
      <c r="N269" s="11">
        <v>1</v>
      </c>
      <c r="O269" s="11">
        <v>1</v>
      </c>
    </row>
    <row r="270" spans="2:15" s="11" customFormat="1" x14ac:dyDescent="0.15">
      <c r="B270" s="11" t="s">
        <v>2701</v>
      </c>
      <c r="E270" s="11" t="s">
        <v>451</v>
      </c>
      <c r="F270" s="11">
        <v>0</v>
      </c>
      <c r="G270" s="11">
        <v>1</v>
      </c>
      <c r="H270" s="11">
        <v>1</v>
      </c>
      <c r="I270" s="11">
        <v>1</v>
      </c>
      <c r="J270" s="11">
        <v>1</v>
      </c>
      <c r="K270" s="11">
        <v>1</v>
      </c>
      <c r="L270" s="11">
        <v>1</v>
      </c>
      <c r="M270" s="11">
        <v>1</v>
      </c>
      <c r="N270" s="11">
        <v>1</v>
      </c>
      <c r="O270" s="11">
        <v>1</v>
      </c>
    </row>
    <row r="271" spans="2:15" s="11" customFormat="1" x14ac:dyDescent="0.15">
      <c r="B271" s="11" t="s">
        <v>2703</v>
      </c>
      <c r="E271" s="11" t="s">
        <v>448</v>
      </c>
      <c r="F271" s="11">
        <v>0</v>
      </c>
      <c r="G271" s="11">
        <v>1</v>
      </c>
      <c r="H271" s="11">
        <v>1</v>
      </c>
      <c r="I271" s="11">
        <v>1</v>
      </c>
      <c r="J271" s="11">
        <v>1</v>
      </c>
      <c r="K271" s="11">
        <v>1</v>
      </c>
      <c r="L271" s="11">
        <v>1</v>
      </c>
      <c r="M271" s="11">
        <v>1</v>
      </c>
      <c r="N271" s="11">
        <v>1</v>
      </c>
      <c r="O271" s="11">
        <v>1</v>
      </c>
    </row>
    <row r="272" spans="2:15" s="11" customFormat="1" x14ac:dyDescent="0.15">
      <c r="B272" s="11" t="s">
        <v>2705</v>
      </c>
      <c r="E272" s="11" t="s">
        <v>450</v>
      </c>
      <c r="F272" s="11">
        <v>0</v>
      </c>
      <c r="G272" s="11">
        <v>1</v>
      </c>
      <c r="H272" s="11">
        <v>1</v>
      </c>
      <c r="I272" s="11">
        <v>1</v>
      </c>
      <c r="J272" s="11">
        <v>1</v>
      </c>
      <c r="K272" s="11">
        <v>1</v>
      </c>
      <c r="L272" s="11">
        <v>1</v>
      </c>
      <c r="M272" s="11">
        <v>1</v>
      </c>
      <c r="N272" s="11">
        <v>1</v>
      </c>
      <c r="O272" s="11">
        <v>1</v>
      </c>
    </row>
    <row r="273" spans="2:15" s="11" customFormat="1" x14ac:dyDescent="0.15">
      <c r="B273" s="11" t="s">
        <v>2707</v>
      </c>
      <c r="E273" s="11" t="s">
        <v>446</v>
      </c>
      <c r="F273" s="11">
        <v>0</v>
      </c>
      <c r="G273" s="11">
        <v>1</v>
      </c>
      <c r="H273" s="11">
        <v>1</v>
      </c>
      <c r="I273" s="11">
        <v>1</v>
      </c>
      <c r="J273" s="11">
        <v>1</v>
      </c>
      <c r="K273" s="11">
        <v>1</v>
      </c>
      <c r="L273" s="11">
        <v>1</v>
      </c>
      <c r="M273" s="11">
        <v>1</v>
      </c>
      <c r="N273" s="11">
        <v>1</v>
      </c>
      <c r="O273" s="11">
        <v>1</v>
      </c>
    </row>
    <row r="274" spans="2:15" s="11" customFormat="1" x14ac:dyDescent="0.15">
      <c r="B274" s="11" t="s">
        <v>2709</v>
      </c>
      <c r="E274" s="11" t="s">
        <v>453</v>
      </c>
      <c r="F274" s="11">
        <v>0</v>
      </c>
      <c r="G274" s="11">
        <v>1</v>
      </c>
      <c r="H274" s="11">
        <v>1</v>
      </c>
      <c r="I274" s="11">
        <v>1</v>
      </c>
      <c r="J274" s="11">
        <v>1</v>
      </c>
      <c r="K274" s="11">
        <v>1</v>
      </c>
      <c r="L274" s="11">
        <v>1</v>
      </c>
      <c r="M274" s="11">
        <v>1</v>
      </c>
      <c r="N274" s="11">
        <v>1</v>
      </c>
      <c r="O274" s="11">
        <v>1</v>
      </c>
    </row>
    <row r="275" spans="2:15" s="11" customFormat="1" x14ac:dyDescent="0.15">
      <c r="B275" s="11" t="s">
        <v>2711</v>
      </c>
      <c r="E275" s="11" t="s">
        <v>448</v>
      </c>
      <c r="F275" s="11">
        <v>0</v>
      </c>
      <c r="G275" s="11">
        <v>1</v>
      </c>
      <c r="H275" s="11">
        <v>1</v>
      </c>
      <c r="I275" s="11">
        <v>1</v>
      </c>
      <c r="J275" s="11">
        <v>1</v>
      </c>
      <c r="K275" s="11">
        <v>1</v>
      </c>
      <c r="L275" s="11">
        <v>1</v>
      </c>
      <c r="M275" s="11">
        <v>1</v>
      </c>
      <c r="N275" s="11">
        <v>1</v>
      </c>
      <c r="O275" s="11">
        <v>1</v>
      </c>
    </row>
    <row r="276" spans="2:15" s="11" customFormat="1" x14ac:dyDescent="0.15">
      <c r="B276" s="11" t="s">
        <v>2713</v>
      </c>
      <c r="E276" s="11" t="s">
        <v>449</v>
      </c>
      <c r="F276" s="11">
        <v>0</v>
      </c>
      <c r="G276" s="11">
        <v>1</v>
      </c>
      <c r="H276" s="11">
        <v>1</v>
      </c>
      <c r="I276" s="11">
        <v>1</v>
      </c>
      <c r="J276" s="11">
        <v>1</v>
      </c>
      <c r="K276" s="11">
        <v>1</v>
      </c>
      <c r="L276" s="11">
        <v>1</v>
      </c>
      <c r="M276" s="11">
        <v>1</v>
      </c>
      <c r="N276" s="11">
        <v>1</v>
      </c>
      <c r="O276" s="11">
        <v>1</v>
      </c>
    </row>
    <row r="277" spans="2:15" s="11" customFormat="1" x14ac:dyDescent="0.15">
      <c r="B277" s="11" t="s">
        <v>2715</v>
      </c>
      <c r="E277" s="11" t="s">
        <v>451</v>
      </c>
      <c r="F277" s="11">
        <v>0</v>
      </c>
      <c r="G277" s="11">
        <v>1</v>
      </c>
      <c r="H277" s="11">
        <v>1</v>
      </c>
      <c r="I277" s="11">
        <v>1</v>
      </c>
      <c r="J277" s="11">
        <v>1</v>
      </c>
      <c r="K277" s="11">
        <v>1</v>
      </c>
      <c r="L277" s="11">
        <v>1</v>
      </c>
      <c r="M277" s="11">
        <v>1</v>
      </c>
      <c r="N277" s="11">
        <v>1</v>
      </c>
      <c r="O277" s="11">
        <v>1</v>
      </c>
    </row>
    <row r="278" spans="2:15" s="11" customFormat="1" x14ac:dyDescent="0.15">
      <c r="B278" s="11" t="s">
        <v>2717</v>
      </c>
      <c r="E278" s="11" t="s">
        <v>448</v>
      </c>
      <c r="F278" s="11">
        <v>0</v>
      </c>
      <c r="G278" s="11">
        <v>1</v>
      </c>
      <c r="H278" s="11">
        <v>1</v>
      </c>
      <c r="I278" s="11">
        <v>1</v>
      </c>
      <c r="J278" s="11">
        <v>1</v>
      </c>
      <c r="K278" s="11">
        <v>1</v>
      </c>
      <c r="L278" s="11">
        <v>1</v>
      </c>
      <c r="M278" s="11">
        <v>1</v>
      </c>
      <c r="N278" s="11">
        <v>1</v>
      </c>
      <c r="O278" s="11">
        <v>1</v>
      </c>
    </row>
    <row r="279" spans="2:15" s="11" customFormat="1" x14ac:dyDescent="0.15">
      <c r="B279" s="11" t="s">
        <v>2719</v>
      </c>
      <c r="E279" s="11" t="s">
        <v>450</v>
      </c>
      <c r="F279" s="11">
        <v>0</v>
      </c>
      <c r="G279" s="11">
        <v>1</v>
      </c>
      <c r="H279" s="11">
        <v>1</v>
      </c>
      <c r="I279" s="11">
        <v>1</v>
      </c>
      <c r="J279" s="11">
        <v>1</v>
      </c>
      <c r="K279" s="11">
        <v>1</v>
      </c>
      <c r="L279" s="11">
        <v>1</v>
      </c>
      <c r="M279" s="11">
        <v>1</v>
      </c>
      <c r="N279" s="11">
        <v>1</v>
      </c>
      <c r="O279" s="11">
        <v>1</v>
      </c>
    </row>
    <row r="280" spans="2:15" s="11" customFormat="1" x14ac:dyDescent="0.15">
      <c r="B280" s="11" t="s">
        <v>2721</v>
      </c>
      <c r="E280" s="11" t="s">
        <v>448</v>
      </c>
      <c r="F280" s="11">
        <v>0</v>
      </c>
      <c r="G280" s="11">
        <v>1</v>
      </c>
      <c r="H280" s="11">
        <v>1</v>
      </c>
      <c r="I280" s="11">
        <v>1</v>
      </c>
      <c r="J280" s="11">
        <v>1</v>
      </c>
      <c r="K280" s="11">
        <v>1</v>
      </c>
      <c r="L280" s="11">
        <v>1</v>
      </c>
      <c r="M280" s="11">
        <v>1</v>
      </c>
      <c r="N280" s="11">
        <v>1</v>
      </c>
      <c r="O280" s="11">
        <v>1</v>
      </c>
    </row>
    <row r="281" spans="2:15" s="11" customFormat="1" x14ac:dyDescent="0.15">
      <c r="B281" s="11" t="s">
        <v>2017</v>
      </c>
      <c r="E281" s="11" t="s">
        <v>449</v>
      </c>
      <c r="F281" s="11">
        <v>0</v>
      </c>
      <c r="G281" s="11">
        <v>1</v>
      </c>
      <c r="H281" s="11">
        <v>1</v>
      </c>
      <c r="I281" s="11">
        <v>1</v>
      </c>
      <c r="J281" s="11">
        <v>1</v>
      </c>
      <c r="K281" s="11">
        <v>1</v>
      </c>
      <c r="L281" s="11">
        <v>1</v>
      </c>
      <c r="M281" s="11">
        <v>1</v>
      </c>
      <c r="N281" s="11">
        <v>1</v>
      </c>
      <c r="O281" s="11">
        <v>1</v>
      </c>
    </row>
    <row r="282" spans="2:15" s="11" customFormat="1" x14ac:dyDescent="0.15">
      <c r="B282" s="11" t="s">
        <v>2019</v>
      </c>
      <c r="E282" s="11" t="s">
        <v>448</v>
      </c>
      <c r="F282" s="11">
        <v>0</v>
      </c>
      <c r="G282" s="11">
        <v>1</v>
      </c>
      <c r="H282" s="11">
        <v>1</v>
      </c>
      <c r="I282" s="11">
        <v>1</v>
      </c>
      <c r="J282" s="11">
        <v>1</v>
      </c>
      <c r="K282" s="11">
        <v>1</v>
      </c>
      <c r="L282" s="11">
        <v>1</v>
      </c>
      <c r="M282" s="11">
        <v>1</v>
      </c>
      <c r="N282" s="11">
        <v>1</v>
      </c>
      <c r="O282" s="11">
        <v>1</v>
      </c>
    </row>
    <row r="283" spans="2:15" s="11" customFormat="1" x14ac:dyDescent="0.15">
      <c r="B283" s="11" t="s">
        <v>2021</v>
      </c>
      <c r="E283" s="11" t="s">
        <v>453</v>
      </c>
      <c r="F283" s="11">
        <v>0</v>
      </c>
      <c r="G283" s="11">
        <v>1</v>
      </c>
      <c r="H283" s="11">
        <v>1</v>
      </c>
      <c r="I283" s="11">
        <v>1</v>
      </c>
      <c r="J283" s="11">
        <v>1</v>
      </c>
      <c r="K283" s="11">
        <v>1</v>
      </c>
      <c r="L283" s="11">
        <v>1</v>
      </c>
      <c r="M283" s="11">
        <v>1</v>
      </c>
      <c r="N283" s="11">
        <v>1</v>
      </c>
      <c r="O283" s="11">
        <v>1</v>
      </c>
    </row>
    <row r="284" spans="2:15" s="11" customFormat="1" x14ac:dyDescent="0.15">
      <c r="B284" s="11" t="s">
        <v>2023</v>
      </c>
      <c r="E284" s="11" t="s">
        <v>449</v>
      </c>
      <c r="F284" s="11">
        <v>0</v>
      </c>
      <c r="G284" s="11">
        <v>1</v>
      </c>
      <c r="H284" s="11">
        <v>1</v>
      </c>
      <c r="I284" s="11">
        <v>1</v>
      </c>
      <c r="J284" s="11">
        <v>1</v>
      </c>
      <c r="K284" s="11">
        <v>1</v>
      </c>
      <c r="L284" s="11">
        <v>1</v>
      </c>
      <c r="M284" s="11">
        <v>1</v>
      </c>
      <c r="N284" s="11">
        <v>1</v>
      </c>
      <c r="O284" s="11">
        <v>1</v>
      </c>
    </row>
    <row r="285" spans="2:15" s="11" customFormat="1" x14ac:dyDescent="0.15">
      <c r="B285" s="11" t="s">
        <v>2025</v>
      </c>
      <c r="E285" s="11" t="s">
        <v>452</v>
      </c>
      <c r="F285" s="11">
        <v>0</v>
      </c>
      <c r="G285" s="11">
        <v>1</v>
      </c>
      <c r="H285" s="11">
        <v>1</v>
      </c>
      <c r="I285" s="11">
        <v>1</v>
      </c>
      <c r="J285" s="11">
        <v>1</v>
      </c>
      <c r="K285" s="11">
        <v>1</v>
      </c>
      <c r="L285" s="11">
        <v>1</v>
      </c>
      <c r="M285" s="11">
        <v>1</v>
      </c>
      <c r="N285" s="11">
        <v>1</v>
      </c>
      <c r="O285" s="11">
        <v>1</v>
      </c>
    </row>
    <row r="286" spans="2:15" s="11" customFormat="1" x14ac:dyDescent="0.15">
      <c r="B286" s="11" t="s">
        <v>2723</v>
      </c>
      <c r="E286" s="11" t="s">
        <v>451</v>
      </c>
      <c r="F286" s="11">
        <v>0</v>
      </c>
      <c r="G286" s="11">
        <v>1</v>
      </c>
      <c r="H286" s="11">
        <v>1</v>
      </c>
      <c r="I286" s="11">
        <v>1</v>
      </c>
      <c r="J286" s="11">
        <v>1</v>
      </c>
      <c r="K286" s="11">
        <v>1</v>
      </c>
      <c r="L286" s="11">
        <v>1</v>
      </c>
      <c r="M286" s="11">
        <v>1</v>
      </c>
      <c r="N286" s="11">
        <v>1</v>
      </c>
      <c r="O286" s="11">
        <v>1</v>
      </c>
    </row>
    <row r="287" spans="2:15" s="11" customFormat="1" x14ac:dyDescent="0.15">
      <c r="B287" s="11" t="s">
        <v>2725</v>
      </c>
      <c r="E287" s="11" t="s">
        <v>448</v>
      </c>
      <c r="F287" s="11">
        <v>0</v>
      </c>
      <c r="G287" s="11">
        <v>1</v>
      </c>
      <c r="H287" s="11">
        <v>1</v>
      </c>
      <c r="I287" s="11">
        <v>1</v>
      </c>
      <c r="J287" s="11">
        <v>1</v>
      </c>
      <c r="K287" s="11">
        <v>1</v>
      </c>
      <c r="L287" s="11">
        <v>1</v>
      </c>
      <c r="M287" s="11">
        <v>1</v>
      </c>
      <c r="N287" s="11">
        <v>1</v>
      </c>
      <c r="O287" s="11">
        <v>1</v>
      </c>
    </row>
    <row r="288" spans="2:15" s="11" customFormat="1" x14ac:dyDescent="0.15">
      <c r="B288" s="11" t="s">
        <v>2727</v>
      </c>
      <c r="E288" s="11" t="s">
        <v>450</v>
      </c>
      <c r="F288" s="11">
        <v>0</v>
      </c>
      <c r="G288" s="11">
        <v>1</v>
      </c>
      <c r="H288" s="11">
        <v>1</v>
      </c>
      <c r="I288" s="11">
        <v>1</v>
      </c>
      <c r="J288" s="11">
        <v>1</v>
      </c>
      <c r="K288" s="11">
        <v>1</v>
      </c>
      <c r="L288" s="11">
        <v>1</v>
      </c>
      <c r="M288" s="11">
        <v>1</v>
      </c>
      <c r="N288" s="11">
        <v>1</v>
      </c>
      <c r="O288" s="11">
        <v>1</v>
      </c>
    </row>
    <row r="289" spans="2:15" s="11" customFormat="1" x14ac:dyDescent="0.15">
      <c r="B289" s="11" t="s">
        <v>2729</v>
      </c>
      <c r="E289" s="11" t="s">
        <v>446</v>
      </c>
      <c r="F289" s="11">
        <v>0</v>
      </c>
      <c r="G289" s="11">
        <v>1</v>
      </c>
      <c r="H289" s="11">
        <v>1</v>
      </c>
      <c r="I289" s="11">
        <v>1</v>
      </c>
      <c r="J289" s="11">
        <v>1</v>
      </c>
      <c r="K289" s="11">
        <v>1</v>
      </c>
      <c r="L289" s="11">
        <v>1</v>
      </c>
      <c r="M289" s="11">
        <v>1</v>
      </c>
      <c r="N289" s="11">
        <v>1</v>
      </c>
      <c r="O289" s="11">
        <v>1</v>
      </c>
    </row>
    <row r="290" spans="2:15" s="11" customFormat="1" x14ac:dyDescent="0.15">
      <c r="B290" s="11" t="s">
        <v>2027</v>
      </c>
      <c r="E290" s="11" t="s">
        <v>451</v>
      </c>
      <c r="F290" s="11">
        <v>0</v>
      </c>
      <c r="G290" s="11">
        <v>1</v>
      </c>
      <c r="H290" s="11">
        <v>1</v>
      </c>
      <c r="I290" s="11">
        <v>1</v>
      </c>
      <c r="J290" s="11">
        <v>1</v>
      </c>
      <c r="K290" s="11">
        <v>1</v>
      </c>
      <c r="L290" s="11">
        <v>1</v>
      </c>
      <c r="M290" s="11">
        <v>1</v>
      </c>
      <c r="N290" s="11">
        <v>1</v>
      </c>
      <c r="O290" s="11">
        <v>1</v>
      </c>
    </row>
    <row r="291" spans="2:15" s="11" customFormat="1" x14ac:dyDescent="0.15">
      <c r="B291" s="11" t="s">
        <v>2029</v>
      </c>
      <c r="E291" s="11" t="s">
        <v>448</v>
      </c>
      <c r="F291" s="11">
        <v>0</v>
      </c>
      <c r="G291" s="11">
        <v>1</v>
      </c>
      <c r="H291" s="11">
        <v>1</v>
      </c>
      <c r="I291" s="11">
        <v>1</v>
      </c>
      <c r="J291" s="11">
        <v>1</v>
      </c>
      <c r="K291" s="11">
        <v>1</v>
      </c>
      <c r="L291" s="11">
        <v>1</v>
      </c>
      <c r="M291" s="11">
        <v>1</v>
      </c>
      <c r="N291" s="11">
        <v>1</v>
      </c>
      <c r="O291" s="11">
        <v>1</v>
      </c>
    </row>
    <row r="292" spans="2:15" s="11" customFormat="1" x14ac:dyDescent="0.15">
      <c r="B292" s="11" t="s">
        <v>2031</v>
      </c>
      <c r="E292" s="11" t="s">
        <v>450</v>
      </c>
      <c r="F292" s="11">
        <v>0</v>
      </c>
      <c r="G292" s="11">
        <v>1</v>
      </c>
      <c r="H292" s="11">
        <v>1</v>
      </c>
      <c r="I292" s="11">
        <v>1</v>
      </c>
      <c r="J292" s="11">
        <v>1</v>
      </c>
      <c r="K292" s="11">
        <v>1</v>
      </c>
      <c r="L292" s="11">
        <v>1</v>
      </c>
      <c r="M292" s="11">
        <v>1</v>
      </c>
      <c r="N292" s="11">
        <v>1</v>
      </c>
      <c r="O292" s="11">
        <v>1</v>
      </c>
    </row>
    <row r="293" spans="2:15" s="11" customFormat="1" x14ac:dyDescent="0.15">
      <c r="B293" s="11" t="s">
        <v>2033</v>
      </c>
      <c r="E293" s="11" t="s">
        <v>449</v>
      </c>
      <c r="F293" s="11">
        <v>0</v>
      </c>
      <c r="G293" s="11">
        <v>1</v>
      </c>
      <c r="H293" s="11">
        <v>1</v>
      </c>
      <c r="I293" s="11">
        <v>1</v>
      </c>
      <c r="J293" s="11">
        <v>1</v>
      </c>
      <c r="K293" s="11">
        <v>1</v>
      </c>
      <c r="L293" s="11">
        <v>1</v>
      </c>
      <c r="M293" s="11">
        <v>1</v>
      </c>
      <c r="N293" s="11">
        <v>1</v>
      </c>
      <c r="O293" s="11">
        <v>1</v>
      </c>
    </row>
    <row r="294" spans="2:15" s="11" customFormat="1" x14ac:dyDescent="0.15">
      <c r="B294" s="11" t="s">
        <v>2035</v>
      </c>
      <c r="E294" s="11" t="s">
        <v>451</v>
      </c>
      <c r="F294" s="11">
        <v>0</v>
      </c>
      <c r="G294" s="11">
        <v>1</v>
      </c>
      <c r="H294" s="11">
        <v>1</v>
      </c>
      <c r="I294" s="11">
        <v>1</v>
      </c>
      <c r="J294" s="11">
        <v>1</v>
      </c>
      <c r="K294" s="11">
        <v>1</v>
      </c>
      <c r="L294" s="11">
        <v>1</v>
      </c>
      <c r="M294" s="11">
        <v>1</v>
      </c>
      <c r="N294" s="11">
        <v>1</v>
      </c>
      <c r="O294" s="11">
        <v>1</v>
      </c>
    </row>
    <row r="295" spans="2:15" s="11" customFormat="1" x14ac:dyDescent="0.15">
      <c r="B295" s="11" t="s">
        <v>2731</v>
      </c>
      <c r="E295" s="11" t="s">
        <v>448</v>
      </c>
      <c r="F295" s="11">
        <v>0</v>
      </c>
      <c r="G295" s="11">
        <v>1</v>
      </c>
      <c r="H295" s="11">
        <v>1</v>
      </c>
      <c r="I295" s="11">
        <v>1</v>
      </c>
      <c r="J295" s="11">
        <v>1</v>
      </c>
      <c r="K295" s="11">
        <v>1</v>
      </c>
      <c r="L295" s="11">
        <v>1</v>
      </c>
      <c r="M295" s="11">
        <v>1</v>
      </c>
      <c r="N295" s="11">
        <v>1</v>
      </c>
      <c r="O295" s="11">
        <v>1</v>
      </c>
    </row>
    <row r="296" spans="2:15" s="11" customFormat="1" x14ac:dyDescent="0.15">
      <c r="B296" s="11" t="s">
        <v>2037</v>
      </c>
      <c r="E296" s="11" t="s">
        <v>453</v>
      </c>
      <c r="F296" s="11">
        <v>0</v>
      </c>
      <c r="G296" s="11">
        <v>1</v>
      </c>
      <c r="H296" s="11">
        <v>1</v>
      </c>
      <c r="I296" s="11">
        <v>1</v>
      </c>
      <c r="J296" s="11">
        <v>1</v>
      </c>
      <c r="K296" s="11">
        <v>1</v>
      </c>
      <c r="L296" s="11">
        <v>1</v>
      </c>
      <c r="M296" s="11">
        <v>1</v>
      </c>
      <c r="N296" s="11">
        <v>1</v>
      </c>
      <c r="O296" s="11">
        <v>1</v>
      </c>
    </row>
    <row r="297" spans="2:15" s="11" customFormat="1" x14ac:dyDescent="0.15">
      <c r="B297" s="11" t="s">
        <v>2039</v>
      </c>
      <c r="E297" s="11" t="s">
        <v>449</v>
      </c>
      <c r="F297" s="11">
        <v>0</v>
      </c>
      <c r="G297" s="11">
        <v>1</v>
      </c>
      <c r="H297" s="11">
        <v>1</v>
      </c>
      <c r="I297" s="11">
        <v>1</v>
      </c>
      <c r="J297" s="11">
        <v>1</v>
      </c>
      <c r="K297" s="11">
        <v>1</v>
      </c>
      <c r="L297" s="11">
        <v>1</v>
      </c>
      <c r="M297" s="11">
        <v>1</v>
      </c>
      <c r="N297" s="11">
        <v>1</v>
      </c>
      <c r="O297" s="11">
        <v>1</v>
      </c>
    </row>
    <row r="298" spans="2:15" s="11" customFormat="1" x14ac:dyDescent="0.15">
      <c r="B298" s="11" t="s">
        <v>2041</v>
      </c>
      <c r="E298" s="11" t="s">
        <v>452</v>
      </c>
      <c r="F298" s="11">
        <v>0</v>
      </c>
      <c r="G298" s="11">
        <v>1</v>
      </c>
      <c r="H298" s="11">
        <v>1</v>
      </c>
      <c r="I298" s="11">
        <v>1</v>
      </c>
      <c r="J298" s="11">
        <v>1</v>
      </c>
      <c r="K298" s="11">
        <v>1</v>
      </c>
      <c r="L298" s="11">
        <v>1</v>
      </c>
      <c r="M298" s="11">
        <v>1</v>
      </c>
      <c r="N298" s="11">
        <v>1</v>
      </c>
      <c r="O298" s="11">
        <v>1</v>
      </c>
    </row>
    <row r="299" spans="2:15" s="11" customFormat="1" x14ac:dyDescent="0.15">
      <c r="B299" s="11" t="s">
        <v>2733</v>
      </c>
      <c r="E299" s="11" t="s">
        <v>446</v>
      </c>
      <c r="F299" s="11">
        <v>0</v>
      </c>
      <c r="G299" s="11">
        <v>1</v>
      </c>
      <c r="H299" s="11">
        <v>1</v>
      </c>
      <c r="I299" s="11">
        <v>1</v>
      </c>
      <c r="J299" s="11">
        <v>1</v>
      </c>
      <c r="K299" s="11">
        <v>1</v>
      </c>
      <c r="L299" s="11">
        <v>1</v>
      </c>
      <c r="M299" s="11">
        <v>1</v>
      </c>
      <c r="N299" s="11">
        <v>1</v>
      </c>
      <c r="O299" s="11">
        <v>1</v>
      </c>
    </row>
    <row r="300" spans="2:15" s="11" customFormat="1" x14ac:dyDescent="0.15">
      <c r="B300" s="11" t="s">
        <v>2735</v>
      </c>
      <c r="E300" s="11" t="s">
        <v>451</v>
      </c>
      <c r="F300" s="11">
        <v>0</v>
      </c>
      <c r="G300" s="11">
        <v>1</v>
      </c>
      <c r="H300" s="11">
        <v>1</v>
      </c>
      <c r="I300" s="11">
        <v>1</v>
      </c>
      <c r="J300" s="11">
        <v>1</v>
      </c>
      <c r="K300" s="11">
        <v>1</v>
      </c>
      <c r="L300" s="11">
        <v>1</v>
      </c>
      <c r="M300" s="11">
        <v>1</v>
      </c>
      <c r="N300" s="11">
        <v>1</v>
      </c>
      <c r="O300" s="11">
        <v>1</v>
      </c>
    </row>
    <row r="301" spans="2:15" s="11" customFormat="1" x14ac:dyDescent="0.15">
      <c r="B301" s="11" t="s">
        <v>2043</v>
      </c>
      <c r="E301" s="11" t="s">
        <v>448</v>
      </c>
      <c r="F301" s="11">
        <v>0</v>
      </c>
      <c r="G301" s="11">
        <v>1</v>
      </c>
      <c r="H301" s="11">
        <v>1</v>
      </c>
      <c r="I301" s="11">
        <v>1</v>
      </c>
      <c r="J301" s="11">
        <v>1</v>
      </c>
      <c r="K301" s="11">
        <v>1</v>
      </c>
      <c r="L301" s="11">
        <v>1</v>
      </c>
      <c r="M301" s="11">
        <v>1</v>
      </c>
      <c r="N301" s="11">
        <v>1</v>
      </c>
      <c r="O301" s="11">
        <v>1</v>
      </c>
    </row>
    <row r="302" spans="2:15" s="11" customFormat="1" x14ac:dyDescent="0.15">
      <c r="B302" s="11" t="s">
        <v>2737</v>
      </c>
      <c r="E302" s="11" t="s">
        <v>450</v>
      </c>
      <c r="F302" s="11">
        <v>0</v>
      </c>
      <c r="G302" s="11">
        <v>1</v>
      </c>
      <c r="H302" s="11">
        <v>1</v>
      </c>
      <c r="I302" s="11">
        <v>1</v>
      </c>
      <c r="J302" s="11">
        <v>1</v>
      </c>
      <c r="K302" s="11">
        <v>1</v>
      </c>
      <c r="L302" s="11">
        <v>1</v>
      </c>
      <c r="M302" s="11">
        <v>1</v>
      </c>
      <c r="N302" s="11">
        <v>1</v>
      </c>
      <c r="O302" s="11">
        <v>1</v>
      </c>
    </row>
    <row r="303" spans="2:15" s="11" customFormat="1" x14ac:dyDescent="0.15">
      <c r="B303" s="11" t="s">
        <v>2045</v>
      </c>
      <c r="E303" s="11" t="s">
        <v>449</v>
      </c>
      <c r="F303" s="11">
        <v>0</v>
      </c>
      <c r="G303" s="11">
        <v>1</v>
      </c>
      <c r="H303" s="11">
        <v>1</v>
      </c>
      <c r="I303" s="11">
        <v>1</v>
      </c>
      <c r="J303" s="11">
        <v>1</v>
      </c>
      <c r="K303" s="11">
        <v>1</v>
      </c>
      <c r="L303" s="11">
        <v>1</v>
      </c>
      <c r="M303" s="11">
        <v>1</v>
      </c>
      <c r="N303" s="11">
        <v>1</v>
      </c>
      <c r="O303" s="11">
        <v>1</v>
      </c>
    </row>
    <row r="304" spans="2:15" s="11" customFormat="1" x14ac:dyDescent="0.15">
      <c r="B304" s="11" t="s">
        <v>2739</v>
      </c>
      <c r="E304" s="11" t="s">
        <v>447</v>
      </c>
      <c r="F304" s="11">
        <v>0</v>
      </c>
      <c r="G304" s="11">
        <v>1</v>
      </c>
      <c r="H304" s="11">
        <v>1</v>
      </c>
      <c r="I304" s="11">
        <v>1</v>
      </c>
      <c r="J304" s="11">
        <v>1</v>
      </c>
      <c r="K304" s="11">
        <v>1</v>
      </c>
      <c r="L304" s="11">
        <v>1</v>
      </c>
      <c r="M304" s="11">
        <v>1</v>
      </c>
      <c r="N304" s="11">
        <v>1</v>
      </c>
      <c r="O304" s="11">
        <v>1</v>
      </c>
    </row>
    <row r="305" spans="2:15" s="11" customFormat="1" x14ac:dyDescent="0.15">
      <c r="B305" s="11" t="s">
        <v>2047</v>
      </c>
      <c r="E305" s="11" t="s">
        <v>446</v>
      </c>
      <c r="F305" s="11">
        <v>0</v>
      </c>
      <c r="G305" s="11">
        <v>1</v>
      </c>
      <c r="H305" s="11">
        <v>1</v>
      </c>
      <c r="I305" s="11">
        <v>1</v>
      </c>
      <c r="J305" s="11">
        <v>1</v>
      </c>
      <c r="K305" s="11">
        <v>1</v>
      </c>
      <c r="L305" s="11">
        <v>1</v>
      </c>
      <c r="M305" s="11">
        <v>1</v>
      </c>
      <c r="N305" s="11">
        <v>1</v>
      </c>
      <c r="O305" s="11">
        <v>1</v>
      </c>
    </row>
    <row r="306" spans="2:15" s="11" customFormat="1" x14ac:dyDescent="0.15">
      <c r="B306" s="11" t="s">
        <v>2741</v>
      </c>
      <c r="E306" s="11" t="s">
        <v>453</v>
      </c>
      <c r="F306" s="11">
        <v>0</v>
      </c>
      <c r="G306" s="11">
        <v>1</v>
      </c>
      <c r="H306" s="11">
        <v>1</v>
      </c>
      <c r="I306" s="11">
        <v>1</v>
      </c>
      <c r="J306" s="11">
        <v>1</v>
      </c>
      <c r="K306" s="11">
        <v>1</v>
      </c>
      <c r="L306" s="11">
        <v>1</v>
      </c>
      <c r="M306" s="11">
        <v>1</v>
      </c>
      <c r="N306" s="11">
        <v>1</v>
      </c>
      <c r="O306" s="11">
        <v>1</v>
      </c>
    </row>
    <row r="307" spans="2:15" s="11" customFormat="1" x14ac:dyDescent="0.15">
      <c r="B307" s="11" t="s">
        <v>2049</v>
      </c>
      <c r="E307" s="11" t="s">
        <v>452</v>
      </c>
      <c r="F307" s="11">
        <v>0</v>
      </c>
      <c r="G307" s="11">
        <v>1</v>
      </c>
      <c r="H307" s="11">
        <v>1</v>
      </c>
      <c r="I307" s="11">
        <v>1</v>
      </c>
      <c r="J307" s="11">
        <v>1</v>
      </c>
      <c r="K307" s="11">
        <v>1</v>
      </c>
      <c r="L307" s="11">
        <v>1</v>
      </c>
      <c r="M307" s="11">
        <v>1</v>
      </c>
      <c r="N307" s="11">
        <v>1</v>
      </c>
      <c r="O307" s="11">
        <v>1</v>
      </c>
    </row>
    <row r="308" spans="2:15" s="11" customFormat="1" x14ac:dyDescent="0.15">
      <c r="B308" s="11" t="s">
        <v>2051</v>
      </c>
      <c r="E308" s="11" t="s">
        <v>451</v>
      </c>
      <c r="F308" s="11">
        <v>0</v>
      </c>
      <c r="G308" s="11">
        <v>1</v>
      </c>
      <c r="H308" s="11">
        <v>1</v>
      </c>
      <c r="I308" s="11">
        <v>1</v>
      </c>
      <c r="J308" s="11">
        <v>1</v>
      </c>
      <c r="K308" s="11">
        <v>1</v>
      </c>
      <c r="L308" s="11">
        <v>1</v>
      </c>
      <c r="M308" s="11">
        <v>1</v>
      </c>
      <c r="N308" s="11">
        <v>1</v>
      </c>
      <c r="O308" s="11">
        <v>1</v>
      </c>
    </row>
    <row r="309" spans="2:15" s="11" customFormat="1" x14ac:dyDescent="0.15">
      <c r="B309" s="11" t="s">
        <v>2053</v>
      </c>
      <c r="E309" s="11" t="s">
        <v>448</v>
      </c>
      <c r="F309" s="11">
        <v>0</v>
      </c>
      <c r="G309" s="11">
        <v>1</v>
      </c>
      <c r="H309" s="11">
        <v>1</v>
      </c>
      <c r="I309" s="11">
        <v>1</v>
      </c>
      <c r="J309" s="11">
        <v>1</v>
      </c>
      <c r="K309" s="11">
        <v>1</v>
      </c>
      <c r="L309" s="11">
        <v>1</v>
      </c>
      <c r="M309" s="11">
        <v>1</v>
      </c>
      <c r="N309" s="11">
        <v>1</v>
      </c>
      <c r="O309" s="11">
        <v>1</v>
      </c>
    </row>
    <row r="310" spans="2:15" s="13" customFormat="1" x14ac:dyDescent="0.15">
      <c r="B310" s="13" t="s">
        <v>2743</v>
      </c>
      <c r="E310" s="13" t="s">
        <v>449</v>
      </c>
      <c r="F310" s="13">
        <v>0</v>
      </c>
      <c r="G310" s="13">
        <v>1</v>
      </c>
      <c r="H310" s="13">
        <v>1</v>
      </c>
      <c r="I310" s="13">
        <v>1</v>
      </c>
      <c r="J310" s="13">
        <v>1</v>
      </c>
      <c r="K310" s="13">
        <v>1</v>
      </c>
      <c r="L310" s="13">
        <v>1</v>
      </c>
      <c r="M310" s="13">
        <v>1</v>
      </c>
      <c r="N310" s="13">
        <v>1</v>
      </c>
      <c r="O310" s="13">
        <v>1</v>
      </c>
    </row>
    <row r="311" spans="2:15" s="13" customFormat="1" x14ac:dyDescent="0.15">
      <c r="B311" s="13" t="s">
        <v>2745</v>
      </c>
      <c r="E311" s="13" t="s">
        <v>451</v>
      </c>
      <c r="F311" s="13">
        <v>0</v>
      </c>
      <c r="G311" s="13">
        <v>1</v>
      </c>
      <c r="H311" s="13">
        <v>1</v>
      </c>
      <c r="I311" s="13">
        <v>1</v>
      </c>
      <c r="J311" s="13">
        <v>1</v>
      </c>
      <c r="K311" s="13">
        <v>1</v>
      </c>
      <c r="L311" s="13">
        <v>1</v>
      </c>
      <c r="M311" s="13">
        <v>1</v>
      </c>
      <c r="N311" s="13">
        <v>1</v>
      </c>
      <c r="O311" s="13">
        <v>1</v>
      </c>
    </row>
    <row r="312" spans="2:15" s="13" customFormat="1" x14ac:dyDescent="0.15">
      <c r="B312" s="13" t="s">
        <v>2747</v>
      </c>
      <c r="E312" s="13" t="s">
        <v>450</v>
      </c>
      <c r="F312" s="13">
        <v>0</v>
      </c>
      <c r="G312" s="13">
        <v>1</v>
      </c>
      <c r="H312" s="13">
        <v>1</v>
      </c>
      <c r="I312" s="13">
        <v>1</v>
      </c>
      <c r="J312" s="13">
        <v>1</v>
      </c>
      <c r="K312" s="13">
        <v>1</v>
      </c>
      <c r="L312" s="13">
        <v>1</v>
      </c>
      <c r="M312" s="13">
        <v>1</v>
      </c>
      <c r="N312" s="13">
        <v>1</v>
      </c>
      <c r="O312" s="13">
        <v>1</v>
      </c>
    </row>
    <row r="313" spans="2:15" s="13" customFormat="1" x14ac:dyDescent="0.15">
      <c r="B313" s="13" t="s">
        <v>2749</v>
      </c>
      <c r="E313" s="13" t="s">
        <v>447</v>
      </c>
      <c r="F313" s="13">
        <v>0</v>
      </c>
      <c r="G313" s="13">
        <v>1</v>
      </c>
      <c r="H313" s="13">
        <v>1</v>
      </c>
      <c r="I313" s="13">
        <v>1</v>
      </c>
      <c r="J313" s="13">
        <v>1</v>
      </c>
      <c r="K313" s="13">
        <v>1</v>
      </c>
      <c r="L313" s="13">
        <v>1</v>
      </c>
      <c r="M313" s="13">
        <v>1</v>
      </c>
      <c r="N313" s="13">
        <v>1</v>
      </c>
      <c r="O313" s="13">
        <v>1</v>
      </c>
    </row>
    <row r="314" spans="2:15" s="13" customFormat="1" x14ac:dyDescent="0.15">
      <c r="B314" s="13" t="s">
        <v>2751</v>
      </c>
      <c r="E314" s="13" t="s">
        <v>451</v>
      </c>
      <c r="F314" s="13">
        <v>0</v>
      </c>
      <c r="G314" s="13">
        <v>1</v>
      </c>
      <c r="H314" s="13">
        <v>1</v>
      </c>
      <c r="I314" s="13">
        <v>1</v>
      </c>
      <c r="J314" s="13">
        <v>1</v>
      </c>
      <c r="K314" s="13">
        <v>1</v>
      </c>
      <c r="L314" s="13">
        <v>1</v>
      </c>
      <c r="M314" s="13">
        <v>1</v>
      </c>
      <c r="N314" s="13">
        <v>1</v>
      </c>
      <c r="O314" s="13">
        <v>1</v>
      </c>
    </row>
    <row r="315" spans="2:15" s="13" customFormat="1" x14ac:dyDescent="0.15">
      <c r="B315" s="13" t="s">
        <v>2753</v>
      </c>
      <c r="E315" s="13" t="s">
        <v>448</v>
      </c>
      <c r="F315" s="13">
        <v>0</v>
      </c>
      <c r="G315" s="13">
        <v>1</v>
      </c>
      <c r="H315" s="13">
        <v>1</v>
      </c>
      <c r="I315" s="13">
        <v>1</v>
      </c>
      <c r="J315" s="13">
        <v>1</v>
      </c>
      <c r="K315" s="13">
        <v>1</v>
      </c>
      <c r="L315" s="13">
        <v>1</v>
      </c>
      <c r="M315" s="13">
        <v>1</v>
      </c>
      <c r="N315" s="13">
        <v>1</v>
      </c>
      <c r="O315" s="13">
        <v>1</v>
      </c>
    </row>
    <row r="316" spans="2:15" s="13" customFormat="1" x14ac:dyDescent="0.15">
      <c r="B316" s="13" t="s">
        <v>2755</v>
      </c>
      <c r="E316" s="13" t="s">
        <v>450</v>
      </c>
      <c r="F316" s="13">
        <v>0</v>
      </c>
      <c r="G316" s="13">
        <v>1</v>
      </c>
      <c r="H316" s="13">
        <v>1</v>
      </c>
      <c r="I316" s="13">
        <v>1</v>
      </c>
      <c r="J316" s="13">
        <v>1</v>
      </c>
      <c r="K316" s="13">
        <v>1</v>
      </c>
      <c r="L316" s="13">
        <v>1</v>
      </c>
      <c r="M316" s="13">
        <v>1</v>
      </c>
      <c r="N316" s="13">
        <v>1</v>
      </c>
      <c r="O316" s="13">
        <v>1</v>
      </c>
    </row>
    <row r="317" spans="2:15" s="13" customFormat="1" x14ac:dyDescent="0.15">
      <c r="B317" s="13" t="s">
        <v>2055</v>
      </c>
      <c r="E317" s="13" t="s">
        <v>446</v>
      </c>
      <c r="F317" s="13">
        <v>0</v>
      </c>
      <c r="G317" s="13">
        <v>1</v>
      </c>
      <c r="H317" s="13">
        <v>1</v>
      </c>
      <c r="I317" s="13">
        <v>1</v>
      </c>
      <c r="J317" s="13">
        <v>1</v>
      </c>
      <c r="K317" s="13">
        <v>1</v>
      </c>
      <c r="L317" s="13">
        <v>1</v>
      </c>
      <c r="M317" s="13">
        <v>1</v>
      </c>
      <c r="N317" s="13">
        <v>1</v>
      </c>
      <c r="O317" s="13">
        <v>1</v>
      </c>
    </row>
    <row r="318" spans="2:15" s="13" customFormat="1" x14ac:dyDescent="0.15">
      <c r="B318" s="13" t="s">
        <v>2757</v>
      </c>
      <c r="E318" s="13" t="s">
        <v>453</v>
      </c>
      <c r="F318" s="13">
        <v>0</v>
      </c>
      <c r="G318" s="13">
        <v>1</v>
      </c>
      <c r="H318" s="13">
        <v>1</v>
      </c>
      <c r="I318" s="13">
        <v>1</v>
      </c>
      <c r="J318" s="13">
        <v>1</v>
      </c>
      <c r="K318" s="13">
        <v>1</v>
      </c>
      <c r="L318" s="13">
        <v>1</v>
      </c>
      <c r="M318" s="13">
        <v>1</v>
      </c>
      <c r="N318" s="13">
        <v>1</v>
      </c>
      <c r="O318" s="13">
        <v>1</v>
      </c>
    </row>
    <row r="319" spans="2:15" s="13" customFormat="1" x14ac:dyDescent="0.15">
      <c r="B319" s="13" t="s">
        <v>2759</v>
      </c>
      <c r="E319" s="13" t="s">
        <v>449</v>
      </c>
      <c r="F319" s="13">
        <v>0</v>
      </c>
      <c r="G319" s="13">
        <v>1</v>
      </c>
      <c r="H319" s="13">
        <v>1</v>
      </c>
      <c r="I319" s="13">
        <v>1</v>
      </c>
      <c r="J319" s="13">
        <v>1</v>
      </c>
      <c r="K319" s="13">
        <v>1</v>
      </c>
      <c r="L319" s="13">
        <v>1</v>
      </c>
      <c r="M319" s="13">
        <v>1</v>
      </c>
      <c r="N319" s="13">
        <v>1</v>
      </c>
      <c r="O319" s="13">
        <v>1</v>
      </c>
    </row>
    <row r="320" spans="2:15" s="13" customFormat="1" x14ac:dyDescent="0.15">
      <c r="B320" s="13" t="s">
        <v>2761</v>
      </c>
      <c r="E320" s="13" t="s">
        <v>452</v>
      </c>
      <c r="F320" s="13">
        <v>0</v>
      </c>
      <c r="G320" s="13">
        <v>1</v>
      </c>
      <c r="H320" s="13">
        <v>1</v>
      </c>
      <c r="I320" s="13">
        <v>1</v>
      </c>
      <c r="J320" s="13">
        <v>1</v>
      </c>
      <c r="K320" s="13">
        <v>1</v>
      </c>
      <c r="L320" s="13">
        <v>1</v>
      </c>
      <c r="M320" s="13">
        <v>1</v>
      </c>
      <c r="N320" s="13">
        <v>1</v>
      </c>
      <c r="O320" s="13">
        <v>1</v>
      </c>
    </row>
    <row r="321" spans="2:15" s="13" customFormat="1" x14ac:dyDescent="0.15">
      <c r="B321" s="13" t="s">
        <v>2057</v>
      </c>
      <c r="E321" s="13" t="s">
        <v>447</v>
      </c>
      <c r="F321" s="13">
        <v>0</v>
      </c>
      <c r="G321" s="13">
        <v>1</v>
      </c>
      <c r="H321" s="13">
        <v>1</v>
      </c>
      <c r="I321" s="13">
        <v>1</v>
      </c>
      <c r="J321" s="13">
        <v>1</v>
      </c>
      <c r="K321" s="13">
        <v>1</v>
      </c>
      <c r="L321" s="13">
        <v>1</v>
      </c>
      <c r="M321" s="13">
        <v>1</v>
      </c>
      <c r="N321" s="13">
        <v>1</v>
      </c>
      <c r="O321" s="13">
        <v>1</v>
      </c>
    </row>
    <row r="322" spans="2:15" s="13" customFormat="1" x14ac:dyDescent="0.15">
      <c r="B322" s="13" t="s">
        <v>2059</v>
      </c>
      <c r="E322" s="13" t="s">
        <v>449</v>
      </c>
      <c r="F322" s="13">
        <v>0</v>
      </c>
      <c r="G322" s="13">
        <v>1</v>
      </c>
      <c r="H322" s="13">
        <v>1</v>
      </c>
      <c r="I322" s="13">
        <v>1</v>
      </c>
      <c r="J322" s="13">
        <v>1</v>
      </c>
      <c r="K322" s="13">
        <v>1</v>
      </c>
      <c r="L322" s="13">
        <v>1</v>
      </c>
      <c r="M322" s="13">
        <v>1</v>
      </c>
      <c r="N322" s="13">
        <v>1</v>
      </c>
      <c r="O322" s="13">
        <v>1</v>
      </c>
    </row>
    <row r="323" spans="2:15" s="13" customFormat="1" x14ac:dyDescent="0.15">
      <c r="B323" s="13" t="s">
        <v>2061</v>
      </c>
      <c r="E323" s="13" t="s">
        <v>448</v>
      </c>
      <c r="F323" s="13">
        <v>0</v>
      </c>
      <c r="G323" s="13">
        <v>1</v>
      </c>
      <c r="H323" s="13">
        <v>1</v>
      </c>
      <c r="I323" s="13">
        <v>1</v>
      </c>
      <c r="J323" s="13">
        <v>1</v>
      </c>
      <c r="K323" s="13">
        <v>1</v>
      </c>
      <c r="L323" s="13">
        <v>1</v>
      </c>
      <c r="M323" s="13">
        <v>1</v>
      </c>
      <c r="N323" s="13">
        <v>1</v>
      </c>
      <c r="O323" s="13">
        <v>1</v>
      </c>
    </row>
    <row r="324" spans="2:15" s="13" customFormat="1" x14ac:dyDescent="0.15">
      <c r="B324" s="13" t="s">
        <v>2770</v>
      </c>
      <c r="E324" s="13" t="s">
        <v>447</v>
      </c>
      <c r="F324" s="13">
        <v>0</v>
      </c>
      <c r="G324" s="13">
        <v>1</v>
      </c>
      <c r="H324" s="13">
        <v>1</v>
      </c>
      <c r="I324" s="13">
        <v>1</v>
      </c>
      <c r="J324" s="13">
        <v>1</v>
      </c>
      <c r="K324" s="13">
        <v>1</v>
      </c>
      <c r="L324" s="13">
        <v>1</v>
      </c>
      <c r="M324" s="13">
        <v>1</v>
      </c>
      <c r="N324" s="13">
        <v>1</v>
      </c>
      <c r="O324" s="13">
        <v>1</v>
      </c>
    </row>
    <row r="325" spans="2:15" s="13" customFormat="1" x14ac:dyDescent="0.15">
      <c r="B325" s="13" t="s">
        <v>2063</v>
      </c>
      <c r="E325" s="13" t="s">
        <v>446</v>
      </c>
      <c r="F325" s="13">
        <v>0</v>
      </c>
      <c r="G325" s="13">
        <v>1</v>
      </c>
      <c r="H325" s="13">
        <v>1</v>
      </c>
      <c r="I325" s="13">
        <v>1</v>
      </c>
      <c r="J325" s="13">
        <v>1</v>
      </c>
      <c r="K325" s="13">
        <v>1</v>
      </c>
      <c r="L325" s="13">
        <v>1</v>
      </c>
      <c r="M325" s="13">
        <v>1</v>
      </c>
      <c r="N325" s="13">
        <v>1</v>
      </c>
      <c r="O325" s="13">
        <v>1</v>
      </c>
    </row>
    <row r="326" spans="2:15" s="13" customFormat="1" x14ac:dyDescent="0.15">
      <c r="B326" s="13" t="s">
        <v>2772</v>
      </c>
      <c r="E326" s="13" t="s">
        <v>448</v>
      </c>
      <c r="F326" s="13">
        <v>0</v>
      </c>
      <c r="G326" s="13">
        <v>1</v>
      </c>
      <c r="H326" s="13">
        <v>1</v>
      </c>
      <c r="I326" s="13">
        <v>1</v>
      </c>
      <c r="J326" s="13">
        <v>1</v>
      </c>
      <c r="K326" s="13">
        <v>1</v>
      </c>
      <c r="L326" s="13">
        <v>1</v>
      </c>
      <c r="M326" s="13">
        <v>1</v>
      </c>
      <c r="N326" s="13">
        <v>1</v>
      </c>
      <c r="O326" s="13">
        <v>1</v>
      </c>
    </row>
    <row r="327" spans="2:15" s="13" customFormat="1" x14ac:dyDescent="0.15">
      <c r="B327" s="13" t="s">
        <v>2065</v>
      </c>
      <c r="E327" s="13" t="s">
        <v>447</v>
      </c>
      <c r="F327" s="13">
        <v>0</v>
      </c>
      <c r="G327" s="13">
        <v>1</v>
      </c>
      <c r="H327" s="13">
        <v>1</v>
      </c>
      <c r="I327" s="13">
        <v>1</v>
      </c>
      <c r="J327" s="13">
        <v>1</v>
      </c>
      <c r="K327" s="13">
        <v>1</v>
      </c>
      <c r="L327" s="13">
        <v>1</v>
      </c>
      <c r="M327" s="13">
        <v>1</v>
      </c>
      <c r="N327" s="13">
        <v>1</v>
      </c>
      <c r="O327" s="13">
        <v>1</v>
      </c>
    </row>
    <row r="328" spans="2:15" s="13" customFormat="1" x14ac:dyDescent="0.15">
      <c r="B328" s="13" t="s">
        <v>2067</v>
      </c>
      <c r="E328" s="13" t="s">
        <v>446</v>
      </c>
      <c r="F328" s="13">
        <v>0</v>
      </c>
      <c r="G328" s="13">
        <v>1</v>
      </c>
      <c r="H328" s="13">
        <v>1</v>
      </c>
      <c r="I328" s="13">
        <v>1</v>
      </c>
      <c r="J328" s="13">
        <v>1</v>
      </c>
      <c r="K328" s="13">
        <v>1</v>
      </c>
      <c r="L328" s="13">
        <v>1</v>
      </c>
      <c r="M328" s="13">
        <v>1</v>
      </c>
      <c r="N328" s="13">
        <v>1</v>
      </c>
      <c r="O328" s="13">
        <v>1</v>
      </c>
    </row>
    <row r="329" spans="2:15" s="13" customFormat="1" x14ac:dyDescent="0.15">
      <c r="B329" s="13" t="s">
        <v>2069</v>
      </c>
      <c r="E329" s="13" t="s">
        <v>449</v>
      </c>
      <c r="F329" s="13">
        <v>0</v>
      </c>
      <c r="G329" s="13">
        <v>1</v>
      </c>
      <c r="H329" s="13">
        <v>1</v>
      </c>
      <c r="I329" s="13">
        <v>1</v>
      </c>
      <c r="J329" s="13">
        <v>1</v>
      </c>
      <c r="K329" s="13">
        <v>1</v>
      </c>
      <c r="L329" s="13">
        <v>1</v>
      </c>
      <c r="M329" s="13">
        <v>1</v>
      </c>
      <c r="N329" s="13">
        <v>1</v>
      </c>
      <c r="O329" s="13">
        <v>1</v>
      </c>
    </row>
    <row r="330" spans="2:15" s="11" customFormat="1" x14ac:dyDescent="0.15">
      <c r="B330" s="11" t="s">
        <v>2774</v>
      </c>
      <c r="E330" s="11" t="s">
        <v>451</v>
      </c>
      <c r="F330" s="11">
        <v>0</v>
      </c>
      <c r="G330" s="11">
        <v>1</v>
      </c>
      <c r="H330" s="11">
        <v>1</v>
      </c>
      <c r="I330" s="11">
        <v>1</v>
      </c>
      <c r="J330" s="11">
        <v>1</v>
      </c>
      <c r="K330" s="11">
        <v>1</v>
      </c>
      <c r="L330" s="11">
        <v>1</v>
      </c>
      <c r="M330" s="11">
        <v>1</v>
      </c>
      <c r="N330" s="11">
        <v>1</v>
      </c>
      <c r="O330" s="11">
        <v>1</v>
      </c>
    </row>
    <row r="331" spans="2:15" s="11" customFormat="1" x14ac:dyDescent="0.15">
      <c r="B331" s="11" t="s">
        <v>2071</v>
      </c>
      <c r="E331" s="11" t="s">
        <v>448</v>
      </c>
      <c r="F331" s="11">
        <v>0</v>
      </c>
      <c r="G331" s="11">
        <v>1</v>
      </c>
      <c r="H331" s="11">
        <v>1</v>
      </c>
      <c r="I331" s="11">
        <v>1</v>
      </c>
      <c r="J331" s="11">
        <v>1</v>
      </c>
      <c r="K331" s="11">
        <v>1</v>
      </c>
      <c r="L331" s="11">
        <v>1</v>
      </c>
      <c r="M331" s="11">
        <v>1</v>
      </c>
      <c r="N331" s="11">
        <v>1</v>
      </c>
      <c r="O331" s="11">
        <v>1</v>
      </c>
    </row>
    <row r="332" spans="2:15" s="11" customFormat="1" x14ac:dyDescent="0.15">
      <c r="B332" s="11" t="s">
        <v>2776</v>
      </c>
      <c r="E332" s="11" t="s">
        <v>450</v>
      </c>
      <c r="F332" s="11">
        <v>0</v>
      </c>
      <c r="G332" s="11">
        <v>1</v>
      </c>
      <c r="H332" s="11">
        <v>1</v>
      </c>
      <c r="I332" s="11">
        <v>1</v>
      </c>
      <c r="J332" s="11">
        <v>1</v>
      </c>
      <c r="K332" s="11">
        <v>1</v>
      </c>
      <c r="L332" s="11">
        <v>1</v>
      </c>
      <c r="M332" s="11">
        <v>1</v>
      </c>
      <c r="N332" s="11">
        <v>1</v>
      </c>
      <c r="O332" s="11">
        <v>1</v>
      </c>
    </row>
    <row r="333" spans="2:15" s="13" customFormat="1" x14ac:dyDescent="0.15">
      <c r="B333" s="13" t="s">
        <v>2073</v>
      </c>
      <c r="E333" s="13" t="s">
        <v>451</v>
      </c>
      <c r="F333" s="13">
        <v>0</v>
      </c>
      <c r="G333" s="13">
        <v>1</v>
      </c>
      <c r="H333" s="13">
        <v>1</v>
      </c>
      <c r="I333" s="13">
        <v>1</v>
      </c>
      <c r="J333" s="13">
        <v>1</v>
      </c>
      <c r="K333" s="13">
        <v>1</v>
      </c>
      <c r="L333" s="13">
        <v>1</v>
      </c>
      <c r="M333" s="13">
        <v>1</v>
      </c>
      <c r="N333" s="13">
        <v>1</v>
      </c>
      <c r="O333" s="13">
        <v>1</v>
      </c>
    </row>
    <row r="334" spans="2:15" s="13" customFormat="1" x14ac:dyDescent="0.15">
      <c r="B334" s="13" t="s">
        <v>2778</v>
      </c>
      <c r="E334" s="13" t="s">
        <v>448</v>
      </c>
      <c r="F334" s="13">
        <v>0</v>
      </c>
      <c r="G334" s="13">
        <v>1</v>
      </c>
      <c r="H334" s="13">
        <v>1</v>
      </c>
      <c r="I334" s="13">
        <v>1</v>
      </c>
      <c r="J334" s="13">
        <v>1</v>
      </c>
      <c r="K334" s="13">
        <v>1</v>
      </c>
      <c r="L334" s="13">
        <v>1</v>
      </c>
      <c r="M334" s="13">
        <v>1</v>
      </c>
      <c r="N334" s="13">
        <v>1</v>
      </c>
      <c r="O334" s="13">
        <v>1</v>
      </c>
    </row>
    <row r="335" spans="2:15" s="13" customFormat="1" x14ac:dyDescent="0.15">
      <c r="B335" s="13" t="s">
        <v>2780</v>
      </c>
      <c r="E335" s="13" t="s">
        <v>450</v>
      </c>
      <c r="F335" s="13">
        <v>0</v>
      </c>
      <c r="G335" s="13">
        <v>1</v>
      </c>
      <c r="H335" s="13">
        <v>1</v>
      </c>
      <c r="I335" s="13">
        <v>1</v>
      </c>
      <c r="J335" s="13">
        <v>1</v>
      </c>
      <c r="K335" s="13">
        <v>1</v>
      </c>
      <c r="L335" s="13">
        <v>1</v>
      </c>
      <c r="M335" s="13">
        <v>1</v>
      </c>
      <c r="N335" s="13">
        <v>1</v>
      </c>
      <c r="O335" s="13">
        <v>1</v>
      </c>
    </row>
    <row r="336" spans="2:15" s="13" customFormat="1" x14ac:dyDescent="0.15">
      <c r="B336" s="13" t="s">
        <v>2782</v>
      </c>
      <c r="E336" s="13" t="s">
        <v>447</v>
      </c>
      <c r="F336" s="13">
        <v>0</v>
      </c>
      <c r="G336" s="13">
        <v>1</v>
      </c>
      <c r="H336" s="13">
        <v>1</v>
      </c>
      <c r="I336" s="13">
        <v>1</v>
      </c>
      <c r="J336" s="13">
        <v>1</v>
      </c>
      <c r="K336" s="13">
        <v>1</v>
      </c>
      <c r="L336" s="13">
        <v>1</v>
      </c>
      <c r="M336" s="13">
        <v>1</v>
      </c>
      <c r="N336" s="13">
        <v>1</v>
      </c>
      <c r="O336" s="13">
        <v>1</v>
      </c>
    </row>
    <row r="337" spans="2:15" s="13" customFormat="1" x14ac:dyDescent="0.15">
      <c r="B337" s="13" t="s">
        <v>2784</v>
      </c>
      <c r="E337" s="13" t="s">
        <v>446</v>
      </c>
      <c r="F337" s="13">
        <v>0</v>
      </c>
      <c r="G337" s="13">
        <v>1</v>
      </c>
      <c r="H337" s="13">
        <v>1</v>
      </c>
      <c r="I337" s="13">
        <v>1</v>
      </c>
      <c r="J337" s="13">
        <v>1</v>
      </c>
      <c r="K337" s="13">
        <v>1</v>
      </c>
      <c r="L337" s="13">
        <v>1</v>
      </c>
      <c r="M337" s="13">
        <v>1</v>
      </c>
      <c r="N337" s="13">
        <v>1</v>
      </c>
      <c r="O337" s="13">
        <v>1</v>
      </c>
    </row>
    <row r="338" spans="2:15" s="13" customFormat="1" x14ac:dyDescent="0.15">
      <c r="B338" s="13" t="s">
        <v>2786</v>
      </c>
      <c r="E338" s="13" t="s">
        <v>448</v>
      </c>
      <c r="F338" s="13">
        <v>0</v>
      </c>
      <c r="G338" s="13">
        <v>1</v>
      </c>
      <c r="H338" s="13">
        <v>1</v>
      </c>
      <c r="I338" s="13">
        <v>1</v>
      </c>
      <c r="J338" s="13">
        <v>1</v>
      </c>
      <c r="K338" s="13">
        <v>1</v>
      </c>
      <c r="L338" s="13">
        <v>1</v>
      </c>
      <c r="M338" s="13">
        <v>1</v>
      </c>
      <c r="N338" s="13">
        <v>1</v>
      </c>
      <c r="O338" s="13">
        <v>1</v>
      </c>
    </row>
    <row r="339" spans="2:15" s="13" customFormat="1" x14ac:dyDescent="0.15">
      <c r="B339" s="13" t="s">
        <v>2788</v>
      </c>
      <c r="E339" s="13" t="s">
        <v>447</v>
      </c>
      <c r="F339" s="13">
        <v>0</v>
      </c>
      <c r="G339" s="13">
        <v>1</v>
      </c>
      <c r="H339" s="13">
        <v>1</v>
      </c>
      <c r="I339" s="13">
        <v>1</v>
      </c>
      <c r="J339" s="13">
        <v>1</v>
      </c>
      <c r="K339" s="13">
        <v>1</v>
      </c>
      <c r="L339" s="13">
        <v>1</v>
      </c>
      <c r="M339" s="13">
        <v>1</v>
      </c>
      <c r="N339" s="13">
        <v>1</v>
      </c>
      <c r="O339" s="13">
        <v>1</v>
      </c>
    </row>
    <row r="340" spans="2:15" s="13" customFormat="1" x14ac:dyDescent="0.15">
      <c r="B340" s="13" t="s">
        <v>2790</v>
      </c>
      <c r="E340" s="13" t="s">
        <v>446</v>
      </c>
      <c r="F340" s="13">
        <v>0</v>
      </c>
      <c r="G340" s="13">
        <v>1</v>
      </c>
      <c r="H340" s="13">
        <v>1</v>
      </c>
      <c r="I340" s="13">
        <v>1</v>
      </c>
      <c r="J340" s="13">
        <v>1</v>
      </c>
      <c r="K340" s="13">
        <v>1</v>
      </c>
      <c r="L340" s="13">
        <v>1</v>
      </c>
      <c r="M340" s="13">
        <v>1</v>
      </c>
      <c r="N340" s="13">
        <v>1</v>
      </c>
      <c r="O340" s="13">
        <v>1</v>
      </c>
    </row>
    <row r="341" spans="2:15" s="13" customFormat="1" x14ac:dyDescent="0.15">
      <c r="B341" s="13" t="s">
        <v>2792</v>
      </c>
      <c r="E341" s="13" t="s">
        <v>453</v>
      </c>
      <c r="F341" s="13">
        <v>0</v>
      </c>
      <c r="G341" s="13">
        <v>1</v>
      </c>
      <c r="H341" s="13">
        <v>1</v>
      </c>
      <c r="I341" s="13">
        <v>1</v>
      </c>
      <c r="J341" s="13">
        <v>1</v>
      </c>
      <c r="K341" s="13">
        <v>1</v>
      </c>
      <c r="L341" s="13">
        <v>1</v>
      </c>
      <c r="M341" s="13">
        <v>1</v>
      </c>
      <c r="N341" s="13">
        <v>1</v>
      </c>
      <c r="O341" s="13">
        <v>1</v>
      </c>
    </row>
    <row r="342" spans="2:15" s="13" customFormat="1" x14ac:dyDescent="0.15">
      <c r="B342" s="13" t="s">
        <v>2794</v>
      </c>
      <c r="E342" s="13" t="s">
        <v>449</v>
      </c>
      <c r="F342" s="13">
        <v>0</v>
      </c>
      <c r="G342" s="13">
        <v>1</v>
      </c>
      <c r="H342" s="13">
        <v>1</v>
      </c>
      <c r="I342" s="13">
        <v>1</v>
      </c>
      <c r="J342" s="13">
        <v>1</v>
      </c>
      <c r="K342" s="13">
        <v>1</v>
      </c>
      <c r="L342" s="13">
        <v>1</v>
      </c>
      <c r="M342" s="13">
        <v>1</v>
      </c>
      <c r="N342" s="13">
        <v>1</v>
      </c>
      <c r="O342" s="13">
        <v>1</v>
      </c>
    </row>
    <row r="343" spans="2:15" s="13" customFormat="1" x14ac:dyDescent="0.15">
      <c r="B343" s="13" t="s">
        <v>2796</v>
      </c>
      <c r="E343" s="13" t="s">
        <v>452</v>
      </c>
      <c r="F343" s="13">
        <v>0</v>
      </c>
      <c r="G343" s="13">
        <v>1</v>
      </c>
      <c r="H343" s="13">
        <v>1</v>
      </c>
      <c r="I343" s="13">
        <v>1</v>
      </c>
      <c r="J343" s="13">
        <v>1</v>
      </c>
      <c r="K343" s="13">
        <v>1</v>
      </c>
      <c r="L343" s="13">
        <v>1</v>
      </c>
      <c r="M343" s="13">
        <v>1</v>
      </c>
      <c r="N343" s="13">
        <v>1</v>
      </c>
      <c r="O343" s="13">
        <v>1</v>
      </c>
    </row>
    <row r="344" spans="2:15" s="13" customFormat="1" x14ac:dyDescent="0.15">
      <c r="B344" s="13" t="s">
        <v>2075</v>
      </c>
      <c r="E344" s="13" t="s">
        <v>448</v>
      </c>
      <c r="F344" s="13">
        <v>0</v>
      </c>
      <c r="G344" s="13">
        <v>1</v>
      </c>
      <c r="H344" s="13">
        <v>1</v>
      </c>
      <c r="I344" s="13">
        <v>1</v>
      </c>
      <c r="J344" s="13">
        <v>1</v>
      </c>
      <c r="K344" s="13">
        <v>1</v>
      </c>
      <c r="L344" s="13">
        <v>1</v>
      </c>
      <c r="M344" s="13">
        <v>1</v>
      </c>
      <c r="N344" s="13">
        <v>1</v>
      </c>
      <c r="O344" s="13">
        <v>1</v>
      </c>
    </row>
    <row r="345" spans="2:15" s="13" customFormat="1" x14ac:dyDescent="0.15">
      <c r="B345" s="13" t="s">
        <v>2077</v>
      </c>
      <c r="E345" s="13" t="s">
        <v>450</v>
      </c>
      <c r="F345" s="13">
        <v>0</v>
      </c>
      <c r="G345" s="13">
        <v>1</v>
      </c>
      <c r="H345" s="13">
        <v>1</v>
      </c>
      <c r="I345" s="13">
        <v>1</v>
      </c>
      <c r="J345" s="13">
        <v>1</v>
      </c>
      <c r="K345" s="13">
        <v>1</v>
      </c>
      <c r="L345" s="13">
        <v>1</v>
      </c>
      <c r="M345" s="13">
        <v>1</v>
      </c>
      <c r="N345" s="13">
        <v>1</v>
      </c>
      <c r="O345" s="13">
        <v>1</v>
      </c>
    </row>
    <row r="346" spans="2:15" s="11" customFormat="1" x14ac:dyDescent="0.15">
      <c r="B346" s="13" t="s">
        <v>2079</v>
      </c>
      <c r="E346" s="11" t="s">
        <v>453</v>
      </c>
      <c r="F346" s="11">
        <v>0</v>
      </c>
      <c r="G346" s="11">
        <v>1</v>
      </c>
      <c r="H346" s="11">
        <v>1</v>
      </c>
      <c r="I346" s="11">
        <v>1</v>
      </c>
      <c r="J346" s="11">
        <v>1</v>
      </c>
      <c r="K346" s="11">
        <v>1</v>
      </c>
      <c r="L346" s="11">
        <v>1</v>
      </c>
      <c r="M346" s="11">
        <v>1</v>
      </c>
      <c r="N346" s="11">
        <v>1</v>
      </c>
      <c r="O346" s="11">
        <v>1</v>
      </c>
    </row>
    <row r="347" spans="2:15" s="11" customFormat="1" x14ac:dyDescent="0.15">
      <c r="B347" s="13" t="s">
        <v>2081</v>
      </c>
      <c r="E347" s="11" t="s">
        <v>449</v>
      </c>
      <c r="F347" s="11">
        <v>0</v>
      </c>
      <c r="G347" s="11">
        <v>1</v>
      </c>
      <c r="H347" s="11">
        <v>1</v>
      </c>
      <c r="I347" s="11">
        <v>1</v>
      </c>
      <c r="J347" s="11">
        <v>1</v>
      </c>
      <c r="K347" s="11">
        <v>1</v>
      </c>
      <c r="L347" s="11">
        <v>1</v>
      </c>
      <c r="M347" s="11">
        <v>1</v>
      </c>
      <c r="N347" s="11">
        <v>1</v>
      </c>
      <c r="O347" s="11">
        <v>1</v>
      </c>
    </row>
    <row r="348" spans="2:15" s="11" customFormat="1" x14ac:dyDescent="0.15">
      <c r="B348" s="13" t="s">
        <v>2083</v>
      </c>
      <c r="E348" s="11" t="s">
        <v>452</v>
      </c>
      <c r="F348" s="11">
        <v>0</v>
      </c>
      <c r="G348" s="11">
        <v>1</v>
      </c>
      <c r="H348" s="11">
        <v>1</v>
      </c>
      <c r="I348" s="11">
        <v>1</v>
      </c>
      <c r="J348" s="11">
        <v>1</v>
      </c>
      <c r="K348" s="11">
        <v>1</v>
      </c>
      <c r="L348" s="11">
        <v>1</v>
      </c>
      <c r="M348" s="11">
        <v>1</v>
      </c>
      <c r="N348" s="11">
        <v>1</v>
      </c>
      <c r="O348" s="11">
        <v>1</v>
      </c>
    </row>
    <row r="349" spans="2:15" s="11" customFormat="1" x14ac:dyDescent="0.15">
      <c r="B349" s="11" t="s">
        <v>2798</v>
      </c>
      <c r="E349" s="11" t="s">
        <v>448</v>
      </c>
      <c r="F349" s="11">
        <v>0</v>
      </c>
      <c r="G349" s="11">
        <v>1</v>
      </c>
      <c r="H349" s="11">
        <v>1</v>
      </c>
      <c r="I349" s="11">
        <v>1</v>
      </c>
      <c r="J349" s="11">
        <v>1</v>
      </c>
      <c r="K349" s="11">
        <v>1</v>
      </c>
      <c r="L349" s="11">
        <v>1</v>
      </c>
      <c r="M349" s="11">
        <v>1</v>
      </c>
      <c r="N349" s="11">
        <v>1</v>
      </c>
      <c r="O349" s="11">
        <v>1</v>
      </c>
    </row>
    <row r="350" spans="2:15" s="11" customFormat="1" x14ac:dyDescent="0.15">
      <c r="B350" s="11" t="s">
        <v>2085</v>
      </c>
      <c r="E350" s="11" t="s">
        <v>447</v>
      </c>
      <c r="F350" s="11">
        <v>0</v>
      </c>
      <c r="G350" s="11">
        <v>1</v>
      </c>
      <c r="H350" s="11">
        <v>1</v>
      </c>
      <c r="I350" s="11">
        <v>1</v>
      </c>
      <c r="J350" s="11">
        <v>1</v>
      </c>
      <c r="K350" s="11">
        <v>1</v>
      </c>
      <c r="L350" s="11">
        <v>1</v>
      </c>
      <c r="M350" s="11">
        <v>1</v>
      </c>
      <c r="N350" s="11">
        <v>1</v>
      </c>
      <c r="O350" s="11">
        <v>1</v>
      </c>
    </row>
    <row r="351" spans="2:15" s="11" customFormat="1" x14ac:dyDescent="0.15">
      <c r="B351" s="11" t="s">
        <v>2087</v>
      </c>
      <c r="E351" s="11" t="s">
        <v>446</v>
      </c>
      <c r="F351" s="11">
        <v>0</v>
      </c>
      <c r="G351" s="11">
        <v>1</v>
      </c>
      <c r="H351" s="11">
        <v>1</v>
      </c>
      <c r="I351" s="11">
        <v>1</v>
      </c>
      <c r="J351" s="11">
        <v>1</v>
      </c>
      <c r="K351" s="11">
        <v>1</v>
      </c>
      <c r="L351" s="11">
        <v>1</v>
      </c>
      <c r="M351" s="11">
        <v>1</v>
      </c>
      <c r="N351" s="11">
        <v>1</v>
      </c>
      <c r="O351" s="11">
        <v>1</v>
      </c>
    </row>
    <row r="352" spans="2:15" s="11" customFormat="1" x14ac:dyDescent="0.15">
      <c r="B352" s="11" t="s">
        <v>2800</v>
      </c>
      <c r="E352" s="11" t="s">
        <v>449</v>
      </c>
      <c r="F352" s="11">
        <v>0</v>
      </c>
      <c r="G352" s="11">
        <v>1</v>
      </c>
      <c r="H352" s="11">
        <v>1</v>
      </c>
      <c r="I352" s="11">
        <v>1</v>
      </c>
      <c r="J352" s="11">
        <v>1</v>
      </c>
      <c r="K352" s="11">
        <v>1</v>
      </c>
      <c r="L352" s="11">
        <v>1</v>
      </c>
      <c r="M352" s="11">
        <v>1</v>
      </c>
      <c r="N352" s="11">
        <v>1</v>
      </c>
      <c r="O352" s="11">
        <v>1</v>
      </c>
    </row>
    <row r="353" spans="2:15" s="11" customFormat="1" x14ac:dyDescent="0.15">
      <c r="B353" s="11" t="s">
        <v>2089</v>
      </c>
      <c r="E353" s="11" t="s">
        <v>448</v>
      </c>
      <c r="F353" s="11">
        <v>0</v>
      </c>
      <c r="G353" s="11">
        <v>1</v>
      </c>
      <c r="H353" s="11">
        <v>1</v>
      </c>
      <c r="I353" s="11">
        <v>1</v>
      </c>
      <c r="J353" s="11">
        <v>1</v>
      </c>
      <c r="K353" s="11">
        <v>1</v>
      </c>
      <c r="L353" s="11">
        <v>1</v>
      </c>
      <c r="M353" s="11">
        <v>1</v>
      </c>
      <c r="N353" s="11">
        <v>1</v>
      </c>
      <c r="O353" s="11">
        <v>1</v>
      </c>
    </row>
    <row r="354" spans="2:15" s="11" customFormat="1" x14ac:dyDescent="0.15">
      <c r="B354" s="11" t="s">
        <v>2091</v>
      </c>
      <c r="E354" s="11" t="s">
        <v>449</v>
      </c>
      <c r="F354" s="11">
        <v>0</v>
      </c>
      <c r="G354" s="11">
        <v>1</v>
      </c>
      <c r="H354" s="11">
        <v>1</v>
      </c>
      <c r="I354" s="11">
        <v>1</v>
      </c>
      <c r="J354" s="11">
        <v>1</v>
      </c>
      <c r="K354" s="11">
        <v>1</v>
      </c>
      <c r="L354" s="11">
        <v>1</v>
      </c>
      <c r="M354" s="11">
        <v>1</v>
      </c>
      <c r="N354" s="11">
        <v>1</v>
      </c>
      <c r="O354" s="11">
        <v>1</v>
      </c>
    </row>
    <row r="355" spans="2:15" s="11" customFormat="1" x14ac:dyDescent="0.15">
      <c r="B355" s="11" t="s">
        <v>2093</v>
      </c>
      <c r="E355" s="11" t="s">
        <v>451</v>
      </c>
      <c r="F355" s="11">
        <v>0</v>
      </c>
      <c r="G355" s="11">
        <v>1</v>
      </c>
      <c r="H355" s="11">
        <v>1</v>
      </c>
      <c r="I355" s="11">
        <v>1</v>
      </c>
      <c r="J355" s="11">
        <v>1</v>
      </c>
      <c r="K355" s="11">
        <v>1</v>
      </c>
      <c r="L355" s="11">
        <v>1</v>
      </c>
      <c r="M355" s="11">
        <v>1</v>
      </c>
      <c r="N355" s="11">
        <v>1</v>
      </c>
      <c r="O355" s="11">
        <v>1</v>
      </c>
    </row>
    <row r="356" spans="2:15" s="11" customFormat="1" x14ac:dyDescent="0.15">
      <c r="B356" s="11" t="s">
        <v>2809</v>
      </c>
      <c r="E356" s="11" t="s">
        <v>448</v>
      </c>
      <c r="F356" s="11">
        <v>0</v>
      </c>
      <c r="G356" s="11">
        <v>1</v>
      </c>
      <c r="H356" s="11">
        <v>1</v>
      </c>
      <c r="I356" s="11">
        <v>1</v>
      </c>
      <c r="J356" s="11">
        <v>1</v>
      </c>
      <c r="K356" s="11">
        <v>1</v>
      </c>
      <c r="L356" s="11">
        <v>1</v>
      </c>
      <c r="M356" s="11">
        <v>1</v>
      </c>
      <c r="N356" s="11">
        <v>1</v>
      </c>
      <c r="O356" s="11">
        <v>1</v>
      </c>
    </row>
    <row r="357" spans="2:15" s="11" customFormat="1" x14ac:dyDescent="0.15">
      <c r="B357" s="11" t="s">
        <v>2811</v>
      </c>
      <c r="E357" s="11" t="s">
        <v>447</v>
      </c>
      <c r="F357" s="11">
        <v>0</v>
      </c>
      <c r="G357" s="11">
        <v>1</v>
      </c>
      <c r="H357" s="11">
        <v>1</v>
      </c>
      <c r="I357" s="11">
        <v>1</v>
      </c>
      <c r="J357" s="11">
        <v>1</v>
      </c>
      <c r="K357" s="11">
        <v>1</v>
      </c>
      <c r="L357" s="11">
        <v>1</v>
      </c>
      <c r="M357" s="11">
        <v>1</v>
      </c>
      <c r="N357" s="11">
        <v>1</v>
      </c>
      <c r="O357" s="11">
        <v>1</v>
      </c>
    </row>
    <row r="358" spans="2:15" s="11" customFormat="1" x14ac:dyDescent="0.15">
      <c r="B358" s="11" t="s">
        <v>2095</v>
      </c>
      <c r="E358" s="11" t="s">
        <v>453</v>
      </c>
      <c r="F358" s="11">
        <v>0</v>
      </c>
      <c r="G358" s="11">
        <v>1</v>
      </c>
      <c r="H358" s="11">
        <v>1</v>
      </c>
      <c r="I358" s="11">
        <v>1</v>
      </c>
      <c r="J358" s="11">
        <v>1</v>
      </c>
      <c r="K358" s="11">
        <v>1</v>
      </c>
      <c r="L358" s="11">
        <v>1</v>
      </c>
      <c r="M358" s="11">
        <v>1</v>
      </c>
      <c r="N358" s="11">
        <v>1</v>
      </c>
      <c r="O358" s="11">
        <v>1</v>
      </c>
    </row>
    <row r="359" spans="2:15" s="11" customFormat="1" x14ac:dyDescent="0.15">
      <c r="B359" s="11" t="s">
        <v>2097</v>
      </c>
      <c r="E359" s="11" t="s">
        <v>449</v>
      </c>
      <c r="F359" s="11">
        <v>0</v>
      </c>
      <c r="G359" s="11">
        <v>1</v>
      </c>
      <c r="H359" s="11">
        <v>1</v>
      </c>
      <c r="I359" s="11">
        <v>1</v>
      </c>
      <c r="J359" s="11">
        <v>1</v>
      </c>
      <c r="K359" s="11">
        <v>1</v>
      </c>
      <c r="L359" s="11">
        <v>1</v>
      </c>
      <c r="M359" s="11">
        <v>1</v>
      </c>
      <c r="N359" s="11">
        <v>1</v>
      </c>
      <c r="O359" s="11">
        <v>1</v>
      </c>
    </row>
    <row r="360" spans="2:15" s="11" customFormat="1" x14ac:dyDescent="0.15">
      <c r="B360" s="11" t="s">
        <v>2099</v>
      </c>
      <c r="E360" s="11" t="s">
        <v>448</v>
      </c>
      <c r="F360" s="11">
        <v>0</v>
      </c>
      <c r="G360" s="11">
        <v>1</v>
      </c>
      <c r="H360" s="11">
        <v>1</v>
      </c>
      <c r="I360" s="11">
        <v>1</v>
      </c>
      <c r="J360" s="11">
        <v>1</v>
      </c>
      <c r="K360" s="11">
        <v>1</v>
      </c>
      <c r="L360" s="11">
        <v>1</v>
      </c>
      <c r="M360" s="11">
        <v>1</v>
      </c>
      <c r="N360" s="11">
        <v>1</v>
      </c>
      <c r="O360" s="11">
        <v>1</v>
      </c>
    </row>
    <row r="361" spans="2:15" s="11" customFormat="1" x14ac:dyDescent="0.15">
      <c r="B361" s="11" t="s">
        <v>2813</v>
      </c>
      <c r="E361" s="11" t="s">
        <v>446</v>
      </c>
      <c r="F361" s="11">
        <v>0</v>
      </c>
      <c r="G361" s="11">
        <v>1</v>
      </c>
      <c r="H361" s="11">
        <v>1</v>
      </c>
      <c r="I361" s="11">
        <v>1</v>
      </c>
      <c r="J361" s="11">
        <v>1</v>
      </c>
      <c r="K361" s="11">
        <v>1</v>
      </c>
      <c r="L361" s="11">
        <v>1</v>
      </c>
      <c r="M361" s="11">
        <v>1</v>
      </c>
      <c r="N361" s="11">
        <v>1</v>
      </c>
      <c r="O361" s="11">
        <v>1</v>
      </c>
    </row>
    <row r="362" spans="2:15" s="11" customFormat="1" x14ac:dyDescent="0.15">
      <c r="B362" s="11" t="s">
        <v>2815</v>
      </c>
      <c r="E362" s="11" t="s">
        <v>451</v>
      </c>
      <c r="F362" s="11">
        <v>0</v>
      </c>
      <c r="G362" s="11">
        <v>1</v>
      </c>
      <c r="H362" s="11">
        <v>1</v>
      </c>
      <c r="I362" s="11">
        <v>1</v>
      </c>
      <c r="J362" s="11">
        <v>1</v>
      </c>
      <c r="K362" s="11">
        <v>1</v>
      </c>
      <c r="L362" s="11">
        <v>1</v>
      </c>
      <c r="M362" s="11">
        <v>1</v>
      </c>
      <c r="N362" s="11">
        <v>1</v>
      </c>
      <c r="O362" s="11">
        <v>1</v>
      </c>
    </row>
    <row r="363" spans="2:15" s="11" customFormat="1" x14ac:dyDescent="0.15">
      <c r="B363" s="11" t="s">
        <v>2817</v>
      </c>
      <c r="E363" s="11" t="s">
        <v>448</v>
      </c>
      <c r="F363" s="11">
        <v>0</v>
      </c>
      <c r="G363" s="11">
        <v>1</v>
      </c>
      <c r="H363" s="11">
        <v>1</v>
      </c>
      <c r="I363" s="11">
        <v>1</v>
      </c>
      <c r="J363" s="11">
        <v>1</v>
      </c>
      <c r="K363" s="11">
        <v>1</v>
      </c>
      <c r="L363" s="11">
        <v>1</v>
      </c>
      <c r="M363" s="11">
        <v>1</v>
      </c>
      <c r="N363" s="11">
        <v>1</v>
      </c>
      <c r="O363" s="11">
        <v>1</v>
      </c>
    </row>
    <row r="364" spans="2:15" s="11" customFormat="1" x14ac:dyDescent="0.15">
      <c r="B364" s="11" t="s">
        <v>2101</v>
      </c>
      <c r="E364" s="11" t="s">
        <v>447</v>
      </c>
      <c r="F364" s="11">
        <v>0</v>
      </c>
      <c r="G364" s="11">
        <v>1</v>
      </c>
      <c r="H364" s="11">
        <v>1</v>
      </c>
      <c r="I364" s="11">
        <v>1</v>
      </c>
      <c r="J364" s="11">
        <v>1</v>
      </c>
      <c r="K364" s="11">
        <v>1</v>
      </c>
      <c r="L364" s="11">
        <v>1</v>
      </c>
      <c r="M364" s="11">
        <v>1</v>
      </c>
      <c r="N364" s="11">
        <v>1</v>
      </c>
      <c r="O364" s="11">
        <v>1</v>
      </c>
    </row>
    <row r="365" spans="2:15" s="11" customFormat="1" x14ac:dyDescent="0.15">
      <c r="B365" s="11" t="s">
        <v>2103</v>
      </c>
      <c r="E365" s="11" t="s">
        <v>446</v>
      </c>
      <c r="F365" s="11">
        <v>0</v>
      </c>
      <c r="G365" s="11">
        <v>1</v>
      </c>
      <c r="H365" s="11">
        <v>1</v>
      </c>
      <c r="I365" s="11">
        <v>1</v>
      </c>
      <c r="J365" s="11">
        <v>1</v>
      </c>
      <c r="K365" s="11">
        <v>1</v>
      </c>
      <c r="L365" s="11">
        <v>1</v>
      </c>
      <c r="M365" s="11">
        <v>1</v>
      </c>
      <c r="N365" s="11">
        <v>1</v>
      </c>
      <c r="O365" s="11">
        <v>1</v>
      </c>
    </row>
    <row r="366" spans="2:15" s="11" customFormat="1" x14ac:dyDescent="0.15">
      <c r="B366" s="11" t="s">
        <v>2105</v>
      </c>
      <c r="E366" s="11" t="s">
        <v>449</v>
      </c>
      <c r="F366" s="11">
        <v>0</v>
      </c>
      <c r="G366" s="11">
        <v>1</v>
      </c>
      <c r="H366" s="11">
        <v>1</v>
      </c>
      <c r="I366" s="11">
        <v>1</v>
      </c>
      <c r="J366" s="11">
        <v>1</v>
      </c>
      <c r="K366" s="11">
        <v>1</v>
      </c>
      <c r="L366" s="11">
        <v>1</v>
      </c>
      <c r="M366" s="11">
        <v>1</v>
      </c>
      <c r="N366" s="11">
        <v>1</v>
      </c>
      <c r="O366" s="11">
        <v>1</v>
      </c>
    </row>
    <row r="367" spans="2:15" s="11" customFormat="1" x14ac:dyDescent="0.15">
      <c r="B367" s="11" t="s">
        <v>2825</v>
      </c>
      <c r="E367" s="11" t="s">
        <v>447</v>
      </c>
      <c r="F367" s="11">
        <v>0</v>
      </c>
      <c r="G367" s="11">
        <v>1</v>
      </c>
      <c r="H367" s="11">
        <v>1</v>
      </c>
      <c r="I367" s="11">
        <v>1</v>
      </c>
      <c r="J367" s="11">
        <v>1</v>
      </c>
      <c r="K367" s="11">
        <v>1</v>
      </c>
      <c r="L367" s="11">
        <v>1</v>
      </c>
      <c r="M367" s="11">
        <v>1</v>
      </c>
      <c r="N367" s="11">
        <v>1</v>
      </c>
      <c r="O367" s="11">
        <v>1</v>
      </c>
    </row>
    <row r="368" spans="2:15" s="11" customFormat="1" x14ac:dyDescent="0.15">
      <c r="B368" s="11" t="s">
        <v>2827</v>
      </c>
      <c r="E368" s="11" t="s">
        <v>446</v>
      </c>
      <c r="F368" s="11">
        <v>0</v>
      </c>
      <c r="G368" s="11">
        <v>1</v>
      </c>
      <c r="H368" s="11">
        <v>1</v>
      </c>
      <c r="I368" s="11">
        <v>1</v>
      </c>
      <c r="J368" s="11">
        <v>1</v>
      </c>
      <c r="K368" s="11">
        <v>1</v>
      </c>
      <c r="L368" s="11">
        <v>1</v>
      </c>
      <c r="M368" s="11">
        <v>1</v>
      </c>
      <c r="N368" s="11">
        <v>1</v>
      </c>
      <c r="O368" s="11">
        <v>1</v>
      </c>
    </row>
    <row r="369" spans="2:15" s="11" customFormat="1" x14ac:dyDescent="0.15">
      <c r="B369" s="11" t="s">
        <v>2829</v>
      </c>
      <c r="E369" s="11" t="s">
        <v>450</v>
      </c>
      <c r="F369" s="11">
        <v>0</v>
      </c>
      <c r="G369" s="11">
        <v>1</v>
      </c>
      <c r="H369" s="11">
        <v>1</v>
      </c>
      <c r="I369" s="11">
        <v>1</v>
      </c>
      <c r="J369" s="11">
        <v>1</v>
      </c>
      <c r="K369" s="11">
        <v>1</v>
      </c>
      <c r="L369" s="11">
        <v>1</v>
      </c>
      <c r="M369" s="11">
        <v>1</v>
      </c>
      <c r="N369" s="11">
        <v>1</v>
      </c>
      <c r="O369" s="11">
        <v>1</v>
      </c>
    </row>
    <row r="370" spans="2:15" s="11" customFormat="1" x14ac:dyDescent="0.15">
      <c r="B370" s="11" t="s">
        <v>2107</v>
      </c>
      <c r="E370" s="11" t="s">
        <v>447</v>
      </c>
      <c r="F370" s="11">
        <v>0</v>
      </c>
      <c r="G370" s="11">
        <v>1</v>
      </c>
      <c r="H370" s="11">
        <v>1</v>
      </c>
      <c r="I370" s="11">
        <v>1</v>
      </c>
      <c r="J370" s="11">
        <v>1</v>
      </c>
      <c r="K370" s="11">
        <v>1</v>
      </c>
      <c r="L370" s="11">
        <v>1</v>
      </c>
      <c r="M370" s="11">
        <v>1</v>
      </c>
      <c r="N370" s="11">
        <v>1</v>
      </c>
      <c r="O370" s="11">
        <v>1</v>
      </c>
    </row>
    <row r="371" spans="2:15" s="11" customFormat="1" x14ac:dyDescent="0.15">
      <c r="B371" s="11" t="s">
        <v>2109</v>
      </c>
      <c r="E371" s="11" t="s">
        <v>446</v>
      </c>
      <c r="F371" s="11">
        <v>0</v>
      </c>
      <c r="G371" s="11">
        <v>1</v>
      </c>
      <c r="H371" s="11">
        <v>1</v>
      </c>
      <c r="I371" s="11">
        <v>1</v>
      </c>
      <c r="J371" s="11">
        <v>1</v>
      </c>
      <c r="K371" s="11">
        <v>1</v>
      </c>
      <c r="L371" s="11">
        <v>1</v>
      </c>
      <c r="M371" s="11">
        <v>1</v>
      </c>
      <c r="N371" s="11">
        <v>1</v>
      </c>
      <c r="O371" s="11">
        <v>1</v>
      </c>
    </row>
    <row r="372" spans="2:15" s="11" customFormat="1" x14ac:dyDescent="0.15">
      <c r="B372" s="11" t="s">
        <v>2831</v>
      </c>
      <c r="E372" s="11" t="s">
        <v>449</v>
      </c>
      <c r="F372" s="11">
        <v>0</v>
      </c>
      <c r="G372" s="11">
        <v>1</v>
      </c>
      <c r="H372" s="11">
        <v>1</v>
      </c>
      <c r="I372" s="11">
        <v>1</v>
      </c>
      <c r="J372" s="11">
        <v>1</v>
      </c>
      <c r="K372" s="11">
        <v>1</v>
      </c>
      <c r="L372" s="11">
        <v>1</v>
      </c>
      <c r="M372" s="11">
        <v>1</v>
      </c>
      <c r="N372" s="11">
        <v>1</v>
      </c>
      <c r="O372" s="11">
        <v>1</v>
      </c>
    </row>
    <row r="373" spans="2:15" s="11" customFormat="1" x14ac:dyDescent="0.15">
      <c r="B373" s="11" t="s">
        <v>2111</v>
      </c>
      <c r="E373" s="11" t="s">
        <v>451</v>
      </c>
      <c r="F373" s="11">
        <v>0</v>
      </c>
      <c r="G373" s="11">
        <v>1</v>
      </c>
      <c r="H373" s="11">
        <v>1</v>
      </c>
      <c r="I373" s="11">
        <v>1</v>
      </c>
      <c r="J373" s="11">
        <v>1</v>
      </c>
      <c r="K373" s="11">
        <v>1</v>
      </c>
      <c r="L373" s="11">
        <v>1</v>
      </c>
      <c r="M373" s="11">
        <v>1</v>
      </c>
      <c r="N373" s="11">
        <v>1</v>
      </c>
      <c r="O373" s="11">
        <v>1</v>
      </c>
    </row>
    <row r="374" spans="2:15" s="11" customFormat="1" x14ac:dyDescent="0.15">
      <c r="B374" s="11" t="s">
        <v>2113</v>
      </c>
      <c r="E374" s="11" t="s">
        <v>448</v>
      </c>
      <c r="F374" s="11">
        <v>0</v>
      </c>
      <c r="G374" s="11">
        <v>1</v>
      </c>
      <c r="H374" s="11">
        <v>1</v>
      </c>
      <c r="I374" s="11">
        <v>1</v>
      </c>
      <c r="J374" s="11">
        <v>1</v>
      </c>
      <c r="K374" s="11">
        <v>1</v>
      </c>
      <c r="L374" s="11">
        <v>1</v>
      </c>
      <c r="M374" s="11">
        <v>1</v>
      </c>
      <c r="N374" s="11">
        <v>1</v>
      </c>
      <c r="O374" s="11">
        <v>1</v>
      </c>
    </row>
    <row r="375" spans="2:15" s="11" customFormat="1" x14ac:dyDescent="0.15">
      <c r="B375" s="11" t="s">
        <v>2115</v>
      </c>
      <c r="E375" s="11" t="s">
        <v>446</v>
      </c>
      <c r="F375" s="11">
        <v>0</v>
      </c>
      <c r="G375" s="11">
        <v>1</v>
      </c>
      <c r="H375" s="11">
        <v>1</v>
      </c>
      <c r="I375" s="11">
        <v>1</v>
      </c>
      <c r="J375" s="11">
        <v>1</v>
      </c>
      <c r="K375" s="11">
        <v>1</v>
      </c>
      <c r="L375" s="11">
        <v>1</v>
      </c>
      <c r="M375" s="11">
        <v>1</v>
      </c>
      <c r="N375" s="11">
        <v>1</v>
      </c>
      <c r="O375" s="11">
        <v>1</v>
      </c>
    </row>
    <row r="376" spans="2:15" s="11" customFormat="1" x14ac:dyDescent="0.15">
      <c r="B376" s="11" t="s">
        <v>2835</v>
      </c>
      <c r="E376" s="11" t="s">
        <v>453</v>
      </c>
      <c r="F376" s="11">
        <v>0</v>
      </c>
      <c r="G376" s="11">
        <v>1</v>
      </c>
      <c r="H376" s="11">
        <v>1</v>
      </c>
      <c r="I376" s="11">
        <v>1</v>
      </c>
      <c r="J376" s="11">
        <v>1</v>
      </c>
      <c r="K376" s="11">
        <v>1</v>
      </c>
      <c r="L376" s="11">
        <v>1</v>
      </c>
      <c r="M376" s="11">
        <v>1</v>
      </c>
      <c r="N376" s="11">
        <v>1</v>
      </c>
      <c r="O376" s="11">
        <v>1</v>
      </c>
    </row>
    <row r="377" spans="2:15" s="11" customFormat="1" x14ac:dyDescent="0.15">
      <c r="B377" s="11" t="s">
        <v>2117</v>
      </c>
      <c r="E377" s="11" t="s">
        <v>449</v>
      </c>
      <c r="F377" s="11">
        <v>0</v>
      </c>
      <c r="G377" s="11">
        <v>1</v>
      </c>
      <c r="H377" s="11">
        <v>1</v>
      </c>
      <c r="I377" s="11">
        <v>1</v>
      </c>
      <c r="J377" s="11">
        <v>1</v>
      </c>
      <c r="K377" s="11">
        <v>1</v>
      </c>
      <c r="L377" s="11">
        <v>1</v>
      </c>
      <c r="M377" s="11">
        <v>1</v>
      </c>
      <c r="N377" s="11">
        <v>1</v>
      </c>
      <c r="O377" s="11">
        <v>1</v>
      </c>
    </row>
    <row r="378" spans="2:15" s="11" customFormat="1" x14ac:dyDescent="0.15">
      <c r="B378" s="11" t="s">
        <v>2842</v>
      </c>
      <c r="E378" s="11" t="s">
        <v>452</v>
      </c>
      <c r="F378" s="11">
        <v>0</v>
      </c>
      <c r="G378" s="11">
        <v>1</v>
      </c>
      <c r="H378" s="11">
        <v>1</v>
      </c>
      <c r="I378" s="11">
        <v>1</v>
      </c>
      <c r="J378" s="11">
        <v>1</v>
      </c>
      <c r="K378" s="11">
        <v>1</v>
      </c>
      <c r="L378" s="11">
        <v>1</v>
      </c>
      <c r="M378" s="11">
        <v>1</v>
      </c>
      <c r="N378" s="11">
        <v>1</v>
      </c>
      <c r="O378" s="11">
        <v>1</v>
      </c>
    </row>
    <row r="379" spans="2:15" s="11" customFormat="1" x14ac:dyDescent="0.15">
      <c r="B379" s="11" t="s">
        <v>2119</v>
      </c>
      <c r="E379" s="11" t="s">
        <v>447</v>
      </c>
      <c r="F379" s="11">
        <v>0</v>
      </c>
      <c r="G379" s="11">
        <v>1</v>
      </c>
      <c r="H379" s="11">
        <v>1</v>
      </c>
      <c r="I379" s="11">
        <v>1</v>
      </c>
      <c r="J379" s="11">
        <v>1</v>
      </c>
      <c r="K379" s="11">
        <v>1</v>
      </c>
      <c r="L379" s="11">
        <v>1</v>
      </c>
      <c r="M379" s="11">
        <v>1</v>
      </c>
      <c r="N379" s="11">
        <v>1</v>
      </c>
      <c r="O379" s="11">
        <v>1</v>
      </c>
    </row>
    <row r="380" spans="2:15" s="11" customFormat="1" x14ac:dyDescent="0.15">
      <c r="B380" s="11" t="s">
        <v>2844</v>
      </c>
      <c r="E380" s="11" t="s">
        <v>449</v>
      </c>
      <c r="F380" s="11">
        <v>0</v>
      </c>
      <c r="G380" s="11">
        <v>1</v>
      </c>
      <c r="H380" s="11">
        <v>1</v>
      </c>
      <c r="I380" s="11">
        <v>1</v>
      </c>
      <c r="J380" s="11">
        <v>1</v>
      </c>
      <c r="K380" s="11">
        <v>1</v>
      </c>
      <c r="L380" s="11">
        <v>1</v>
      </c>
      <c r="M380" s="11">
        <v>1</v>
      </c>
      <c r="N380" s="11">
        <v>1</v>
      </c>
      <c r="O380" s="11">
        <v>1</v>
      </c>
    </row>
    <row r="381" spans="2:15" s="11" customFormat="1" x14ac:dyDescent="0.15">
      <c r="B381" s="11" t="s">
        <v>2846</v>
      </c>
      <c r="E381" s="11" t="s">
        <v>448</v>
      </c>
      <c r="F381" s="11">
        <v>0</v>
      </c>
      <c r="G381" s="11">
        <v>1</v>
      </c>
      <c r="H381" s="11">
        <v>1</v>
      </c>
      <c r="I381" s="11">
        <v>1</v>
      </c>
      <c r="J381" s="11">
        <v>1</v>
      </c>
      <c r="K381" s="11">
        <v>1</v>
      </c>
      <c r="L381" s="11">
        <v>1</v>
      </c>
      <c r="M381" s="11">
        <v>1</v>
      </c>
      <c r="N381" s="11">
        <v>1</v>
      </c>
      <c r="O381" s="11">
        <v>1</v>
      </c>
    </row>
    <row r="382" spans="2:15" s="11" customFormat="1" x14ac:dyDescent="0.15">
      <c r="B382" s="11" t="s">
        <v>2848</v>
      </c>
      <c r="E382" s="11" t="s">
        <v>450</v>
      </c>
      <c r="F382" s="11">
        <v>0</v>
      </c>
      <c r="G382" s="11">
        <v>1</v>
      </c>
      <c r="H382" s="11">
        <v>1</v>
      </c>
      <c r="I382" s="11">
        <v>1</v>
      </c>
      <c r="J382" s="11">
        <v>1</v>
      </c>
      <c r="K382" s="11">
        <v>1</v>
      </c>
      <c r="L382" s="11">
        <v>1</v>
      </c>
      <c r="M382" s="11">
        <v>1</v>
      </c>
      <c r="N382" s="11">
        <v>1</v>
      </c>
      <c r="O382" s="11">
        <v>1</v>
      </c>
    </row>
    <row r="383" spans="2:15" s="11" customFormat="1" x14ac:dyDescent="0.15">
      <c r="B383" s="11" t="s">
        <v>2850</v>
      </c>
      <c r="E383" s="11" t="s">
        <v>446</v>
      </c>
      <c r="F383" s="11">
        <v>0</v>
      </c>
      <c r="G383" s="11">
        <v>1</v>
      </c>
      <c r="H383" s="11">
        <v>1</v>
      </c>
      <c r="I383" s="11">
        <v>1</v>
      </c>
      <c r="J383" s="11">
        <v>1</v>
      </c>
      <c r="K383" s="11">
        <v>1</v>
      </c>
      <c r="L383" s="11">
        <v>1</v>
      </c>
      <c r="M383" s="11">
        <v>1</v>
      </c>
      <c r="N383" s="11">
        <v>1</v>
      </c>
      <c r="O383" s="11">
        <v>1</v>
      </c>
    </row>
    <row r="384" spans="2:15" s="11" customFormat="1" x14ac:dyDescent="0.15">
      <c r="B384" s="11" t="s">
        <v>2852</v>
      </c>
      <c r="E384" s="11" t="s">
        <v>451</v>
      </c>
      <c r="F384" s="11">
        <v>0</v>
      </c>
      <c r="G384" s="11">
        <v>1</v>
      </c>
      <c r="H384" s="11">
        <v>1</v>
      </c>
      <c r="I384" s="11">
        <v>1</v>
      </c>
      <c r="J384" s="11">
        <v>1</v>
      </c>
      <c r="K384" s="11">
        <v>1</v>
      </c>
      <c r="L384" s="11">
        <v>1</v>
      </c>
      <c r="M384" s="11">
        <v>1</v>
      </c>
      <c r="N384" s="11">
        <v>1</v>
      </c>
      <c r="O384" s="11">
        <v>1</v>
      </c>
    </row>
    <row r="385" spans="2:15" s="11" customFormat="1" x14ac:dyDescent="0.15">
      <c r="B385" s="11" t="s">
        <v>2854</v>
      </c>
      <c r="E385" s="11" t="s">
        <v>448</v>
      </c>
      <c r="F385" s="11">
        <v>0</v>
      </c>
      <c r="G385" s="11">
        <v>1</v>
      </c>
      <c r="H385" s="11">
        <v>1</v>
      </c>
      <c r="I385" s="11">
        <v>1</v>
      </c>
      <c r="J385" s="11">
        <v>1</v>
      </c>
      <c r="K385" s="11">
        <v>1</v>
      </c>
      <c r="L385" s="11">
        <v>1</v>
      </c>
      <c r="M385" s="11">
        <v>1</v>
      </c>
      <c r="N385" s="11">
        <v>1</v>
      </c>
      <c r="O385" s="11">
        <v>1</v>
      </c>
    </row>
    <row r="386" spans="2:15" s="11" customFormat="1" x14ac:dyDescent="0.15">
      <c r="B386" s="11" t="s">
        <v>2858</v>
      </c>
      <c r="E386" s="11" t="s">
        <v>450</v>
      </c>
      <c r="F386" s="11">
        <v>0</v>
      </c>
      <c r="G386" s="11">
        <v>1</v>
      </c>
      <c r="H386" s="11">
        <v>1</v>
      </c>
      <c r="I386" s="11">
        <v>1</v>
      </c>
      <c r="J386" s="11">
        <v>1</v>
      </c>
      <c r="K386" s="11">
        <v>1</v>
      </c>
      <c r="L386" s="11">
        <v>1</v>
      </c>
      <c r="M386" s="11">
        <v>1</v>
      </c>
      <c r="N386" s="11">
        <v>1</v>
      </c>
      <c r="O386" s="11">
        <v>1</v>
      </c>
    </row>
    <row r="387" spans="2:15" s="11" customFormat="1" x14ac:dyDescent="0.15">
      <c r="B387" s="11" t="s">
        <v>2865</v>
      </c>
      <c r="E387" s="11" t="s">
        <v>447</v>
      </c>
      <c r="F387" s="11">
        <v>0</v>
      </c>
      <c r="G387" s="11">
        <v>1</v>
      </c>
      <c r="H387" s="11">
        <v>1</v>
      </c>
      <c r="I387" s="11">
        <v>1</v>
      </c>
      <c r="J387" s="11">
        <v>1</v>
      </c>
      <c r="K387" s="11">
        <v>1</v>
      </c>
      <c r="L387" s="11">
        <v>1</v>
      </c>
      <c r="M387" s="11">
        <v>1</v>
      </c>
      <c r="N387" s="11">
        <v>1</v>
      </c>
      <c r="O387" s="11">
        <v>1</v>
      </c>
    </row>
    <row r="388" spans="2:15" s="11" customFormat="1" x14ac:dyDescent="0.15">
      <c r="B388" s="11" t="s">
        <v>2867</v>
      </c>
      <c r="E388" s="11" t="s">
        <v>451</v>
      </c>
      <c r="F388" s="11">
        <v>0</v>
      </c>
      <c r="G388" s="11">
        <v>1</v>
      </c>
      <c r="H388" s="11">
        <v>1</v>
      </c>
      <c r="I388" s="11">
        <v>1</v>
      </c>
      <c r="J388" s="11">
        <v>1</v>
      </c>
      <c r="K388" s="11">
        <v>1</v>
      </c>
      <c r="L388" s="11">
        <v>1</v>
      </c>
      <c r="M388" s="11">
        <v>1</v>
      </c>
      <c r="N388" s="11">
        <v>1</v>
      </c>
      <c r="O388" s="11">
        <v>1</v>
      </c>
    </row>
    <row r="389" spans="2:15" s="11" customFormat="1" x14ac:dyDescent="0.15">
      <c r="B389" s="11" t="s">
        <v>2121</v>
      </c>
      <c r="E389" s="11" t="s">
        <v>448</v>
      </c>
      <c r="F389" s="11">
        <v>0</v>
      </c>
      <c r="G389" s="11">
        <v>1</v>
      </c>
      <c r="H389" s="11">
        <v>1</v>
      </c>
      <c r="I389" s="11">
        <v>1</v>
      </c>
      <c r="J389" s="11">
        <v>1</v>
      </c>
      <c r="K389" s="11">
        <v>1</v>
      </c>
      <c r="L389" s="11">
        <v>1</v>
      </c>
      <c r="M389" s="11">
        <v>1</v>
      </c>
      <c r="N389" s="11">
        <v>1</v>
      </c>
      <c r="O389" s="11">
        <v>1</v>
      </c>
    </row>
    <row r="390" spans="2:15" s="11" customFormat="1" x14ac:dyDescent="0.15">
      <c r="B390" s="11" t="s">
        <v>2123</v>
      </c>
      <c r="E390" s="11" t="s">
        <v>447</v>
      </c>
      <c r="F390" s="11">
        <v>0</v>
      </c>
      <c r="G390" s="11">
        <v>1</v>
      </c>
      <c r="H390" s="11">
        <v>1</v>
      </c>
      <c r="I390" s="11">
        <v>1</v>
      </c>
      <c r="J390" s="11">
        <v>1</v>
      </c>
      <c r="K390" s="11">
        <v>1</v>
      </c>
      <c r="L390" s="11">
        <v>1</v>
      </c>
      <c r="M390" s="11">
        <v>1</v>
      </c>
      <c r="N390" s="11">
        <v>1</v>
      </c>
      <c r="O390" s="11">
        <v>1</v>
      </c>
    </row>
    <row r="391" spans="2:15" s="11" customFormat="1" x14ac:dyDescent="0.15">
      <c r="B391" s="11" t="s">
        <v>2869</v>
      </c>
      <c r="E391" s="11" t="s">
        <v>446</v>
      </c>
      <c r="F391" s="11">
        <v>0</v>
      </c>
      <c r="G391" s="11">
        <v>1</v>
      </c>
      <c r="H391" s="11">
        <v>1</v>
      </c>
      <c r="I391" s="11">
        <v>1</v>
      </c>
      <c r="J391" s="11">
        <v>1</v>
      </c>
      <c r="K391" s="11">
        <v>1</v>
      </c>
      <c r="L391" s="11">
        <v>1</v>
      </c>
      <c r="M391" s="11">
        <v>1</v>
      </c>
      <c r="N391" s="11">
        <v>1</v>
      </c>
      <c r="O391" s="11">
        <v>1</v>
      </c>
    </row>
    <row r="392" spans="2:15" s="11" customFormat="1" x14ac:dyDescent="0.15">
      <c r="B392" s="11" t="s">
        <v>2873</v>
      </c>
      <c r="E392" s="11" t="s">
        <v>453</v>
      </c>
      <c r="F392" s="11">
        <v>0</v>
      </c>
      <c r="G392" s="11">
        <v>1</v>
      </c>
      <c r="H392" s="11">
        <v>1</v>
      </c>
      <c r="I392" s="11">
        <v>1</v>
      </c>
      <c r="J392" s="11">
        <v>1</v>
      </c>
      <c r="K392" s="11">
        <v>1</v>
      </c>
      <c r="L392" s="11">
        <v>1</v>
      </c>
      <c r="M392" s="11">
        <v>1</v>
      </c>
      <c r="N392" s="11">
        <v>1</v>
      </c>
      <c r="O392" s="11">
        <v>1</v>
      </c>
    </row>
    <row r="393" spans="2:15" s="11" customFormat="1" x14ac:dyDescent="0.15">
      <c r="B393" s="11" t="s">
        <v>2125</v>
      </c>
      <c r="E393" s="11" t="s">
        <v>451</v>
      </c>
      <c r="F393" s="11">
        <v>0</v>
      </c>
      <c r="G393" s="11">
        <v>1</v>
      </c>
      <c r="H393" s="11">
        <v>1</v>
      </c>
      <c r="I393" s="11">
        <v>1</v>
      </c>
      <c r="J393" s="11">
        <v>1</v>
      </c>
      <c r="K393" s="11">
        <v>1</v>
      </c>
      <c r="L393" s="11">
        <v>1</v>
      </c>
      <c r="M393" s="11">
        <v>1</v>
      </c>
      <c r="N393" s="11">
        <v>1</v>
      </c>
      <c r="O393" s="11">
        <v>1</v>
      </c>
    </row>
    <row r="394" spans="2:15" s="11" customFormat="1" x14ac:dyDescent="0.15">
      <c r="B394" s="11" t="s">
        <v>2880</v>
      </c>
      <c r="E394" s="11" t="s">
        <v>447</v>
      </c>
      <c r="F394" s="11">
        <v>0</v>
      </c>
      <c r="G394" s="11">
        <v>1</v>
      </c>
      <c r="H394" s="11">
        <v>1</v>
      </c>
      <c r="I394" s="11">
        <v>1</v>
      </c>
      <c r="J394" s="11">
        <v>1</v>
      </c>
      <c r="K394" s="11">
        <v>1</v>
      </c>
      <c r="L394" s="11">
        <v>1</v>
      </c>
      <c r="M394" s="11">
        <v>1</v>
      </c>
      <c r="N394" s="11">
        <v>1</v>
      </c>
      <c r="O394" s="11">
        <v>1</v>
      </c>
    </row>
    <row r="395" spans="2:15" s="11" customFormat="1" x14ac:dyDescent="0.15">
      <c r="B395" s="11" t="s">
        <v>2882</v>
      </c>
      <c r="E395" s="11" t="s">
        <v>446</v>
      </c>
      <c r="F395" s="11">
        <v>0</v>
      </c>
      <c r="G395" s="11">
        <v>1</v>
      </c>
      <c r="H395" s="11">
        <v>1</v>
      </c>
      <c r="I395" s="11">
        <v>1</v>
      </c>
      <c r="J395" s="11">
        <v>1</v>
      </c>
      <c r="K395" s="11">
        <v>1</v>
      </c>
      <c r="L395" s="11">
        <v>1</v>
      </c>
      <c r="M395" s="11">
        <v>1</v>
      </c>
      <c r="N395" s="11">
        <v>1</v>
      </c>
      <c r="O395" s="11">
        <v>1</v>
      </c>
    </row>
    <row r="396" spans="2:15" s="11" customFormat="1" x14ac:dyDescent="0.15">
      <c r="B396" s="11" t="s">
        <v>2127</v>
      </c>
      <c r="E396" s="11" t="s">
        <v>448</v>
      </c>
      <c r="F396" s="11">
        <v>0</v>
      </c>
      <c r="G396" s="11">
        <v>1</v>
      </c>
      <c r="H396" s="11">
        <v>1</v>
      </c>
      <c r="I396" s="11">
        <v>1</v>
      </c>
      <c r="J396" s="11">
        <v>1</v>
      </c>
      <c r="K396" s="11">
        <v>1</v>
      </c>
      <c r="L396" s="11">
        <v>1</v>
      </c>
      <c r="M396" s="11">
        <v>1</v>
      </c>
      <c r="N396" s="11">
        <v>1</v>
      </c>
      <c r="O396" s="11">
        <v>1</v>
      </c>
    </row>
    <row r="397" spans="2:15" s="11" customFormat="1" x14ac:dyDescent="0.15">
      <c r="B397" s="11" t="s">
        <v>2884</v>
      </c>
      <c r="E397" s="11" t="s">
        <v>450</v>
      </c>
      <c r="F397" s="11">
        <v>0</v>
      </c>
      <c r="G397" s="11">
        <v>1</v>
      </c>
      <c r="H397" s="11">
        <v>1</v>
      </c>
      <c r="I397" s="11">
        <v>1</v>
      </c>
      <c r="J397" s="11">
        <v>1</v>
      </c>
      <c r="K397" s="11">
        <v>1</v>
      </c>
      <c r="L397" s="11">
        <v>1</v>
      </c>
      <c r="M397" s="11">
        <v>1</v>
      </c>
      <c r="N397" s="11">
        <v>1</v>
      </c>
      <c r="O397" s="11">
        <v>1</v>
      </c>
    </row>
    <row r="398" spans="2:15" s="11" customFormat="1" x14ac:dyDescent="0.15">
      <c r="B398" s="11" t="s">
        <v>2886</v>
      </c>
      <c r="E398" s="11" t="s">
        <v>447</v>
      </c>
      <c r="F398" s="11">
        <v>0</v>
      </c>
      <c r="G398" s="11">
        <v>1</v>
      </c>
      <c r="H398" s="11">
        <v>1</v>
      </c>
      <c r="I398" s="11">
        <v>1</v>
      </c>
      <c r="J398" s="11">
        <v>1</v>
      </c>
      <c r="K398" s="11">
        <v>1</v>
      </c>
      <c r="L398" s="11">
        <v>1</v>
      </c>
      <c r="M398" s="11">
        <v>1</v>
      </c>
      <c r="N398" s="11">
        <v>1</v>
      </c>
      <c r="O398" s="11">
        <v>1</v>
      </c>
    </row>
    <row r="399" spans="2:15" s="11" customFormat="1" x14ac:dyDescent="0.15">
      <c r="B399" s="11" t="s">
        <v>2129</v>
      </c>
      <c r="E399" s="11" t="s">
        <v>446</v>
      </c>
      <c r="F399" s="11">
        <v>0</v>
      </c>
      <c r="G399" s="11">
        <v>1</v>
      </c>
      <c r="H399" s="11">
        <v>1</v>
      </c>
      <c r="I399" s="11">
        <v>1</v>
      </c>
      <c r="J399" s="11">
        <v>1</v>
      </c>
      <c r="K399" s="11">
        <v>1</v>
      </c>
      <c r="L399" s="11">
        <v>1</v>
      </c>
      <c r="M399" s="11">
        <v>1</v>
      </c>
      <c r="N399" s="11">
        <v>1</v>
      </c>
      <c r="O399" s="11">
        <v>1</v>
      </c>
    </row>
    <row r="400" spans="2:15" s="11" customFormat="1" x14ac:dyDescent="0.15">
      <c r="B400" s="11" t="s">
        <v>2131</v>
      </c>
      <c r="E400" s="11" t="s">
        <v>452</v>
      </c>
      <c r="F400" s="11">
        <v>0</v>
      </c>
      <c r="G400" s="11">
        <v>1</v>
      </c>
      <c r="H400" s="11">
        <v>1</v>
      </c>
      <c r="I400" s="11">
        <v>1</v>
      </c>
      <c r="J400" s="11">
        <v>1</v>
      </c>
      <c r="K400" s="11">
        <v>1</v>
      </c>
      <c r="L400" s="11">
        <v>1</v>
      </c>
      <c r="M400" s="11">
        <v>1</v>
      </c>
      <c r="N400" s="11">
        <v>1</v>
      </c>
      <c r="O400" s="11">
        <v>1</v>
      </c>
    </row>
    <row r="401" spans="2:15" s="11" customFormat="1" x14ac:dyDescent="0.15">
      <c r="B401" s="11" t="s">
        <v>2888</v>
      </c>
      <c r="E401" s="11" t="s">
        <v>451</v>
      </c>
      <c r="F401" s="11">
        <v>0</v>
      </c>
      <c r="G401" s="11">
        <v>1</v>
      </c>
      <c r="H401" s="11">
        <v>1</v>
      </c>
      <c r="I401" s="11">
        <v>1</v>
      </c>
      <c r="J401" s="11">
        <v>1</v>
      </c>
      <c r="K401" s="11">
        <v>1</v>
      </c>
      <c r="L401" s="11">
        <v>1</v>
      </c>
      <c r="M401" s="11">
        <v>1</v>
      </c>
      <c r="N401" s="11">
        <v>1</v>
      </c>
      <c r="O401" s="11">
        <v>1</v>
      </c>
    </row>
    <row r="402" spans="2:15" s="11" customFormat="1" x14ac:dyDescent="0.15">
      <c r="B402" s="11" t="s">
        <v>2890</v>
      </c>
      <c r="E402" s="11" t="s">
        <v>447</v>
      </c>
      <c r="F402" s="11">
        <v>0</v>
      </c>
      <c r="G402" s="11">
        <v>1</v>
      </c>
      <c r="H402" s="11">
        <v>1</v>
      </c>
      <c r="I402" s="11">
        <v>1</v>
      </c>
      <c r="J402" s="11">
        <v>1</v>
      </c>
      <c r="K402" s="11">
        <v>1</v>
      </c>
      <c r="L402" s="11">
        <v>1</v>
      </c>
      <c r="M402" s="11">
        <v>1</v>
      </c>
      <c r="N402" s="11">
        <v>1</v>
      </c>
      <c r="O402" s="11">
        <v>1</v>
      </c>
    </row>
    <row r="403" spans="2:15" s="11" customFormat="1" x14ac:dyDescent="0.15">
      <c r="B403" s="11" t="s">
        <v>2892</v>
      </c>
      <c r="E403" s="11" t="s">
        <v>446</v>
      </c>
      <c r="F403" s="11">
        <v>0</v>
      </c>
      <c r="G403" s="11">
        <v>1</v>
      </c>
      <c r="H403" s="11">
        <v>1</v>
      </c>
      <c r="I403" s="11">
        <v>1</v>
      </c>
      <c r="J403" s="11">
        <v>1</v>
      </c>
      <c r="K403" s="11">
        <v>1</v>
      </c>
      <c r="L403" s="11">
        <v>1</v>
      </c>
      <c r="M403" s="11">
        <v>1</v>
      </c>
      <c r="N403" s="11">
        <v>1</v>
      </c>
      <c r="O403" s="11">
        <v>1</v>
      </c>
    </row>
    <row r="404" spans="2:15" s="11" customFormat="1" x14ac:dyDescent="0.15">
      <c r="B404" s="11" t="s">
        <v>2894</v>
      </c>
      <c r="E404" s="11" t="s">
        <v>453</v>
      </c>
      <c r="F404" s="11">
        <v>0</v>
      </c>
      <c r="G404" s="11">
        <v>1</v>
      </c>
      <c r="H404" s="11">
        <v>1</v>
      </c>
      <c r="I404" s="11">
        <v>1</v>
      </c>
      <c r="J404" s="11">
        <v>1</v>
      </c>
      <c r="K404" s="11">
        <v>1</v>
      </c>
      <c r="L404" s="11">
        <v>1</v>
      </c>
      <c r="M404" s="11">
        <v>1</v>
      </c>
      <c r="N404" s="11">
        <v>1</v>
      </c>
      <c r="O404" s="11">
        <v>1</v>
      </c>
    </row>
    <row r="405" spans="2:15" s="11" customFormat="1" x14ac:dyDescent="0.15">
      <c r="B405" s="11" t="s">
        <v>2896</v>
      </c>
      <c r="E405" s="11" t="s">
        <v>451</v>
      </c>
      <c r="F405" s="11">
        <v>0</v>
      </c>
      <c r="G405" s="11">
        <v>1</v>
      </c>
      <c r="H405" s="11">
        <v>1</v>
      </c>
      <c r="I405" s="11">
        <v>1</v>
      </c>
      <c r="J405" s="11">
        <v>1</v>
      </c>
      <c r="K405" s="11">
        <v>1</v>
      </c>
      <c r="L405" s="11">
        <v>1</v>
      </c>
      <c r="M405" s="11">
        <v>1</v>
      </c>
      <c r="N405" s="11">
        <v>1</v>
      </c>
      <c r="O405" s="11">
        <v>1</v>
      </c>
    </row>
    <row r="406" spans="2:15" s="11" customFormat="1" x14ac:dyDescent="0.15">
      <c r="B406" s="11" t="s">
        <v>2898</v>
      </c>
      <c r="E406" s="11" t="s">
        <v>448</v>
      </c>
      <c r="F406" s="11">
        <v>0</v>
      </c>
      <c r="G406" s="11">
        <v>1</v>
      </c>
      <c r="H406" s="11">
        <v>1</v>
      </c>
      <c r="I406" s="11">
        <v>1</v>
      </c>
      <c r="J406" s="11">
        <v>1</v>
      </c>
      <c r="K406" s="11">
        <v>1</v>
      </c>
      <c r="L406" s="11">
        <v>1</v>
      </c>
      <c r="M406" s="11">
        <v>1</v>
      </c>
      <c r="N406" s="11">
        <v>1</v>
      </c>
      <c r="O406" s="11">
        <v>1</v>
      </c>
    </row>
    <row r="407" spans="2:15" s="11" customFormat="1" x14ac:dyDescent="0.15">
      <c r="B407" s="11" t="s">
        <v>2900</v>
      </c>
      <c r="E407" s="11" t="s">
        <v>447</v>
      </c>
      <c r="F407" s="11">
        <v>0</v>
      </c>
      <c r="G407" s="11">
        <v>1</v>
      </c>
      <c r="H407" s="11">
        <v>1</v>
      </c>
      <c r="I407" s="11">
        <v>1</v>
      </c>
      <c r="J407" s="11">
        <v>1</v>
      </c>
      <c r="K407" s="11">
        <v>1</v>
      </c>
      <c r="L407" s="11">
        <v>1</v>
      </c>
      <c r="M407" s="11">
        <v>1</v>
      </c>
      <c r="N407" s="11">
        <v>1</v>
      </c>
      <c r="O407" s="11">
        <v>1</v>
      </c>
    </row>
    <row r="408" spans="2:15" s="11" customFormat="1" x14ac:dyDescent="0.15">
      <c r="B408" s="11" t="s">
        <v>2902</v>
      </c>
      <c r="E408" s="11" t="s">
        <v>446</v>
      </c>
      <c r="F408" s="11">
        <v>0</v>
      </c>
      <c r="G408" s="11">
        <v>1</v>
      </c>
      <c r="H408" s="11">
        <v>1</v>
      </c>
      <c r="I408" s="11">
        <v>1</v>
      </c>
      <c r="J408" s="11">
        <v>1</v>
      </c>
      <c r="K408" s="11">
        <v>1</v>
      </c>
      <c r="L408" s="11">
        <v>1</v>
      </c>
      <c r="M408" s="11">
        <v>1</v>
      </c>
      <c r="N408" s="11">
        <v>1</v>
      </c>
      <c r="O408" s="11">
        <v>1</v>
      </c>
    </row>
    <row r="409" spans="2:15" s="11" customFormat="1" x14ac:dyDescent="0.15">
      <c r="B409" s="11" t="s">
        <v>250</v>
      </c>
    </row>
    <row r="410" spans="2:15" s="11" customFormat="1" x14ac:dyDescent="0.15">
      <c r="B410" s="11" t="s">
        <v>250</v>
      </c>
    </row>
    <row r="411" spans="2:15" s="11" customFormat="1" x14ac:dyDescent="0.15">
      <c r="B411" s="11" t="s">
        <v>250</v>
      </c>
    </row>
    <row r="412" spans="2:15" s="11" customFormat="1" x14ac:dyDescent="0.15">
      <c r="B412" s="11" t="s">
        <v>250</v>
      </c>
    </row>
    <row r="413" spans="2:15" s="11" customFormat="1" x14ac:dyDescent="0.15">
      <c r="B413" s="11" t="s">
        <v>250</v>
      </c>
    </row>
    <row r="414" spans="2:15" s="11" customFormat="1" x14ac:dyDescent="0.15">
      <c r="B414" s="11" t="s">
        <v>250</v>
      </c>
    </row>
    <row r="415" spans="2:15" s="11" customFormat="1" x14ac:dyDescent="0.15">
      <c r="B415" s="11" t="s">
        <v>250</v>
      </c>
    </row>
    <row r="416" spans="2:15" s="11" customFormat="1" x14ac:dyDescent="0.15">
      <c r="B416" s="11" t="s">
        <v>250</v>
      </c>
    </row>
    <row r="417" spans="2:2" s="11" customFormat="1" x14ac:dyDescent="0.15">
      <c r="B417" s="11" t="s">
        <v>250</v>
      </c>
    </row>
    <row r="418" spans="2:2" s="11" customFormat="1" x14ac:dyDescent="0.15">
      <c r="B418" s="11" t="s">
        <v>250</v>
      </c>
    </row>
    <row r="419" spans="2:2" s="11" customFormat="1" x14ac:dyDescent="0.15">
      <c r="B419" s="11" t="s">
        <v>250</v>
      </c>
    </row>
    <row r="420" spans="2:2" s="11" customFormat="1" x14ac:dyDescent="0.15">
      <c r="B420" s="11" t="s">
        <v>250</v>
      </c>
    </row>
    <row r="421" spans="2:2" s="11" customFormat="1" x14ac:dyDescent="0.15">
      <c r="B421" s="11" t="s">
        <v>250</v>
      </c>
    </row>
    <row r="422" spans="2:2" s="11" customFormat="1" x14ac:dyDescent="0.15">
      <c r="B422" s="11" t="s">
        <v>250</v>
      </c>
    </row>
    <row r="423" spans="2:2" s="11" customFormat="1" x14ac:dyDescent="0.15">
      <c r="B423" s="11" t="s">
        <v>250</v>
      </c>
    </row>
    <row r="424" spans="2:2" s="11" customFormat="1" x14ac:dyDescent="0.15">
      <c r="B424" s="11" t="s">
        <v>250</v>
      </c>
    </row>
    <row r="425" spans="2:2" s="11" customFormat="1" x14ac:dyDescent="0.15">
      <c r="B425" s="11" t="s">
        <v>250</v>
      </c>
    </row>
    <row r="426" spans="2:2" s="11" customFormat="1" x14ac:dyDescent="0.15">
      <c r="B426" s="11" t="s">
        <v>250</v>
      </c>
    </row>
    <row r="427" spans="2:2" s="11" customFormat="1" x14ac:dyDescent="0.15">
      <c r="B427" s="11" t="s">
        <v>250</v>
      </c>
    </row>
    <row r="428" spans="2:2" s="11" customFormat="1" x14ac:dyDescent="0.15">
      <c r="B428" s="11" t="s">
        <v>250</v>
      </c>
    </row>
    <row r="429" spans="2:2" s="11" customFormat="1" x14ac:dyDescent="0.15">
      <c r="B429" s="11" t="s">
        <v>250</v>
      </c>
    </row>
    <row r="430" spans="2:2" s="11" customFormat="1" x14ac:dyDescent="0.15">
      <c r="B430" s="11" t="s">
        <v>250</v>
      </c>
    </row>
    <row r="431" spans="2:2" s="11" customFormat="1" x14ac:dyDescent="0.15">
      <c r="B431" s="11" t="s">
        <v>250</v>
      </c>
    </row>
    <row r="432" spans="2:2" s="11" customFormat="1" x14ac:dyDescent="0.15">
      <c r="B432" s="11" t="s">
        <v>250</v>
      </c>
    </row>
    <row r="433" spans="2:2" s="11" customFormat="1" x14ac:dyDescent="0.15">
      <c r="B433" s="11" t="s">
        <v>250</v>
      </c>
    </row>
    <row r="434" spans="2:2" s="11" customFormat="1" x14ac:dyDescent="0.15">
      <c r="B434" s="11" t="s">
        <v>250</v>
      </c>
    </row>
    <row r="435" spans="2:2" s="11" customFormat="1" x14ac:dyDescent="0.15">
      <c r="B435" s="11" t="s">
        <v>250</v>
      </c>
    </row>
    <row r="436" spans="2:2" s="11" customFormat="1" x14ac:dyDescent="0.15">
      <c r="B436" s="11" t="s">
        <v>250</v>
      </c>
    </row>
    <row r="437" spans="2:2" s="11" customFormat="1" x14ac:dyDescent="0.15">
      <c r="B437" s="11" t="s">
        <v>250</v>
      </c>
    </row>
    <row r="438" spans="2:2" s="11" customFormat="1" x14ac:dyDescent="0.15">
      <c r="B438" s="11" t="s">
        <v>250</v>
      </c>
    </row>
    <row r="439" spans="2:2" s="11" customFormat="1" x14ac:dyDescent="0.15">
      <c r="B439" s="11" t="s">
        <v>250</v>
      </c>
    </row>
    <row r="440" spans="2:2" s="11" customFormat="1" x14ac:dyDescent="0.15">
      <c r="B440" s="11" t="s">
        <v>250</v>
      </c>
    </row>
    <row r="441" spans="2:2" s="11" customFormat="1" x14ac:dyDescent="0.15">
      <c r="B441" s="11" t="s">
        <v>250</v>
      </c>
    </row>
    <row r="442" spans="2:2" s="11" customFormat="1" x14ac:dyDescent="0.15">
      <c r="B442" s="11" t="s">
        <v>250</v>
      </c>
    </row>
    <row r="443" spans="2:2" s="11" customFormat="1" x14ac:dyDescent="0.15">
      <c r="B443" s="11" t="s">
        <v>250</v>
      </c>
    </row>
    <row r="444" spans="2:2" s="11" customFormat="1" x14ac:dyDescent="0.15">
      <c r="B444" s="11" t="s">
        <v>250</v>
      </c>
    </row>
    <row r="445" spans="2:2" s="11" customFormat="1" x14ac:dyDescent="0.15">
      <c r="B445" s="11" t="s">
        <v>250</v>
      </c>
    </row>
    <row r="446" spans="2:2" s="11" customFormat="1" x14ac:dyDescent="0.15">
      <c r="B446" s="11" t="s">
        <v>250</v>
      </c>
    </row>
    <row r="447" spans="2:2" s="11" customFormat="1" x14ac:dyDescent="0.15">
      <c r="B447" s="11" t="s">
        <v>250</v>
      </c>
    </row>
    <row r="448" spans="2:2" s="11" customFormat="1" x14ac:dyDescent="0.15">
      <c r="B448" s="11" t="s">
        <v>250</v>
      </c>
    </row>
    <row r="449" spans="2:2" s="11" customFormat="1" x14ac:dyDescent="0.15">
      <c r="B449" s="11" t="s">
        <v>250</v>
      </c>
    </row>
    <row r="450" spans="2:2" s="11" customFormat="1" x14ac:dyDescent="0.15">
      <c r="B450" s="11" t="s">
        <v>250</v>
      </c>
    </row>
    <row r="451" spans="2:2" s="11" customFormat="1" x14ac:dyDescent="0.15">
      <c r="B451" s="11" t="s">
        <v>250</v>
      </c>
    </row>
    <row r="452" spans="2:2" s="11" customFormat="1" x14ac:dyDescent="0.15">
      <c r="B452" s="11" t="s">
        <v>250</v>
      </c>
    </row>
    <row r="453" spans="2:2" s="11" customFormat="1" x14ac:dyDescent="0.15">
      <c r="B453" s="11" t="s">
        <v>250</v>
      </c>
    </row>
    <row r="454" spans="2:2" s="11" customFormat="1" x14ac:dyDescent="0.15">
      <c r="B454" s="11" t="s">
        <v>250</v>
      </c>
    </row>
    <row r="455" spans="2:2" s="11" customFormat="1" x14ac:dyDescent="0.15">
      <c r="B455" s="11" t="s">
        <v>250</v>
      </c>
    </row>
    <row r="456" spans="2:2" s="11" customFormat="1" x14ac:dyDescent="0.15">
      <c r="B456" s="11" t="s">
        <v>250</v>
      </c>
    </row>
    <row r="457" spans="2:2" s="11" customFormat="1" x14ac:dyDescent="0.15">
      <c r="B457" s="11" t="s">
        <v>250</v>
      </c>
    </row>
    <row r="458" spans="2:2" s="11" customFormat="1" x14ac:dyDescent="0.15">
      <c r="B458" s="11" t="s">
        <v>250</v>
      </c>
    </row>
    <row r="459" spans="2:2" s="11" customFormat="1" x14ac:dyDescent="0.15">
      <c r="B459" s="11" t="s">
        <v>250</v>
      </c>
    </row>
    <row r="460" spans="2:2" s="11" customFormat="1" x14ac:dyDescent="0.15">
      <c r="B460" s="11" t="s">
        <v>250</v>
      </c>
    </row>
    <row r="461" spans="2:2" s="11" customFormat="1" x14ac:dyDescent="0.15">
      <c r="B461" s="11" t="s">
        <v>250</v>
      </c>
    </row>
    <row r="462" spans="2:2" s="11" customFormat="1" x14ac:dyDescent="0.15">
      <c r="B462" s="11" t="s">
        <v>250</v>
      </c>
    </row>
    <row r="463" spans="2:2" s="11" customFormat="1" x14ac:dyDescent="0.15">
      <c r="B463" s="11" t="s">
        <v>250</v>
      </c>
    </row>
    <row r="464" spans="2:2" s="11" customFormat="1" x14ac:dyDescent="0.15">
      <c r="B464" s="11" t="s">
        <v>250</v>
      </c>
    </row>
    <row r="465" spans="2:2" s="11" customFormat="1" x14ac:dyDescent="0.15">
      <c r="B465" s="11" t="s">
        <v>250</v>
      </c>
    </row>
    <row r="466" spans="2:2" s="11" customFormat="1" x14ac:dyDescent="0.15">
      <c r="B466" s="11" t="s">
        <v>250</v>
      </c>
    </row>
    <row r="467" spans="2:2" s="11" customFormat="1" x14ac:dyDescent="0.15">
      <c r="B467" s="11" t="s">
        <v>250</v>
      </c>
    </row>
    <row r="468" spans="2:2" s="11" customFormat="1" x14ac:dyDescent="0.15">
      <c r="B468" s="11" t="s">
        <v>250</v>
      </c>
    </row>
    <row r="469" spans="2:2" s="11" customFormat="1" x14ac:dyDescent="0.15">
      <c r="B469" s="11" t="s">
        <v>250</v>
      </c>
    </row>
    <row r="470" spans="2:2" s="11" customFormat="1" x14ac:dyDescent="0.15">
      <c r="B470" s="11" t="s">
        <v>250</v>
      </c>
    </row>
    <row r="471" spans="2:2" s="11" customFormat="1" x14ac:dyDescent="0.15">
      <c r="B471" s="11" t="s">
        <v>250</v>
      </c>
    </row>
    <row r="472" spans="2:2" s="11" customFormat="1" x14ac:dyDescent="0.15">
      <c r="B472" s="11" t="s">
        <v>250</v>
      </c>
    </row>
    <row r="473" spans="2:2" s="11" customFormat="1" x14ac:dyDescent="0.15">
      <c r="B473" s="11" t="s">
        <v>250</v>
      </c>
    </row>
    <row r="474" spans="2:2" s="11" customFormat="1" x14ac:dyDescent="0.15">
      <c r="B474" s="11" t="s">
        <v>250</v>
      </c>
    </row>
    <row r="475" spans="2:2" s="11" customFormat="1" x14ac:dyDescent="0.15">
      <c r="B475" s="11" t="s">
        <v>250</v>
      </c>
    </row>
    <row r="476" spans="2:2" s="11" customFormat="1" x14ac:dyDescent="0.15">
      <c r="B476" s="11" t="s">
        <v>250</v>
      </c>
    </row>
    <row r="477" spans="2:2" s="11" customFormat="1" x14ac:dyDescent="0.15">
      <c r="B477" s="11" t="s">
        <v>250</v>
      </c>
    </row>
    <row r="478" spans="2:2" s="11" customFormat="1" x14ac:dyDescent="0.15">
      <c r="B478" s="11" t="s">
        <v>250</v>
      </c>
    </row>
    <row r="479" spans="2:2" s="11" customFormat="1" x14ac:dyDescent="0.15">
      <c r="B479" s="11" t="s">
        <v>250</v>
      </c>
    </row>
    <row r="480" spans="2:2" s="11" customFormat="1" x14ac:dyDescent="0.15">
      <c r="B480" s="11" t="s">
        <v>250</v>
      </c>
    </row>
    <row r="481" spans="2:2" s="11" customFormat="1" x14ac:dyDescent="0.15">
      <c r="B481" s="11" t="s">
        <v>250</v>
      </c>
    </row>
    <row r="482" spans="2:2" s="11" customFormat="1" x14ac:dyDescent="0.15">
      <c r="B482" s="11" t="s">
        <v>250</v>
      </c>
    </row>
    <row r="483" spans="2:2" s="11" customFormat="1" x14ac:dyDescent="0.15">
      <c r="B483" s="11" t="s">
        <v>250</v>
      </c>
    </row>
    <row r="484" spans="2:2" s="11" customFormat="1" x14ac:dyDescent="0.15">
      <c r="B484" s="11" t="s">
        <v>250</v>
      </c>
    </row>
    <row r="485" spans="2:2" s="11" customFormat="1" x14ac:dyDescent="0.15">
      <c r="B485" s="11" t="s">
        <v>250</v>
      </c>
    </row>
    <row r="486" spans="2:2" s="11" customFormat="1" x14ac:dyDescent="0.15">
      <c r="B486" s="11" t="s">
        <v>250</v>
      </c>
    </row>
    <row r="487" spans="2:2" s="11" customFormat="1" x14ac:dyDescent="0.15">
      <c r="B487" s="11" t="s">
        <v>250</v>
      </c>
    </row>
    <row r="488" spans="2:2" s="11" customFormat="1" x14ac:dyDescent="0.15">
      <c r="B488" s="11" t="s">
        <v>250</v>
      </c>
    </row>
    <row r="489" spans="2:2" s="11" customFormat="1" x14ac:dyDescent="0.15">
      <c r="B489" s="11" t="s">
        <v>250</v>
      </c>
    </row>
    <row r="490" spans="2:2" s="11" customFormat="1" x14ac:dyDescent="0.15">
      <c r="B490" s="11" t="s">
        <v>250</v>
      </c>
    </row>
    <row r="491" spans="2:2" s="11" customFormat="1" x14ac:dyDescent="0.15">
      <c r="B491" s="11" t="s">
        <v>250</v>
      </c>
    </row>
    <row r="492" spans="2:2" s="11" customFormat="1" x14ac:dyDescent="0.15">
      <c r="B492" s="11" t="s">
        <v>250</v>
      </c>
    </row>
    <row r="493" spans="2:2" s="11" customFormat="1" x14ac:dyDescent="0.15">
      <c r="B493" s="11" t="s">
        <v>250</v>
      </c>
    </row>
    <row r="494" spans="2:2" s="11" customFormat="1" x14ac:dyDescent="0.15">
      <c r="B494" s="11" t="s">
        <v>250</v>
      </c>
    </row>
    <row r="495" spans="2:2" s="11" customFormat="1" x14ac:dyDescent="0.15">
      <c r="B495" s="11" t="s">
        <v>250</v>
      </c>
    </row>
    <row r="496" spans="2:2" s="11" customFormat="1" x14ac:dyDescent="0.15">
      <c r="B496" s="11" t="s">
        <v>250</v>
      </c>
    </row>
    <row r="497" spans="2:2" s="11" customFormat="1" x14ac:dyDescent="0.15">
      <c r="B497" s="11" t="s">
        <v>250</v>
      </c>
    </row>
    <row r="498" spans="2:2" s="11" customFormat="1" x14ac:dyDescent="0.15">
      <c r="B498" s="11" t="s">
        <v>250</v>
      </c>
    </row>
    <row r="499" spans="2:2" s="11" customFormat="1" x14ac:dyDescent="0.15">
      <c r="B499" s="11" t="s">
        <v>250</v>
      </c>
    </row>
    <row r="500" spans="2:2" s="11" customFormat="1" x14ac:dyDescent="0.15">
      <c r="B500" s="11" t="s">
        <v>250</v>
      </c>
    </row>
    <row r="501" spans="2:2" s="11" customFormat="1" x14ac:dyDescent="0.15">
      <c r="B501" s="11" t="s">
        <v>250</v>
      </c>
    </row>
    <row r="502" spans="2:2" s="11" customFormat="1" x14ac:dyDescent="0.15">
      <c r="B502" s="11" t="s">
        <v>250</v>
      </c>
    </row>
    <row r="503" spans="2:2" s="11" customFormat="1" x14ac:dyDescent="0.15">
      <c r="B503" s="11" t="s">
        <v>250</v>
      </c>
    </row>
    <row r="504" spans="2:2" s="11" customFormat="1" x14ac:dyDescent="0.15">
      <c r="B504" s="11" t="s">
        <v>250</v>
      </c>
    </row>
    <row r="505" spans="2:2" s="11" customFormat="1" x14ac:dyDescent="0.15">
      <c r="B505" s="11" t="s">
        <v>250</v>
      </c>
    </row>
    <row r="506" spans="2:2" s="11" customFormat="1" x14ac:dyDescent="0.15">
      <c r="B506" s="11" t="s">
        <v>250</v>
      </c>
    </row>
    <row r="507" spans="2:2" s="11" customFormat="1" x14ac:dyDescent="0.15">
      <c r="B507" s="11" t="s">
        <v>250</v>
      </c>
    </row>
    <row r="508" spans="2:2" s="11" customFormat="1" x14ac:dyDescent="0.15">
      <c r="B508" s="11" t="s">
        <v>250</v>
      </c>
    </row>
    <row r="509" spans="2:2" s="11" customFormat="1" x14ac:dyDescent="0.15">
      <c r="B509" s="11" t="s">
        <v>250</v>
      </c>
    </row>
    <row r="510" spans="2:2" s="11" customFormat="1" x14ac:dyDescent="0.15">
      <c r="B510" s="11" t="s">
        <v>250</v>
      </c>
    </row>
    <row r="511" spans="2:2" s="11" customFormat="1" x14ac:dyDescent="0.15">
      <c r="B511" s="11" t="s">
        <v>250</v>
      </c>
    </row>
    <row r="512" spans="2:2" s="11" customFormat="1" x14ac:dyDescent="0.15">
      <c r="B512" s="11" t="s">
        <v>250</v>
      </c>
    </row>
  </sheetData>
  <phoneticPr fontId="11" type="noConversion"/>
  <conditionalFormatting sqref="B513:B1048576">
    <cfRule type="duplicateValues" dxfId="1" priority="2"/>
  </conditionalFormatting>
  <conditionalFormatting sqref="B1:B512">
    <cfRule type="duplicateValues" dxfId="0" priority="1"/>
  </conditionalFormatting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90A2C4-3706-446E-AB0C-0CF2A991E1A4}">
  <sheetPr>
    <tabColor theme="2"/>
  </sheetPr>
  <dimension ref="A1:AA13"/>
  <sheetViews>
    <sheetView workbookViewId="0"/>
  </sheetViews>
  <sheetFormatPr defaultRowHeight="13.5" x14ac:dyDescent="0.15"/>
  <sheetData>
    <row r="1" spans="1:27" x14ac:dyDescent="0.15">
      <c r="A1" t="s">
        <v>3072</v>
      </c>
      <c r="B1" t="s">
        <v>3073</v>
      </c>
    </row>
    <row r="2" spans="1:27" x14ac:dyDescent="0.15">
      <c r="A2" t="s">
        <v>70</v>
      </c>
      <c r="B2" s="16" t="s">
        <v>3074</v>
      </c>
      <c r="C2" s="16" t="s">
        <v>3075</v>
      </c>
      <c r="D2" s="16" t="s">
        <v>3076</v>
      </c>
      <c r="E2" s="16" t="s">
        <v>71</v>
      </c>
      <c r="F2" s="16" t="s">
        <v>3077</v>
      </c>
      <c r="G2" s="16" t="s">
        <v>3078</v>
      </c>
      <c r="H2" s="16" t="s">
        <v>3079</v>
      </c>
      <c r="I2" s="16" t="s">
        <v>3080</v>
      </c>
      <c r="J2" s="16" t="s">
        <v>3081</v>
      </c>
      <c r="K2" s="16" t="s">
        <v>627</v>
      </c>
      <c r="L2" s="16" t="s">
        <v>3082</v>
      </c>
      <c r="M2" s="16" t="s">
        <v>205</v>
      </c>
      <c r="N2" s="16" t="s">
        <v>3083</v>
      </c>
      <c r="O2" s="16" t="s">
        <v>205</v>
      </c>
      <c r="P2" s="16" t="s">
        <v>3084</v>
      </c>
      <c r="Q2" s="16" t="s">
        <v>3085</v>
      </c>
      <c r="R2" s="16" t="s">
        <v>3086</v>
      </c>
      <c r="S2" s="16" t="s">
        <v>3087</v>
      </c>
      <c r="T2" s="16" t="s">
        <v>3088</v>
      </c>
      <c r="U2" s="16" t="s">
        <v>3089</v>
      </c>
      <c r="V2" s="16" t="s">
        <v>3090</v>
      </c>
      <c r="W2" s="16" t="s">
        <v>3091</v>
      </c>
      <c r="X2" s="16" t="s">
        <v>3092</v>
      </c>
      <c r="Y2" s="16" t="s">
        <v>3093</v>
      </c>
      <c r="Z2" s="16" t="s">
        <v>3094</v>
      </c>
      <c r="AA2" s="16" t="s">
        <v>3095</v>
      </c>
    </row>
    <row r="3" spans="1:27" x14ac:dyDescent="0.15">
      <c r="B3" s="15" t="s">
        <v>72</v>
      </c>
      <c r="C3" s="15" t="s">
        <v>72</v>
      </c>
      <c r="D3" s="15" t="s">
        <v>74</v>
      </c>
      <c r="E3" s="15" t="s">
        <v>73</v>
      </c>
      <c r="F3" s="15" t="s">
        <v>74</v>
      </c>
      <c r="G3" s="15" t="s">
        <v>74</v>
      </c>
      <c r="H3" s="15" t="s">
        <v>73</v>
      </c>
      <c r="I3" s="15" t="s">
        <v>74</v>
      </c>
      <c r="J3" s="15" t="s">
        <v>74</v>
      </c>
      <c r="K3" s="15" t="s">
        <v>74</v>
      </c>
      <c r="L3" s="15" t="s">
        <v>74</v>
      </c>
      <c r="M3" s="15" t="s">
        <v>73</v>
      </c>
      <c r="N3" s="15" t="s">
        <v>74</v>
      </c>
      <c r="O3" s="15" t="s">
        <v>73</v>
      </c>
      <c r="P3" s="15" t="s">
        <v>72</v>
      </c>
      <c r="Q3" s="15" t="s">
        <v>74</v>
      </c>
      <c r="R3" s="15" t="s">
        <v>72</v>
      </c>
      <c r="S3" s="15" t="s">
        <v>74</v>
      </c>
      <c r="T3" s="15" t="s">
        <v>74</v>
      </c>
      <c r="U3" s="15" t="s">
        <v>74</v>
      </c>
      <c r="V3" s="15" t="s">
        <v>72</v>
      </c>
      <c r="W3" s="15" t="s">
        <v>74</v>
      </c>
      <c r="X3" s="15" t="s">
        <v>74</v>
      </c>
      <c r="Y3" s="15" t="s">
        <v>74</v>
      </c>
      <c r="Z3" s="15" t="s">
        <v>74</v>
      </c>
      <c r="AA3" s="15" t="s">
        <v>95</v>
      </c>
    </row>
    <row r="4" spans="1:27" x14ac:dyDescent="0.15">
      <c r="B4" s="14" t="s">
        <v>75</v>
      </c>
      <c r="C4" s="14" t="s">
        <v>75</v>
      </c>
      <c r="D4" s="14" t="s">
        <v>75</v>
      </c>
      <c r="E4" s="14" t="s">
        <v>73</v>
      </c>
      <c r="F4" s="14" t="s">
        <v>75</v>
      </c>
      <c r="G4" s="14" t="s">
        <v>238</v>
      </c>
      <c r="H4" s="14" t="s">
        <v>73</v>
      </c>
      <c r="I4" s="14" t="s">
        <v>75</v>
      </c>
      <c r="J4" s="14" t="s">
        <v>75</v>
      </c>
      <c r="K4" s="14" t="s">
        <v>75</v>
      </c>
      <c r="L4" s="14" t="s">
        <v>75</v>
      </c>
      <c r="M4" s="14" t="s">
        <v>73</v>
      </c>
      <c r="N4" s="14" t="s">
        <v>75</v>
      </c>
      <c r="O4" s="14" t="s">
        <v>73</v>
      </c>
      <c r="P4" s="14" t="s">
        <v>238</v>
      </c>
      <c r="Q4" s="14" t="s">
        <v>75</v>
      </c>
      <c r="R4" s="14" t="s">
        <v>119</v>
      </c>
      <c r="S4" s="14" t="s">
        <v>329</v>
      </c>
      <c r="T4" s="14" t="s">
        <v>329</v>
      </c>
      <c r="U4" s="14" t="s">
        <v>330</v>
      </c>
      <c r="V4" s="14" t="s">
        <v>238</v>
      </c>
      <c r="W4" s="14" t="s">
        <v>329</v>
      </c>
      <c r="X4" s="14" t="s">
        <v>76</v>
      </c>
      <c r="Y4" s="14" t="s">
        <v>75</v>
      </c>
      <c r="Z4" s="14" t="s">
        <v>76</v>
      </c>
      <c r="AA4" s="14" t="s">
        <v>740</v>
      </c>
    </row>
    <row r="5" spans="1:27" x14ac:dyDescent="0.15">
      <c r="B5" s="15" t="s">
        <v>81</v>
      </c>
      <c r="C5" s="15" t="s">
        <v>82</v>
      </c>
      <c r="D5" s="15" t="s">
        <v>194</v>
      </c>
      <c r="E5" s="15" t="s">
        <v>193</v>
      </c>
      <c r="F5" s="15" t="s">
        <v>3096</v>
      </c>
      <c r="G5" s="15" t="s">
        <v>3097</v>
      </c>
      <c r="H5" s="15" t="s">
        <v>3098</v>
      </c>
      <c r="I5" s="15" t="s">
        <v>3099</v>
      </c>
      <c r="J5" s="15" t="s">
        <v>3100</v>
      </c>
      <c r="K5" s="15" t="s">
        <v>86</v>
      </c>
      <c r="L5" s="15" t="s">
        <v>3101</v>
      </c>
      <c r="M5" s="15" t="s">
        <v>3102</v>
      </c>
      <c r="N5" s="15" t="s">
        <v>83</v>
      </c>
      <c r="O5" s="15" t="s">
        <v>84</v>
      </c>
      <c r="P5" s="15" t="s">
        <v>3103</v>
      </c>
      <c r="Q5" s="15" t="s">
        <v>3104</v>
      </c>
      <c r="R5" s="15" t="s">
        <v>3105</v>
      </c>
      <c r="S5" s="15" t="s">
        <v>3106</v>
      </c>
      <c r="T5" s="15" t="s">
        <v>3107</v>
      </c>
      <c r="U5" s="15" t="s">
        <v>3108</v>
      </c>
      <c r="V5" s="15" t="s">
        <v>3109</v>
      </c>
      <c r="W5" s="15" t="s">
        <v>3110</v>
      </c>
      <c r="X5" s="15" t="s">
        <v>3111</v>
      </c>
      <c r="Y5" s="15" t="s">
        <v>3112</v>
      </c>
      <c r="Z5" s="15" t="s">
        <v>3113</v>
      </c>
      <c r="AA5" s="15" t="s">
        <v>3114</v>
      </c>
    </row>
    <row r="6" spans="1:27" x14ac:dyDescent="0.15">
      <c r="B6" s="14" t="s">
        <v>77</v>
      </c>
      <c r="C6" s="14" t="s">
        <v>3115</v>
      </c>
      <c r="D6" s="14" t="s">
        <v>78</v>
      </c>
      <c r="E6" s="14"/>
      <c r="F6" s="14"/>
      <c r="G6" s="14" t="s">
        <v>3116</v>
      </c>
      <c r="H6" s="14"/>
      <c r="I6" s="14" t="s">
        <v>3117</v>
      </c>
      <c r="J6" s="14"/>
      <c r="K6" s="14"/>
      <c r="L6" s="14" t="s">
        <v>78</v>
      </c>
      <c r="M6" s="14"/>
      <c r="N6" s="14" t="s">
        <v>78</v>
      </c>
      <c r="O6" s="14"/>
      <c r="P6" s="14" t="s">
        <v>3118</v>
      </c>
      <c r="Q6" s="14"/>
      <c r="R6" s="14"/>
      <c r="S6" s="14"/>
      <c r="T6" s="14"/>
      <c r="U6" s="14"/>
      <c r="V6" s="14" t="s">
        <v>3119</v>
      </c>
      <c r="W6" s="14"/>
      <c r="X6" s="14"/>
      <c r="Y6" s="14"/>
      <c r="Z6" s="14"/>
      <c r="AA6" s="14"/>
    </row>
    <row r="7" spans="1:27" s="11" customFormat="1" x14ac:dyDescent="0.15">
      <c r="B7" s="11" t="s">
        <v>3120</v>
      </c>
      <c r="C7" s="11" t="s">
        <v>3121</v>
      </c>
      <c r="E7" s="11" t="s">
        <v>3122</v>
      </c>
      <c r="L7" s="11" t="s">
        <v>3123</v>
      </c>
      <c r="N7" s="11" t="s">
        <v>3123</v>
      </c>
      <c r="P7" s="11" t="s">
        <v>235</v>
      </c>
      <c r="Q7" s="11" t="s">
        <v>3124</v>
      </c>
      <c r="R7" s="11" t="s">
        <v>3125</v>
      </c>
      <c r="S7" s="11" t="b">
        <v>0</v>
      </c>
      <c r="T7" s="11" t="b">
        <v>0</v>
      </c>
      <c r="U7" s="11">
        <v>0</v>
      </c>
      <c r="V7" s="11" t="s">
        <v>235</v>
      </c>
      <c r="W7" s="11" t="b">
        <v>0</v>
      </c>
    </row>
    <row r="8" spans="1:27" s="11" customFormat="1" x14ac:dyDescent="0.15">
      <c r="B8" s="11" t="s">
        <v>3126</v>
      </c>
      <c r="C8" s="11" t="s">
        <v>3121</v>
      </c>
      <c r="E8" s="11" t="s">
        <v>3127</v>
      </c>
      <c r="L8" s="11" t="s">
        <v>3123</v>
      </c>
      <c r="N8" s="11" t="s">
        <v>3123</v>
      </c>
      <c r="P8" s="11" t="s">
        <v>235</v>
      </c>
      <c r="Q8" s="11" t="s">
        <v>3124</v>
      </c>
      <c r="R8" s="11" t="s">
        <v>3128</v>
      </c>
      <c r="S8" s="11" t="b">
        <v>0</v>
      </c>
      <c r="T8" s="11" t="b">
        <v>0</v>
      </c>
      <c r="U8" s="11">
        <v>0</v>
      </c>
      <c r="V8" s="11" t="s">
        <v>235</v>
      </c>
      <c r="W8" s="11" t="b">
        <v>0</v>
      </c>
    </row>
    <row r="9" spans="1:27" s="11" customFormat="1" x14ac:dyDescent="0.15"/>
    <row r="10" spans="1:27" s="11" customFormat="1" x14ac:dyDescent="0.15"/>
    <row r="11" spans="1:27" s="11" customFormat="1" x14ac:dyDescent="0.15">
      <c r="B11" s="11" t="s">
        <v>3181</v>
      </c>
      <c r="C11" s="11" t="s">
        <v>3121</v>
      </c>
      <c r="D11" s="11" t="s">
        <v>3173</v>
      </c>
      <c r="E11" s="11" t="s">
        <v>3174</v>
      </c>
      <c r="K11" s="11" t="s">
        <v>3175</v>
      </c>
      <c r="L11" s="11" t="s">
        <v>3176</v>
      </c>
      <c r="M11" s="11" t="s">
        <v>3177</v>
      </c>
      <c r="N11" s="11" t="s">
        <v>3178</v>
      </c>
      <c r="O11" s="11" t="s">
        <v>3179</v>
      </c>
      <c r="P11" s="11" t="s">
        <v>235</v>
      </c>
      <c r="Q11" s="11" t="s">
        <v>3172</v>
      </c>
      <c r="R11" s="11" t="s">
        <v>3180</v>
      </c>
      <c r="S11" s="11" t="b">
        <v>0</v>
      </c>
      <c r="T11" s="11" t="b">
        <v>0</v>
      </c>
      <c r="U11" s="11">
        <v>0</v>
      </c>
      <c r="V11" s="11" t="s">
        <v>235</v>
      </c>
      <c r="W11" s="11" t="b">
        <v>0</v>
      </c>
    </row>
    <row r="12" spans="1:27" s="11" customFormat="1" x14ac:dyDescent="0.15"/>
    <row r="13" spans="1:27" s="11" customFormat="1" x14ac:dyDescent="0.15">
      <c r="B13" s="11" t="s">
        <v>3315</v>
      </c>
      <c r="C13" s="11" t="s">
        <v>3121</v>
      </c>
      <c r="D13" s="11" t="s">
        <v>3173</v>
      </c>
      <c r="E13" s="11" t="s">
        <v>3174</v>
      </c>
      <c r="K13" s="11" t="s">
        <v>3175</v>
      </c>
      <c r="L13" s="11" t="s">
        <v>3176</v>
      </c>
      <c r="M13" s="11" t="s">
        <v>3177</v>
      </c>
      <c r="N13" s="11" t="s">
        <v>3178</v>
      </c>
      <c r="O13" s="11" t="s">
        <v>3179</v>
      </c>
      <c r="P13" s="11" t="s">
        <v>235</v>
      </c>
      <c r="Q13" s="11" t="s">
        <v>3315</v>
      </c>
      <c r="R13" s="11" t="s">
        <v>3180</v>
      </c>
      <c r="S13" s="11" t="b">
        <v>0</v>
      </c>
      <c r="T13" s="11" t="b">
        <v>0</v>
      </c>
      <c r="U13" s="11">
        <v>0</v>
      </c>
      <c r="W13" s="11" t="b">
        <v>0</v>
      </c>
    </row>
  </sheetData>
  <phoneticPr fontId="11" type="noConversion"/>
  <pageMargins left="0.7" right="0.7" top="0.75" bottom="0.75" header="0.3" footer="0.3"/>
  <legacy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7C9F2F-3AD8-403F-A741-7CBB47BF45CB}">
  <sheetPr codeName="Sheet38">
    <tabColor theme="2"/>
  </sheetPr>
  <dimension ref="A1:P197"/>
  <sheetViews>
    <sheetView topLeftCell="A118" workbookViewId="0"/>
  </sheetViews>
  <sheetFormatPr defaultRowHeight="13.5" x14ac:dyDescent="0.15"/>
  <cols>
    <col min="2" max="2" width="38.75" customWidth="1"/>
  </cols>
  <sheetData>
    <row r="1" spans="1:16" s="65" customFormat="1" x14ac:dyDescent="0.15">
      <c r="A1" s="67" t="s">
        <v>124</v>
      </c>
      <c r="B1" s="67" t="s">
        <v>759</v>
      </c>
      <c r="C1" s="67"/>
      <c r="D1" s="67"/>
      <c r="E1" s="67"/>
      <c r="F1" s="67"/>
    </row>
    <row r="2" spans="1:16" s="65" customFormat="1" x14ac:dyDescent="0.15">
      <c r="A2" s="67" t="s">
        <v>70</v>
      </c>
      <c r="B2" s="69" t="s">
        <v>123</v>
      </c>
      <c r="C2" s="69" t="s">
        <v>122</v>
      </c>
      <c r="D2" s="69" t="s">
        <v>121</v>
      </c>
      <c r="E2" s="69" t="s">
        <v>120</v>
      </c>
      <c r="F2" s="69" t="s">
        <v>71</v>
      </c>
    </row>
    <row r="3" spans="1:16" s="65" customFormat="1" x14ac:dyDescent="0.15">
      <c r="A3" s="67"/>
      <c r="B3" s="68" t="s">
        <v>72</v>
      </c>
      <c r="C3" s="68" t="s">
        <v>72</v>
      </c>
      <c r="D3" s="68" t="s">
        <v>72</v>
      </c>
      <c r="E3" s="68" t="s">
        <v>72</v>
      </c>
      <c r="F3" s="68" t="s">
        <v>73</v>
      </c>
    </row>
    <row r="4" spans="1:16" s="65" customFormat="1" x14ac:dyDescent="0.15">
      <c r="A4" s="67"/>
      <c r="B4" s="66" t="s">
        <v>75</v>
      </c>
      <c r="C4" s="66" t="s">
        <v>679</v>
      </c>
      <c r="D4" s="66" t="s">
        <v>80</v>
      </c>
      <c r="E4" s="66" t="s">
        <v>119</v>
      </c>
      <c r="F4" s="66" t="s">
        <v>73</v>
      </c>
    </row>
    <row r="5" spans="1:16" s="65" customFormat="1" x14ac:dyDescent="0.15">
      <c r="A5" s="67"/>
      <c r="B5" s="68" t="s">
        <v>81</v>
      </c>
      <c r="C5" s="68" t="s">
        <v>118</v>
      </c>
      <c r="D5" s="68" t="s">
        <v>117</v>
      </c>
      <c r="E5" s="68" t="s">
        <v>116</v>
      </c>
      <c r="F5" s="68" t="s">
        <v>115</v>
      </c>
      <c r="M5"/>
      <c r="N5"/>
      <c r="O5"/>
      <c r="P5"/>
    </row>
    <row r="6" spans="1:16" s="65" customFormat="1" x14ac:dyDescent="0.15">
      <c r="A6" s="67"/>
      <c r="B6" s="66" t="s">
        <v>77</v>
      </c>
      <c r="C6" s="66" t="s">
        <v>678</v>
      </c>
      <c r="D6" s="66"/>
      <c r="E6" s="66" t="s">
        <v>113</v>
      </c>
      <c r="F6" s="66"/>
      <c r="M6"/>
      <c r="N6"/>
      <c r="O6"/>
      <c r="P6"/>
    </row>
    <row r="7" spans="1:16" s="11" customFormat="1" x14ac:dyDescent="0.15">
      <c r="B7" s="11" t="s">
        <v>1552</v>
      </c>
      <c r="C7" s="13" t="s">
        <v>105</v>
      </c>
      <c r="D7" s="13"/>
      <c r="E7" s="13" t="s">
        <v>1341</v>
      </c>
    </row>
    <row r="8" spans="1:16" s="11" customFormat="1" x14ac:dyDescent="0.15">
      <c r="B8" s="11" t="s">
        <v>1561</v>
      </c>
      <c r="C8" s="13" t="s">
        <v>105</v>
      </c>
      <c r="D8" s="13"/>
      <c r="E8" s="13" t="s">
        <v>1341</v>
      </c>
    </row>
    <row r="9" spans="1:16" s="11" customFormat="1" x14ac:dyDescent="0.15">
      <c r="B9" s="11" t="s">
        <v>1568</v>
      </c>
      <c r="C9" s="13" t="s">
        <v>105</v>
      </c>
      <c r="D9" s="13"/>
      <c r="E9" s="13" t="s">
        <v>1341</v>
      </c>
    </row>
    <row r="10" spans="1:16" s="11" customFormat="1" x14ac:dyDescent="0.15">
      <c r="B10" s="11" t="s">
        <v>1575</v>
      </c>
      <c r="C10" s="13" t="s">
        <v>105</v>
      </c>
      <c r="D10" s="13"/>
      <c r="E10" s="13" t="s">
        <v>1341</v>
      </c>
    </row>
    <row r="11" spans="1:16" s="11" customFormat="1" x14ac:dyDescent="0.15">
      <c r="B11" s="11" t="s">
        <v>1582</v>
      </c>
      <c r="C11" s="13" t="s">
        <v>105</v>
      </c>
      <c r="D11" s="13"/>
      <c r="E11" s="13" t="s">
        <v>1341</v>
      </c>
    </row>
    <row r="12" spans="1:16" s="11" customFormat="1" x14ac:dyDescent="0.15">
      <c r="B12" s="11" t="s">
        <v>2136</v>
      </c>
      <c r="C12" s="13" t="s">
        <v>105</v>
      </c>
      <c r="D12" s="13"/>
      <c r="E12" s="13" t="s">
        <v>1341</v>
      </c>
    </row>
    <row r="13" spans="1:16" s="11" customFormat="1" x14ac:dyDescent="0.15">
      <c r="B13" s="11" t="s">
        <v>1592</v>
      </c>
      <c r="C13" s="13" t="s">
        <v>105</v>
      </c>
      <c r="D13" s="13"/>
      <c r="E13" s="13" t="s">
        <v>1341</v>
      </c>
    </row>
    <row r="14" spans="1:16" s="11" customFormat="1" x14ac:dyDescent="0.15">
      <c r="B14" s="11" t="s">
        <v>1598</v>
      </c>
      <c r="C14" s="13" t="s">
        <v>105</v>
      </c>
      <c r="D14" s="13"/>
      <c r="E14" s="13" t="s">
        <v>1341</v>
      </c>
    </row>
    <row r="15" spans="1:16" s="11" customFormat="1" x14ac:dyDescent="0.15"/>
    <row r="16" spans="1:16" s="11" customFormat="1" x14ac:dyDescent="0.15">
      <c r="B16" s="11" t="s">
        <v>1661</v>
      </c>
      <c r="C16" s="13" t="s">
        <v>105</v>
      </c>
      <c r="D16" s="13"/>
      <c r="E16" s="13" t="s">
        <v>2137</v>
      </c>
    </row>
    <row r="17" spans="2:5" s="11" customFormat="1" x14ac:dyDescent="0.15">
      <c r="B17" s="11" t="s">
        <v>1668</v>
      </c>
      <c r="C17" s="13" t="s">
        <v>105</v>
      </c>
      <c r="D17" s="13"/>
      <c r="E17" s="13" t="s">
        <v>2137</v>
      </c>
    </row>
    <row r="18" spans="2:5" s="11" customFormat="1" x14ac:dyDescent="0.15">
      <c r="B18" s="11" t="s">
        <v>1675</v>
      </c>
      <c r="C18" s="13" t="s">
        <v>105</v>
      </c>
      <c r="D18" s="13"/>
      <c r="E18" s="13" t="s">
        <v>2137</v>
      </c>
    </row>
    <row r="19" spans="2:5" s="11" customFormat="1" x14ac:dyDescent="0.15">
      <c r="B19" s="11" t="s">
        <v>1682</v>
      </c>
      <c r="C19" s="13" t="s">
        <v>105</v>
      </c>
      <c r="D19" s="13"/>
      <c r="E19" s="13" t="s">
        <v>2137</v>
      </c>
    </row>
    <row r="20" spans="2:5" s="11" customFormat="1" x14ac:dyDescent="0.15">
      <c r="B20" s="11" t="s">
        <v>1689</v>
      </c>
      <c r="C20" s="13" t="s">
        <v>105</v>
      </c>
      <c r="D20" s="13"/>
      <c r="E20" s="13" t="s">
        <v>2137</v>
      </c>
    </row>
    <row r="21" spans="2:5" s="11" customFormat="1" x14ac:dyDescent="0.15">
      <c r="B21" s="11" t="s">
        <v>1696</v>
      </c>
      <c r="C21" s="13" t="s">
        <v>105</v>
      </c>
      <c r="D21" s="13"/>
      <c r="E21" s="13" t="s">
        <v>2137</v>
      </c>
    </row>
    <row r="22" spans="2:5" s="11" customFormat="1" x14ac:dyDescent="0.15">
      <c r="B22" s="11" t="s">
        <v>1703</v>
      </c>
      <c r="C22" s="13" t="s">
        <v>105</v>
      </c>
      <c r="D22" s="13"/>
      <c r="E22" s="13" t="s">
        <v>2137</v>
      </c>
    </row>
    <row r="23" spans="2:5" s="11" customFormat="1" x14ac:dyDescent="0.15">
      <c r="B23" s="11" t="s">
        <v>1710</v>
      </c>
      <c r="C23" s="13" t="s">
        <v>105</v>
      </c>
      <c r="D23" s="13"/>
      <c r="E23" s="13" t="s">
        <v>2137</v>
      </c>
    </row>
    <row r="24" spans="2:5" s="11" customFormat="1" x14ac:dyDescent="0.15"/>
    <row r="25" spans="2:5" s="11" customFormat="1" x14ac:dyDescent="0.15">
      <c r="B25" s="11" t="s">
        <v>1605</v>
      </c>
      <c r="C25" s="13" t="s">
        <v>105</v>
      </c>
      <c r="D25" s="13"/>
      <c r="E25" s="13" t="s">
        <v>2137</v>
      </c>
    </row>
    <row r="26" spans="2:5" s="11" customFormat="1" x14ac:dyDescent="0.15">
      <c r="B26" s="11" t="s">
        <v>1613</v>
      </c>
      <c r="C26" s="13" t="s">
        <v>105</v>
      </c>
      <c r="D26" s="13"/>
      <c r="E26" s="13" t="s">
        <v>2137</v>
      </c>
    </row>
    <row r="27" spans="2:5" s="11" customFormat="1" x14ac:dyDescent="0.15">
      <c r="B27" s="11" t="s">
        <v>1620</v>
      </c>
      <c r="C27" s="13" t="s">
        <v>105</v>
      </c>
      <c r="D27" s="13"/>
      <c r="E27" s="13" t="s">
        <v>2137</v>
      </c>
    </row>
    <row r="28" spans="2:5" s="11" customFormat="1" x14ac:dyDescent="0.15">
      <c r="B28" s="11" t="s">
        <v>1627</v>
      </c>
      <c r="C28" s="13" t="s">
        <v>105</v>
      </c>
      <c r="D28" s="13"/>
      <c r="E28" s="13" t="s">
        <v>2137</v>
      </c>
    </row>
    <row r="29" spans="2:5" s="11" customFormat="1" x14ac:dyDescent="0.15">
      <c r="B29" s="11" t="s">
        <v>1634</v>
      </c>
      <c r="C29" s="13" t="s">
        <v>105</v>
      </c>
      <c r="D29" s="13"/>
      <c r="E29" s="13" t="s">
        <v>2137</v>
      </c>
    </row>
    <row r="30" spans="2:5" s="11" customFormat="1" x14ac:dyDescent="0.15">
      <c r="B30" s="11" t="s">
        <v>1641</v>
      </c>
      <c r="C30" s="13" t="s">
        <v>105</v>
      </c>
      <c r="D30" s="13"/>
      <c r="E30" s="13" t="s">
        <v>2137</v>
      </c>
    </row>
    <row r="31" spans="2:5" s="11" customFormat="1" x14ac:dyDescent="0.15">
      <c r="B31" s="11" t="s">
        <v>1648</v>
      </c>
      <c r="C31" s="13" t="s">
        <v>105</v>
      </c>
      <c r="D31" s="13"/>
      <c r="E31" s="13" t="s">
        <v>2137</v>
      </c>
    </row>
    <row r="32" spans="2:5" s="11" customFormat="1" x14ac:dyDescent="0.15">
      <c r="B32" s="11" t="s">
        <v>1654</v>
      </c>
      <c r="C32" s="13" t="s">
        <v>105</v>
      </c>
      <c r="D32" s="13"/>
      <c r="E32" s="13" t="s">
        <v>2137</v>
      </c>
    </row>
    <row r="33" spans="2:5" s="11" customFormat="1" x14ac:dyDescent="0.15">
      <c r="C33" s="13"/>
      <c r="D33" s="13"/>
      <c r="E33" s="13"/>
    </row>
    <row r="34" spans="2:5" s="11" customFormat="1" x14ac:dyDescent="0.15">
      <c r="B34" s="11" t="s">
        <v>1717</v>
      </c>
      <c r="C34" s="13" t="s">
        <v>105</v>
      </c>
      <c r="D34" s="13"/>
      <c r="E34" s="13" t="s">
        <v>2138</v>
      </c>
    </row>
    <row r="35" spans="2:5" s="11" customFormat="1" x14ac:dyDescent="0.15">
      <c r="B35" s="11" t="s">
        <v>1725</v>
      </c>
      <c r="C35" s="13" t="s">
        <v>105</v>
      </c>
      <c r="D35" s="13"/>
      <c r="E35" s="13" t="s">
        <v>2138</v>
      </c>
    </row>
    <row r="36" spans="2:5" s="11" customFormat="1" x14ac:dyDescent="0.15">
      <c r="B36" s="11" t="s">
        <v>1732</v>
      </c>
      <c r="C36" s="13" t="s">
        <v>105</v>
      </c>
      <c r="D36" s="13"/>
      <c r="E36" s="13" t="s">
        <v>2138</v>
      </c>
    </row>
    <row r="37" spans="2:5" s="11" customFormat="1" x14ac:dyDescent="0.15">
      <c r="B37" s="11" t="s">
        <v>1739</v>
      </c>
      <c r="C37" s="13" t="s">
        <v>105</v>
      </c>
      <c r="D37" s="13"/>
      <c r="E37" s="13" t="s">
        <v>2138</v>
      </c>
    </row>
    <row r="38" spans="2:5" s="11" customFormat="1" x14ac:dyDescent="0.15">
      <c r="B38" s="11" t="s">
        <v>1746</v>
      </c>
      <c r="C38" s="13" t="s">
        <v>105</v>
      </c>
      <c r="D38" s="13"/>
      <c r="E38" s="13" t="s">
        <v>2138</v>
      </c>
    </row>
    <row r="39" spans="2:5" s="11" customFormat="1" x14ac:dyDescent="0.15">
      <c r="B39" s="11" t="s">
        <v>1753</v>
      </c>
      <c r="C39" s="13" t="s">
        <v>105</v>
      </c>
      <c r="D39" s="13"/>
      <c r="E39" s="13" t="s">
        <v>2138</v>
      </c>
    </row>
    <row r="40" spans="2:5" s="11" customFormat="1" x14ac:dyDescent="0.15">
      <c r="B40" s="11" t="s">
        <v>1760</v>
      </c>
      <c r="C40" s="13" t="s">
        <v>105</v>
      </c>
      <c r="D40" s="13"/>
      <c r="E40" s="13" t="s">
        <v>2138</v>
      </c>
    </row>
    <row r="41" spans="2:5" s="11" customFormat="1" x14ac:dyDescent="0.15">
      <c r="B41" s="11" t="s">
        <v>1767</v>
      </c>
      <c r="C41" s="13" t="s">
        <v>105</v>
      </c>
      <c r="D41" s="13"/>
      <c r="E41" s="13" t="s">
        <v>2138</v>
      </c>
    </row>
    <row r="42" spans="2:5" s="11" customFormat="1" x14ac:dyDescent="0.15">
      <c r="C42" s="13"/>
      <c r="D42" s="13"/>
      <c r="E42" s="13"/>
    </row>
    <row r="43" spans="2:5" s="11" customFormat="1" x14ac:dyDescent="0.15">
      <c r="B43" s="11" t="s">
        <v>1773</v>
      </c>
      <c r="C43" s="13" t="s">
        <v>105</v>
      </c>
      <c r="D43" s="13"/>
      <c r="E43" s="13" t="s">
        <v>2138</v>
      </c>
    </row>
    <row r="44" spans="2:5" s="11" customFormat="1" x14ac:dyDescent="0.15">
      <c r="B44" s="11" t="s">
        <v>1779</v>
      </c>
      <c r="C44" s="13" t="s">
        <v>105</v>
      </c>
      <c r="D44" s="13"/>
      <c r="E44" s="13" t="s">
        <v>2138</v>
      </c>
    </row>
    <row r="45" spans="2:5" s="11" customFormat="1" x14ac:dyDescent="0.15">
      <c r="B45" s="11" t="s">
        <v>1785</v>
      </c>
      <c r="C45" s="13" t="s">
        <v>105</v>
      </c>
      <c r="D45" s="13"/>
      <c r="E45" s="13" t="s">
        <v>2138</v>
      </c>
    </row>
    <row r="46" spans="2:5" s="11" customFormat="1" x14ac:dyDescent="0.15">
      <c r="C46" s="13"/>
      <c r="D46" s="13"/>
      <c r="E46" s="13"/>
    </row>
    <row r="47" spans="2:5" s="11" customFormat="1" x14ac:dyDescent="0.15">
      <c r="B47" s="11" t="s">
        <v>1553</v>
      </c>
      <c r="C47" s="13" t="s">
        <v>105</v>
      </c>
      <c r="D47" s="13"/>
      <c r="E47" s="13" t="s">
        <v>2139</v>
      </c>
    </row>
    <row r="48" spans="2:5" s="11" customFormat="1" x14ac:dyDescent="0.15">
      <c r="B48" s="11" t="s">
        <v>1562</v>
      </c>
      <c r="C48" s="13" t="s">
        <v>105</v>
      </c>
      <c r="D48" s="13"/>
      <c r="E48" s="13" t="s">
        <v>2139</v>
      </c>
    </row>
    <row r="49" spans="2:5" s="11" customFormat="1" x14ac:dyDescent="0.15">
      <c r="B49" s="11" t="s">
        <v>1569</v>
      </c>
      <c r="C49" s="13" t="s">
        <v>105</v>
      </c>
      <c r="D49" s="13"/>
      <c r="E49" s="13" t="s">
        <v>2139</v>
      </c>
    </row>
    <row r="50" spans="2:5" s="11" customFormat="1" x14ac:dyDescent="0.15">
      <c r="B50" s="11" t="s">
        <v>1576</v>
      </c>
      <c r="C50" s="13" t="s">
        <v>105</v>
      </c>
      <c r="D50" s="13"/>
      <c r="E50" s="13" t="s">
        <v>2140</v>
      </c>
    </row>
    <row r="51" spans="2:5" s="11" customFormat="1" x14ac:dyDescent="0.15">
      <c r="B51" s="11" t="s">
        <v>1583</v>
      </c>
      <c r="C51" s="13" t="s">
        <v>105</v>
      </c>
      <c r="D51" s="13"/>
      <c r="E51" s="13" t="s">
        <v>2141</v>
      </c>
    </row>
    <row r="52" spans="2:5" s="11" customFormat="1" x14ac:dyDescent="0.15">
      <c r="B52" s="11" t="s">
        <v>2142</v>
      </c>
      <c r="C52" s="13" t="s">
        <v>105</v>
      </c>
      <c r="D52" s="13"/>
      <c r="E52" s="13" t="s">
        <v>2143</v>
      </c>
    </row>
    <row r="53" spans="2:5" s="11" customFormat="1" x14ac:dyDescent="0.15">
      <c r="B53" s="11" t="s">
        <v>1593</v>
      </c>
      <c r="C53" s="13" t="s">
        <v>105</v>
      </c>
      <c r="D53" s="13"/>
      <c r="E53" s="13" t="s">
        <v>2144</v>
      </c>
    </row>
    <row r="54" spans="2:5" s="11" customFormat="1" x14ac:dyDescent="0.15">
      <c r="B54" s="11" t="s">
        <v>1599</v>
      </c>
      <c r="C54" s="13" t="s">
        <v>105</v>
      </c>
      <c r="D54" s="13"/>
      <c r="E54" s="13" t="s">
        <v>2145</v>
      </c>
    </row>
    <row r="55" spans="2:5" s="11" customFormat="1" x14ac:dyDescent="0.15">
      <c r="C55" s="13"/>
      <c r="D55" s="13"/>
      <c r="E55" s="13"/>
    </row>
    <row r="56" spans="2:5" s="11" customFormat="1" x14ac:dyDescent="0.15">
      <c r="B56" s="11" t="s">
        <v>1606</v>
      </c>
      <c r="C56" s="13" t="s">
        <v>105</v>
      </c>
      <c r="D56" s="13"/>
      <c r="E56" s="13" t="s">
        <v>2146</v>
      </c>
    </row>
    <row r="57" spans="2:5" s="11" customFormat="1" x14ac:dyDescent="0.15">
      <c r="B57" s="11" t="s">
        <v>1614</v>
      </c>
      <c r="C57" s="13" t="s">
        <v>105</v>
      </c>
      <c r="D57" s="13"/>
      <c r="E57" s="13" t="s">
        <v>2147</v>
      </c>
    </row>
    <row r="58" spans="2:5" s="11" customFormat="1" x14ac:dyDescent="0.15">
      <c r="B58" s="11" t="s">
        <v>1621</v>
      </c>
      <c r="C58" s="13" t="s">
        <v>105</v>
      </c>
      <c r="D58" s="13"/>
      <c r="E58" s="13" t="s">
        <v>2148</v>
      </c>
    </row>
    <row r="59" spans="2:5" s="11" customFormat="1" x14ac:dyDescent="0.15">
      <c r="B59" s="11" t="s">
        <v>1628</v>
      </c>
      <c r="C59" s="13" t="s">
        <v>105</v>
      </c>
      <c r="D59" s="13"/>
      <c r="E59" s="13" t="s">
        <v>2149</v>
      </c>
    </row>
    <row r="60" spans="2:5" s="11" customFormat="1" x14ac:dyDescent="0.15">
      <c r="B60" s="11" t="s">
        <v>1635</v>
      </c>
      <c r="C60" s="13" t="s">
        <v>105</v>
      </c>
      <c r="E60" s="13" t="s">
        <v>2149</v>
      </c>
    </row>
    <row r="61" spans="2:5" s="11" customFormat="1" x14ac:dyDescent="0.15">
      <c r="B61" s="11" t="s">
        <v>1642</v>
      </c>
      <c r="C61" s="13" t="s">
        <v>105</v>
      </c>
      <c r="D61" s="13"/>
      <c r="E61" s="13" t="s">
        <v>2149</v>
      </c>
    </row>
    <row r="62" spans="2:5" s="11" customFormat="1" x14ac:dyDescent="0.15">
      <c r="B62" s="11" t="s">
        <v>1649</v>
      </c>
      <c r="C62" s="13" t="s">
        <v>105</v>
      </c>
      <c r="D62" s="13"/>
      <c r="E62" s="13" t="s">
        <v>2149</v>
      </c>
    </row>
    <row r="63" spans="2:5" s="11" customFormat="1" x14ac:dyDescent="0.15">
      <c r="B63" s="11" t="s">
        <v>1655</v>
      </c>
      <c r="C63" s="13" t="s">
        <v>105</v>
      </c>
      <c r="D63" s="13"/>
      <c r="E63" s="13" t="s">
        <v>2149</v>
      </c>
    </row>
    <row r="64" spans="2:5" s="11" customFormat="1" x14ac:dyDescent="0.15">
      <c r="C64" s="13"/>
      <c r="D64" s="13"/>
      <c r="E64" s="13"/>
    </row>
    <row r="65" spans="2:5" s="11" customFormat="1" x14ac:dyDescent="0.15">
      <c r="B65" s="11" t="s">
        <v>1662</v>
      </c>
      <c r="C65" s="13" t="s">
        <v>105</v>
      </c>
      <c r="D65" s="13"/>
      <c r="E65" s="13" t="s">
        <v>444</v>
      </c>
    </row>
    <row r="66" spans="2:5" s="11" customFormat="1" x14ac:dyDescent="0.15">
      <c r="B66" s="11" t="s">
        <v>1669</v>
      </c>
      <c r="C66" s="13" t="s">
        <v>105</v>
      </c>
      <c r="D66" s="13"/>
      <c r="E66" s="13" t="s">
        <v>444</v>
      </c>
    </row>
    <row r="67" spans="2:5" s="11" customFormat="1" x14ac:dyDescent="0.15">
      <c r="B67" s="11" t="s">
        <v>1676</v>
      </c>
      <c r="C67" s="13" t="s">
        <v>105</v>
      </c>
      <c r="D67" s="13"/>
      <c r="E67" s="13" t="s">
        <v>444</v>
      </c>
    </row>
    <row r="68" spans="2:5" s="11" customFormat="1" x14ac:dyDescent="0.15">
      <c r="B68" s="11" t="s">
        <v>1683</v>
      </c>
      <c r="C68" s="13" t="s">
        <v>105</v>
      </c>
      <c r="D68" s="13"/>
      <c r="E68" s="13" t="s">
        <v>444</v>
      </c>
    </row>
    <row r="69" spans="2:5" s="11" customFormat="1" x14ac:dyDescent="0.15">
      <c r="B69" s="11" t="s">
        <v>1690</v>
      </c>
      <c r="C69" s="13" t="s">
        <v>105</v>
      </c>
      <c r="D69" s="13"/>
      <c r="E69" s="13" t="s">
        <v>444</v>
      </c>
    </row>
    <row r="70" spans="2:5" s="11" customFormat="1" x14ac:dyDescent="0.15">
      <c r="B70" s="11" t="s">
        <v>1697</v>
      </c>
      <c r="C70" s="13" t="s">
        <v>105</v>
      </c>
      <c r="D70" s="13"/>
      <c r="E70" s="13" t="s">
        <v>444</v>
      </c>
    </row>
    <row r="71" spans="2:5" s="11" customFormat="1" x14ac:dyDescent="0.15">
      <c r="B71" s="11" t="s">
        <v>1704</v>
      </c>
      <c r="C71" s="13" t="s">
        <v>105</v>
      </c>
      <c r="D71" s="13"/>
      <c r="E71" s="13" t="s">
        <v>444</v>
      </c>
    </row>
    <row r="72" spans="2:5" s="11" customFormat="1" x14ac:dyDescent="0.15">
      <c r="B72" s="11" t="s">
        <v>1711</v>
      </c>
      <c r="C72" s="13" t="s">
        <v>105</v>
      </c>
      <c r="D72" s="13"/>
      <c r="E72" s="13" t="s">
        <v>444</v>
      </c>
    </row>
    <row r="73" spans="2:5" s="11" customFormat="1" x14ac:dyDescent="0.15"/>
    <row r="74" spans="2:5" s="11" customFormat="1" x14ac:dyDescent="0.15">
      <c r="B74" s="11" t="s">
        <v>1718</v>
      </c>
      <c r="C74" s="13" t="s">
        <v>105</v>
      </c>
      <c r="D74" s="13"/>
      <c r="E74" s="13" t="s">
        <v>762</v>
      </c>
    </row>
    <row r="75" spans="2:5" s="11" customFormat="1" x14ac:dyDescent="0.15">
      <c r="B75" s="11" t="s">
        <v>1726</v>
      </c>
      <c r="C75" s="13" t="s">
        <v>105</v>
      </c>
      <c r="D75" s="13"/>
      <c r="E75" s="13" t="s">
        <v>762</v>
      </c>
    </row>
    <row r="76" spans="2:5" s="11" customFormat="1" x14ac:dyDescent="0.15">
      <c r="B76" s="11" t="s">
        <v>1733</v>
      </c>
      <c r="C76" s="13" t="s">
        <v>105</v>
      </c>
      <c r="D76" s="13"/>
      <c r="E76" s="13" t="s">
        <v>762</v>
      </c>
    </row>
    <row r="77" spans="2:5" s="11" customFormat="1" x14ac:dyDescent="0.15">
      <c r="B77" s="11" t="s">
        <v>1740</v>
      </c>
      <c r="C77" s="13" t="s">
        <v>105</v>
      </c>
      <c r="D77" s="13"/>
      <c r="E77" s="13" t="s">
        <v>762</v>
      </c>
    </row>
    <row r="78" spans="2:5" s="11" customFormat="1" x14ac:dyDescent="0.15">
      <c r="B78" s="11" t="s">
        <v>1747</v>
      </c>
      <c r="C78" s="13" t="s">
        <v>105</v>
      </c>
      <c r="D78" s="13"/>
      <c r="E78" s="13" t="s">
        <v>762</v>
      </c>
    </row>
    <row r="79" spans="2:5" s="11" customFormat="1" x14ac:dyDescent="0.15">
      <c r="B79" s="11" t="s">
        <v>1754</v>
      </c>
      <c r="C79" s="13" t="s">
        <v>105</v>
      </c>
      <c r="D79" s="13"/>
      <c r="E79" s="13" t="s">
        <v>762</v>
      </c>
    </row>
    <row r="80" spans="2:5" s="11" customFormat="1" x14ac:dyDescent="0.15">
      <c r="B80" s="11" t="s">
        <v>1761</v>
      </c>
      <c r="C80" s="13" t="s">
        <v>105</v>
      </c>
      <c r="D80" s="13"/>
      <c r="E80" s="13" t="s">
        <v>444</v>
      </c>
    </row>
    <row r="81" spans="2:5" s="11" customFormat="1" x14ac:dyDescent="0.15">
      <c r="B81" s="11" t="s">
        <v>1768</v>
      </c>
      <c r="C81" s="13" t="s">
        <v>105</v>
      </c>
      <c r="D81" s="13"/>
      <c r="E81" s="13" t="s">
        <v>444</v>
      </c>
    </row>
    <row r="82" spans="2:5" s="11" customFormat="1" x14ac:dyDescent="0.15">
      <c r="C82" s="13"/>
      <c r="D82" s="13"/>
      <c r="E82" s="13"/>
    </row>
    <row r="83" spans="2:5" s="11" customFormat="1" x14ac:dyDescent="0.15">
      <c r="B83" s="11" t="s">
        <v>1774</v>
      </c>
      <c r="C83" s="13" t="s">
        <v>105</v>
      </c>
      <c r="D83" s="13"/>
      <c r="E83" s="13" t="s">
        <v>444</v>
      </c>
    </row>
    <row r="84" spans="2:5" s="11" customFormat="1" x14ac:dyDescent="0.15">
      <c r="B84" s="11" t="s">
        <v>1780</v>
      </c>
      <c r="C84" s="13" t="s">
        <v>105</v>
      </c>
      <c r="D84" s="13"/>
      <c r="E84" s="13" t="s">
        <v>444</v>
      </c>
    </row>
    <row r="85" spans="2:5" s="11" customFormat="1" x14ac:dyDescent="0.15">
      <c r="B85" s="11" t="s">
        <v>1786</v>
      </c>
      <c r="C85" s="13" t="s">
        <v>105</v>
      </c>
      <c r="D85" s="13"/>
      <c r="E85" s="13" t="s">
        <v>444</v>
      </c>
    </row>
    <row r="86" spans="2:5" s="11" customFormat="1" x14ac:dyDescent="0.15">
      <c r="C86" s="13"/>
      <c r="D86" s="13"/>
      <c r="E86" s="13"/>
    </row>
    <row r="87" spans="2:5" s="11" customFormat="1" x14ac:dyDescent="0.15">
      <c r="B87" s="11" t="s">
        <v>1554</v>
      </c>
      <c r="C87" s="11" t="s">
        <v>105</v>
      </c>
      <c r="E87" s="11" t="s">
        <v>2150</v>
      </c>
    </row>
    <row r="88" spans="2:5" s="11" customFormat="1" x14ac:dyDescent="0.15">
      <c r="B88" s="11" t="s">
        <v>1563</v>
      </c>
      <c r="C88" s="11" t="s">
        <v>105</v>
      </c>
      <c r="E88" s="11" t="s">
        <v>2150</v>
      </c>
    </row>
    <row r="89" spans="2:5" s="11" customFormat="1" x14ac:dyDescent="0.15">
      <c r="B89" s="11" t="s">
        <v>1570</v>
      </c>
      <c r="C89" s="11" t="s">
        <v>105</v>
      </c>
      <c r="E89" s="11" t="s">
        <v>2150</v>
      </c>
    </row>
    <row r="90" spans="2:5" s="11" customFormat="1" x14ac:dyDescent="0.15">
      <c r="B90" s="11" t="s">
        <v>1577</v>
      </c>
      <c r="C90" s="11" t="s">
        <v>105</v>
      </c>
      <c r="E90" s="11" t="s">
        <v>2151</v>
      </c>
    </row>
    <row r="91" spans="2:5" s="11" customFormat="1" x14ac:dyDescent="0.15">
      <c r="B91" s="11" t="s">
        <v>1584</v>
      </c>
      <c r="C91" s="11" t="s">
        <v>105</v>
      </c>
      <c r="E91" s="11" t="s">
        <v>2152</v>
      </c>
    </row>
    <row r="92" spans="2:5" s="11" customFormat="1" x14ac:dyDescent="0.15">
      <c r="B92" s="11" t="s">
        <v>2153</v>
      </c>
      <c r="C92" s="11" t="s">
        <v>105</v>
      </c>
      <c r="E92" s="11" t="s">
        <v>2154</v>
      </c>
    </row>
    <row r="93" spans="2:5" s="11" customFormat="1" x14ac:dyDescent="0.15">
      <c r="B93" s="11" t="s">
        <v>1594</v>
      </c>
      <c r="C93" s="11" t="s">
        <v>105</v>
      </c>
      <c r="E93" s="11" t="s">
        <v>2155</v>
      </c>
    </row>
    <row r="94" spans="2:5" s="11" customFormat="1" x14ac:dyDescent="0.15">
      <c r="B94" s="11" t="s">
        <v>1600</v>
      </c>
      <c r="C94" s="11" t="s">
        <v>105</v>
      </c>
      <c r="E94" s="11" t="s">
        <v>2156</v>
      </c>
    </row>
    <row r="95" spans="2:5" s="11" customFormat="1" x14ac:dyDescent="0.15"/>
    <row r="96" spans="2:5" s="11" customFormat="1" x14ac:dyDescent="0.15">
      <c r="B96" s="11" t="s">
        <v>1607</v>
      </c>
      <c r="C96" s="11" t="s">
        <v>105</v>
      </c>
      <c r="E96" s="11" t="s">
        <v>2157</v>
      </c>
    </row>
    <row r="97" spans="2:5" s="11" customFormat="1" x14ac:dyDescent="0.15">
      <c r="B97" s="11" t="s">
        <v>1615</v>
      </c>
      <c r="C97" s="11" t="s">
        <v>105</v>
      </c>
      <c r="E97" s="11" t="s">
        <v>2158</v>
      </c>
    </row>
    <row r="98" spans="2:5" s="11" customFormat="1" x14ac:dyDescent="0.15">
      <c r="B98" s="11" t="s">
        <v>1622</v>
      </c>
      <c r="C98" s="11" t="s">
        <v>105</v>
      </c>
      <c r="E98" s="11" t="s">
        <v>2159</v>
      </c>
    </row>
    <row r="99" spans="2:5" s="11" customFormat="1" x14ac:dyDescent="0.15">
      <c r="B99" s="11" t="s">
        <v>1629</v>
      </c>
      <c r="C99" s="11" t="s">
        <v>105</v>
      </c>
      <c r="E99" s="11" t="s">
        <v>2160</v>
      </c>
    </row>
    <row r="100" spans="2:5" s="11" customFormat="1" x14ac:dyDescent="0.15">
      <c r="B100" s="11" t="s">
        <v>1636</v>
      </c>
      <c r="C100" s="11" t="s">
        <v>105</v>
      </c>
      <c r="E100" s="11" t="s">
        <v>2160</v>
      </c>
    </row>
    <row r="101" spans="2:5" s="11" customFormat="1" x14ac:dyDescent="0.15">
      <c r="B101" s="11" t="s">
        <v>1643</v>
      </c>
      <c r="C101" s="11" t="s">
        <v>105</v>
      </c>
      <c r="E101" s="11" t="s">
        <v>2160</v>
      </c>
    </row>
    <row r="102" spans="2:5" s="11" customFormat="1" x14ac:dyDescent="0.15">
      <c r="B102" s="11" t="s">
        <v>1650</v>
      </c>
      <c r="C102" s="11" t="s">
        <v>105</v>
      </c>
      <c r="E102" s="11" t="s">
        <v>2160</v>
      </c>
    </row>
    <row r="103" spans="2:5" s="11" customFormat="1" x14ac:dyDescent="0.15">
      <c r="B103" s="11" t="s">
        <v>1656</v>
      </c>
      <c r="C103" s="11" t="s">
        <v>105</v>
      </c>
      <c r="E103" s="11" t="s">
        <v>2160</v>
      </c>
    </row>
    <row r="104" spans="2:5" s="11" customFormat="1" x14ac:dyDescent="0.15"/>
    <row r="105" spans="2:5" s="11" customFormat="1" x14ac:dyDescent="0.15">
      <c r="B105" s="11" t="s">
        <v>1663</v>
      </c>
      <c r="C105" s="11" t="s">
        <v>105</v>
      </c>
      <c r="E105" s="11" t="s">
        <v>444</v>
      </c>
    </row>
    <row r="106" spans="2:5" s="11" customFormat="1" x14ac:dyDescent="0.15">
      <c r="B106" s="11" t="s">
        <v>1670</v>
      </c>
      <c r="C106" s="11" t="s">
        <v>105</v>
      </c>
      <c r="E106" s="11" t="s">
        <v>444</v>
      </c>
    </row>
    <row r="107" spans="2:5" s="11" customFormat="1" x14ac:dyDescent="0.15">
      <c r="B107" s="11" t="s">
        <v>1677</v>
      </c>
      <c r="C107" s="11" t="s">
        <v>105</v>
      </c>
      <c r="E107" s="11" t="s">
        <v>444</v>
      </c>
    </row>
    <row r="108" spans="2:5" s="11" customFormat="1" x14ac:dyDescent="0.15">
      <c r="B108" s="11" t="s">
        <v>1684</v>
      </c>
      <c r="C108" s="11" t="s">
        <v>105</v>
      </c>
      <c r="E108" s="11" t="s">
        <v>444</v>
      </c>
    </row>
    <row r="109" spans="2:5" s="11" customFormat="1" x14ac:dyDescent="0.15">
      <c r="B109" s="11" t="s">
        <v>1691</v>
      </c>
      <c r="C109" s="11" t="s">
        <v>105</v>
      </c>
      <c r="E109" s="11" t="s">
        <v>444</v>
      </c>
    </row>
    <row r="110" spans="2:5" s="11" customFormat="1" x14ac:dyDescent="0.15">
      <c r="B110" s="11" t="s">
        <v>1698</v>
      </c>
      <c r="C110" s="11" t="s">
        <v>105</v>
      </c>
      <c r="E110" s="11" t="s">
        <v>444</v>
      </c>
    </row>
    <row r="111" spans="2:5" s="11" customFormat="1" x14ac:dyDescent="0.15">
      <c r="B111" s="11" t="s">
        <v>1705</v>
      </c>
      <c r="C111" s="11" t="s">
        <v>105</v>
      </c>
      <c r="E111" s="11" t="s">
        <v>444</v>
      </c>
    </row>
    <row r="112" spans="2:5" s="11" customFormat="1" x14ac:dyDescent="0.15">
      <c r="B112" s="11" t="s">
        <v>1712</v>
      </c>
      <c r="C112" s="11" t="s">
        <v>105</v>
      </c>
      <c r="E112" s="11" t="s">
        <v>444</v>
      </c>
    </row>
    <row r="113" spans="2:5" s="11" customFormat="1" x14ac:dyDescent="0.15"/>
    <row r="114" spans="2:5" s="11" customFormat="1" x14ac:dyDescent="0.15">
      <c r="B114" s="11" t="s">
        <v>1719</v>
      </c>
      <c r="C114" s="11" t="s">
        <v>105</v>
      </c>
      <c r="E114" s="11" t="s">
        <v>762</v>
      </c>
    </row>
    <row r="115" spans="2:5" s="11" customFormat="1" x14ac:dyDescent="0.15">
      <c r="B115" s="11" t="s">
        <v>1727</v>
      </c>
      <c r="C115" s="11" t="s">
        <v>105</v>
      </c>
      <c r="E115" s="11" t="s">
        <v>762</v>
      </c>
    </row>
    <row r="116" spans="2:5" s="11" customFormat="1" x14ac:dyDescent="0.15">
      <c r="B116" s="11" t="s">
        <v>1734</v>
      </c>
      <c r="C116" s="11" t="s">
        <v>105</v>
      </c>
      <c r="E116" s="11" t="s">
        <v>762</v>
      </c>
    </row>
    <row r="117" spans="2:5" s="11" customFormat="1" x14ac:dyDescent="0.15">
      <c r="B117" s="11" t="s">
        <v>1741</v>
      </c>
      <c r="C117" s="11" t="s">
        <v>105</v>
      </c>
      <c r="E117" s="11" t="s">
        <v>762</v>
      </c>
    </row>
    <row r="118" spans="2:5" s="11" customFormat="1" x14ac:dyDescent="0.15">
      <c r="B118" s="11" t="s">
        <v>1748</v>
      </c>
      <c r="C118" s="11" t="s">
        <v>105</v>
      </c>
      <c r="E118" s="11" t="s">
        <v>762</v>
      </c>
    </row>
    <row r="119" spans="2:5" s="11" customFormat="1" x14ac:dyDescent="0.15">
      <c r="B119" s="11" t="s">
        <v>1755</v>
      </c>
      <c r="C119" s="11" t="s">
        <v>105</v>
      </c>
      <c r="E119" s="11" t="s">
        <v>444</v>
      </c>
    </row>
    <row r="120" spans="2:5" s="11" customFormat="1" x14ac:dyDescent="0.15">
      <c r="B120" s="11" t="s">
        <v>1762</v>
      </c>
      <c r="C120" s="11" t="s">
        <v>105</v>
      </c>
      <c r="E120" s="11" t="s">
        <v>444</v>
      </c>
    </row>
    <row r="121" spans="2:5" s="11" customFormat="1" x14ac:dyDescent="0.15">
      <c r="B121" s="11" t="s">
        <v>1769</v>
      </c>
      <c r="C121" s="11" t="s">
        <v>105</v>
      </c>
      <c r="E121" s="11" t="s">
        <v>444</v>
      </c>
    </row>
    <row r="122" spans="2:5" s="11" customFormat="1" x14ac:dyDescent="0.15"/>
    <row r="123" spans="2:5" s="11" customFormat="1" x14ac:dyDescent="0.15">
      <c r="B123" s="11" t="s">
        <v>1775</v>
      </c>
      <c r="C123" s="11" t="s">
        <v>105</v>
      </c>
      <c r="E123" s="11" t="s">
        <v>444</v>
      </c>
    </row>
    <row r="124" spans="2:5" s="11" customFormat="1" x14ac:dyDescent="0.15">
      <c r="B124" s="11" t="s">
        <v>1781</v>
      </c>
      <c r="C124" s="11" t="s">
        <v>105</v>
      </c>
      <c r="E124" s="11" t="s">
        <v>444</v>
      </c>
    </row>
    <row r="125" spans="2:5" s="11" customFormat="1" x14ac:dyDescent="0.15">
      <c r="B125" s="11" t="s">
        <v>1787</v>
      </c>
      <c r="C125" s="11" t="s">
        <v>105</v>
      </c>
      <c r="E125" s="11" t="s">
        <v>444</v>
      </c>
    </row>
    <row r="126" spans="2:5" s="11" customFormat="1" x14ac:dyDescent="0.15"/>
    <row r="127" spans="2:5" s="11" customFormat="1" x14ac:dyDescent="0.15">
      <c r="B127" s="11" t="s">
        <v>3140</v>
      </c>
      <c r="C127" s="13" t="s">
        <v>105</v>
      </c>
      <c r="D127" s="13"/>
      <c r="E127" s="13" t="s">
        <v>677</v>
      </c>
    </row>
    <row r="128" spans="2:5" s="11" customFormat="1" x14ac:dyDescent="0.15">
      <c r="B128" s="11" t="s">
        <v>1790</v>
      </c>
      <c r="C128" s="13" t="s">
        <v>105</v>
      </c>
      <c r="D128" s="13"/>
      <c r="E128" s="13" t="s">
        <v>677</v>
      </c>
    </row>
    <row r="129" spans="1:6" s="11" customFormat="1" x14ac:dyDescent="0.15">
      <c r="B129" s="11" t="s">
        <v>3141</v>
      </c>
      <c r="C129" s="13" t="s">
        <v>105</v>
      </c>
      <c r="D129" s="13"/>
      <c r="E129" s="13" t="s">
        <v>677</v>
      </c>
    </row>
    <row r="130" spans="1:6" s="11" customFormat="1" x14ac:dyDescent="0.15">
      <c r="B130" s="11" t="s">
        <v>1794</v>
      </c>
      <c r="C130" s="13" t="s">
        <v>105</v>
      </c>
      <c r="D130" s="13"/>
      <c r="E130" s="13" t="s">
        <v>677</v>
      </c>
    </row>
    <row r="131" spans="1:6" s="11" customFormat="1" x14ac:dyDescent="0.15"/>
    <row r="132" spans="1:6" s="13" customFormat="1" ht="14.25" x14ac:dyDescent="0.2">
      <c r="B132" s="13" t="s">
        <v>2161</v>
      </c>
      <c r="C132" s="13" t="s">
        <v>676</v>
      </c>
      <c r="E132" s="165" t="s">
        <v>675</v>
      </c>
      <c r="F132" s="13" t="s">
        <v>674</v>
      </c>
    </row>
    <row r="133" spans="1:6" s="11" customFormat="1" x14ac:dyDescent="0.15"/>
    <row r="134" spans="1:6" s="11" customFormat="1" x14ac:dyDescent="0.15">
      <c r="A134" s="11" t="s">
        <v>737</v>
      </c>
      <c r="B134" s="11" t="s">
        <v>2162</v>
      </c>
      <c r="C134" s="11" t="s">
        <v>105</v>
      </c>
      <c r="E134" s="11" t="s">
        <v>2163</v>
      </c>
    </row>
    <row r="135" spans="1:6" s="11" customFormat="1" x14ac:dyDescent="0.15">
      <c r="A135" s="11" t="s">
        <v>737</v>
      </c>
      <c r="B135" s="11" t="s">
        <v>2164</v>
      </c>
      <c r="C135" s="11" t="s">
        <v>105</v>
      </c>
      <c r="E135" s="11" t="s">
        <v>2163</v>
      </c>
    </row>
    <row r="136" spans="1:6" s="11" customFormat="1" x14ac:dyDescent="0.15">
      <c r="A136" s="11" t="s">
        <v>737</v>
      </c>
      <c r="B136" s="11" t="s">
        <v>2165</v>
      </c>
      <c r="C136" s="11" t="s">
        <v>105</v>
      </c>
      <c r="E136" s="11" t="s">
        <v>2163</v>
      </c>
    </row>
    <row r="137" spans="1:6" s="11" customFormat="1" x14ac:dyDescent="0.15">
      <c r="A137" s="11" t="s">
        <v>737</v>
      </c>
      <c r="B137" s="11" t="s">
        <v>2166</v>
      </c>
      <c r="C137" s="11" t="s">
        <v>105</v>
      </c>
      <c r="E137" s="11" t="s">
        <v>2163</v>
      </c>
    </row>
    <row r="138" spans="1:6" s="11" customFormat="1" x14ac:dyDescent="0.15">
      <c r="A138" s="11" t="s">
        <v>737</v>
      </c>
      <c r="B138" s="11" t="s">
        <v>2167</v>
      </c>
      <c r="C138" s="11" t="s">
        <v>105</v>
      </c>
      <c r="E138" s="11" t="s">
        <v>2163</v>
      </c>
    </row>
    <row r="139" spans="1:6" s="11" customFormat="1" x14ac:dyDescent="0.15">
      <c r="A139" s="11" t="s">
        <v>737</v>
      </c>
      <c r="B139" s="11" t="s">
        <v>2168</v>
      </c>
      <c r="C139" s="11" t="s">
        <v>105</v>
      </c>
      <c r="E139" s="11" t="s">
        <v>2163</v>
      </c>
    </row>
    <row r="140" spans="1:6" s="11" customFormat="1" x14ac:dyDescent="0.15">
      <c r="A140" s="11" t="s">
        <v>737</v>
      </c>
      <c r="B140" s="11" t="s">
        <v>2169</v>
      </c>
      <c r="C140" s="11" t="s">
        <v>105</v>
      </c>
      <c r="E140" s="11" t="s">
        <v>2163</v>
      </c>
    </row>
    <row r="141" spans="1:6" s="11" customFormat="1" x14ac:dyDescent="0.15">
      <c r="A141" s="11" t="s">
        <v>737</v>
      </c>
      <c r="B141" s="11" t="s">
        <v>2170</v>
      </c>
      <c r="C141" s="11" t="s">
        <v>105</v>
      </c>
      <c r="E141" s="11" t="s">
        <v>2163</v>
      </c>
    </row>
    <row r="142" spans="1:6" s="11" customFormat="1" x14ac:dyDescent="0.15">
      <c r="A142" s="11" t="s">
        <v>737</v>
      </c>
      <c r="B142" s="11" t="s">
        <v>2171</v>
      </c>
      <c r="C142" s="11" t="s">
        <v>105</v>
      </c>
      <c r="E142" s="11" t="s">
        <v>2172</v>
      </c>
    </row>
    <row r="143" spans="1:6" s="11" customFormat="1" x14ac:dyDescent="0.15">
      <c r="A143" s="11" t="s">
        <v>737</v>
      </c>
      <c r="B143" s="11" t="s">
        <v>2173</v>
      </c>
      <c r="C143" s="11" t="s">
        <v>105</v>
      </c>
      <c r="E143" s="11" t="s">
        <v>2172</v>
      </c>
    </row>
    <row r="144" spans="1:6" s="11" customFormat="1" x14ac:dyDescent="0.15">
      <c r="A144" s="11" t="s">
        <v>737</v>
      </c>
      <c r="B144" s="11" t="s">
        <v>2174</v>
      </c>
      <c r="C144" s="11" t="s">
        <v>105</v>
      </c>
      <c r="E144" s="11" t="s">
        <v>2172</v>
      </c>
    </row>
    <row r="145" spans="1:5" s="11" customFormat="1" x14ac:dyDescent="0.15">
      <c r="A145" s="11" t="s">
        <v>737</v>
      </c>
      <c r="B145" s="11" t="s">
        <v>2175</v>
      </c>
      <c r="C145" s="11" t="s">
        <v>105</v>
      </c>
      <c r="E145" s="11" t="s">
        <v>2176</v>
      </c>
    </row>
    <row r="146" spans="1:5" s="11" customFormat="1" x14ac:dyDescent="0.15">
      <c r="A146" s="11" t="s">
        <v>737</v>
      </c>
      <c r="B146" s="11" t="s">
        <v>2177</v>
      </c>
      <c r="C146" s="11" t="s">
        <v>105</v>
      </c>
      <c r="E146" s="11" t="s">
        <v>2176</v>
      </c>
    </row>
    <row r="147" spans="1:5" s="11" customFormat="1" x14ac:dyDescent="0.15">
      <c r="A147" s="11" t="s">
        <v>737</v>
      </c>
      <c r="B147" s="11" t="s">
        <v>2178</v>
      </c>
      <c r="C147" s="11" t="s">
        <v>105</v>
      </c>
      <c r="E147" s="11" t="s">
        <v>2176</v>
      </c>
    </row>
    <row r="148" spans="1:5" s="11" customFormat="1" x14ac:dyDescent="0.15">
      <c r="A148" s="11" t="s">
        <v>737</v>
      </c>
      <c r="B148" s="11" t="s">
        <v>2179</v>
      </c>
      <c r="C148" s="11" t="s">
        <v>105</v>
      </c>
      <c r="E148" s="11" t="s">
        <v>2176</v>
      </c>
    </row>
    <row r="149" spans="1:5" s="11" customFormat="1" x14ac:dyDescent="0.15">
      <c r="A149" s="11" t="s">
        <v>737</v>
      </c>
      <c r="B149" s="11" t="s">
        <v>2180</v>
      </c>
      <c r="C149" s="11" t="s">
        <v>105</v>
      </c>
      <c r="E149" s="11" t="s">
        <v>2176</v>
      </c>
    </row>
    <row r="150" spans="1:5" s="11" customFormat="1" x14ac:dyDescent="0.15">
      <c r="A150" s="11" t="s">
        <v>737</v>
      </c>
      <c r="B150" s="11" t="s">
        <v>2181</v>
      </c>
      <c r="C150" s="11" t="s">
        <v>105</v>
      </c>
      <c r="E150" s="11" t="s">
        <v>2182</v>
      </c>
    </row>
    <row r="151" spans="1:5" s="11" customFormat="1" x14ac:dyDescent="0.15">
      <c r="A151" s="11" t="s">
        <v>737</v>
      </c>
      <c r="B151" s="11" t="s">
        <v>2183</v>
      </c>
      <c r="C151" s="11" t="s">
        <v>105</v>
      </c>
      <c r="E151" s="11" t="s">
        <v>2182</v>
      </c>
    </row>
    <row r="152" spans="1:5" s="11" customFormat="1" x14ac:dyDescent="0.15">
      <c r="A152" s="11" t="s">
        <v>737</v>
      </c>
      <c r="B152" s="11" t="s">
        <v>2184</v>
      </c>
      <c r="C152" s="11" t="s">
        <v>105</v>
      </c>
      <c r="E152" s="11" t="s">
        <v>2182</v>
      </c>
    </row>
    <row r="153" spans="1:5" s="11" customFormat="1" x14ac:dyDescent="0.15">
      <c r="A153" s="11" t="s">
        <v>737</v>
      </c>
      <c r="B153" s="11" t="s">
        <v>2185</v>
      </c>
      <c r="C153" s="11" t="s">
        <v>105</v>
      </c>
      <c r="E153" s="11" t="s">
        <v>2182</v>
      </c>
    </row>
    <row r="154" spans="1:5" s="11" customFormat="1" x14ac:dyDescent="0.15">
      <c r="A154" s="11" t="s">
        <v>737</v>
      </c>
      <c r="B154" s="11" t="s">
        <v>2186</v>
      </c>
      <c r="C154" s="11" t="s">
        <v>105</v>
      </c>
      <c r="E154" s="11" t="s">
        <v>2182</v>
      </c>
    </row>
    <row r="155" spans="1:5" s="11" customFormat="1" x14ac:dyDescent="0.15">
      <c r="A155" s="11" t="s">
        <v>737</v>
      </c>
      <c r="B155" s="11" t="s">
        <v>2187</v>
      </c>
      <c r="C155" s="11" t="s">
        <v>105</v>
      </c>
      <c r="E155" s="11" t="s">
        <v>2182</v>
      </c>
    </row>
    <row r="156" spans="1:5" s="11" customFormat="1" x14ac:dyDescent="0.15">
      <c r="A156" s="11" t="s">
        <v>737</v>
      </c>
      <c r="B156" s="11" t="s">
        <v>2188</v>
      </c>
      <c r="C156" s="11" t="s">
        <v>105</v>
      </c>
      <c r="E156" s="11" t="s">
        <v>2189</v>
      </c>
    </row>
    <row r="157" spans="1:5" s="11" customFormat="1" x14ac:dyDescent="0.15">
      <c r="A157" s="11" t="s">
        <v>737</v>
      </c>
      <c r="B157" s="11" t="s">
        <v>2190</v>
      </c>
      <c r="C157" s="11" t="s">
        <v>105</v>
      </c>
      <c r="E157" s="11" t="s">
        <v>2189</v>
      </c>
    </row>
    <row r="158" spans="1:5" s="11" customFormat="1" x14ac:dyDescent="0.15">
      <c r="A158" s="11" t="s">
        <v>737</v>
      </c>
      <c r="B158" s="11" t="s">
        <v>2191</v>
      </c>
      <c r="C158" s="11" t="s">
        <v>105</v>
      </c>
      <c r="E158" s="11" t="s">
        <v>2192</v>
      </c>
    </row>
    <row r="159" spans="1:5" s="11" customFormat="1" x14ac:dyDescent="0.15">
      <c r="A159" s="11" t="s">
        <v>737</v>
      </c>
      <c r="B159" s="11" t="s">
        <v>2193</v>
      </c>
      <c r="C159" s="11" t="s">
        <v>105</v>
      </c>
      <c r="E159" s="11" t="s">
        <v>2194</v>
      </c>
    </row>
    <row r="160" spans="1:5" s="11" customFormat="1" x14ac:dyDescent="0.15">
      <c r="A160" s="11" t="s">
        <v>737</v>
      </c>
      <c r="B160" s="11" t="s">
        <v>2195</v>
      </c>
      <c r="C160" s="11" t="s">
        <v>105</v>
      </c>
      <c r="E160" s="11" t="s">
        <v>2194</v>
      </c>
    </row>
    <row r="161" spans="1:5" s="11" customFormat="1" x14ac:dyDescent="0.15">
      <c r="A161" s="11" t="s">
        <v>737</v>
      </c>
      <c r="B161" s="11" t="s">
        <v>2196</v>
      </c>
      <c r="C161" s="11" t="s">
        <v>105</v>
      </c>
      <c r="E161" s="11" t="s">
        <v>2197</v>
      </c>
    </row>
    <row r="162" spans="1:5" s="11" customFormat="1" x14ac:dyDescent="0.15">
      <c r="A162" s="11" t="s">
        <v>737</v>
      </c>
      <c r="B162" s="11" t="s">
        <v>2198</v>
      </c>
      <c r="C162" s="11" t="s">
        <v>105</v>
      </c>
      <c r="E162" s="11" t="s">
        <v>2197</v>
      </c>
    </row>
    <row r="163" spans="1:5" s="11" customFormat="1" x14ac:dyDescent="0.15">
      <c r="A163" s="11" t="s">
        <v>737</v>
      </c>
      <c r="B163" s="11" t="s">
        <v>2199</v>
      </c>
      <c r="C163" s="11" t="s">
        <v>105</v>
      </c>
      <c r="E163" s="11" t="s">
        <v>2197</v>
      </c>
    </row>
    <row r="164" spans="1:5" s="11" customFormat="1" x14ac:dyDescent="0.15">
      <c r="A164" s="11" t="s">
        <v>737</v>
      </c>
      <c r="B164" s="11" t="s">
        <v>2200</v>
      </c>
      <c r="C164" s="11" t="s">
        <v>105</v>
      </c>
      <c r="E164" s="11" t="s">
        <v>2197</v>
      </c>
    </row>
    <row r="165" spans="1:5" s="11" customFormat="1" x14ac:dyDescent="0.15">
      <c r="A165" s="11" t="s">
        <v>737</v>
      </c>
      <c r="B165" s="11" t="s">
        <v>2201</v>
      </c>
      <c r="C165" s="11" t="s">
        <v>105</v>
      </c>
      <c r="E165" s="11" t="s">
        <v>2197</v>
      </c>
    </row>
    <row r="166" spans="1:5" s="11" customFormat="1" x14ac:dyDescent="0.15">
      <c r="A166" s="11" t="s">
        <v>737</v>
      </c>
      <c r="B166" s="11" t="s">
        <v>2202</v>
      </c>
      <c r="C166" s="11" t="s">
        <v>105</v>
      </c>
      <c r="E166" s="11" t="s">
        <v>2203</v>
      </c>
    </row>
    <row r="167" spans="1:5" s="11" customFormat="1" x14ac:dyDescent="0.15">
      <c r="A167" s="11" t="s">
        <v>737</v>
      </c>
      <c r="B167" s="11" t="s">
        <v>2204</v>
      </c>
      <c r="C167" s="11" t="s">
        <v>105</v>
      </c>
      <c r="E167" s="11" t="s">
        <v>2203</v>
      </c>
    </row>
    <row r="168" spans="1:5" s="11" customFormat="1" x14ac:dyDescent="0.15">
      <c r="A168" s="11" t="s">
        <v>737</v>
      </c>
      <c r="B168" s="11" t="s">
        <v>2205</v>
      </c>
      <c r="C168" s="11" t="s">
        <v>105</v>
      </c>
      <c r="E168" s="11" t="s">
        <v>2203</v>
      </c>
    </row>
    <row r="169" spans="1:5" s="11" customFormat="1" x14ac:dyDescent="0.15">
      <c r="A169" s="11" t="s">
        <v>737</v>
      </c>
      <c r="B169" s="11" t="s">
        <v>2206</v>
      </c>
      <c r="C169" s="11" t="s">
        <v>105</v>
      </c>
      <c r="E169" s="11" t="s">
        <v>2203</v>
      </c>
    </row>
    <row r="170" spans="1:5" s="11" customFormat="1" x14ac:dyDescent="0.15">
      <c r="A170" s="11" t="s">
        <v>737</v>
      </c>
      <c r="B170" s="11" t="s">
        <v>2207</v>
      </c>
      <c r="C170" s="11" t="s">
        <v>105</v>
      </c>
      <c r="E170" s="11" t="s">
        <v>2208</v>
      </c>
    </row>
    <row r="171" spans="1:5" s="11" customFormat="1" x14ac:dyDescent="0.15">
      <c r="A171" s="11" t="s">
        <v>737</v>
      </c>
      <c r="B171" s="11" t="s">
        <v>2209</v>
      </c>
      <c r="C171" s="11" t="s">
        <v>105</v>
      </c>
      <c r="E171" s="11" t="s">
        <v>2192</v>
      </c>
    </row>
    <row r="172" spans="1:5" s="11" customFormat="1" x14ac:dyDescent="0.15">
      <c r="A172" s="11" t="s">
        <v>737</v>
      </c>
      <c r="B172" s="11" t="s">
        <v>2210</v>
      </c>
      <c r="C172" s="11" t="s">
        <v>105</v>
      </c>
      <c r="E172" s="11" t="s">
        <v>2192</v>
      </c>
    </row>
    <row r="173" spans="1:5" s="11" customFormat="1" x14ac:dyDescent="0.15">
      <c r="A173" s="11" t="s">
        <v>737</v>
      </c>
      <c r="B173" s="11" t="s">
        <v>2211</v>
      </c>
      <c r="C173" s="11" t="s">
        <v>105</v>
      </c>
      <c r="E173" s="11" t="s">
        <v>2192</v>
      </c>
    </row>
    <row r="174" spans="1:5" s="11" customFormat="1" x14ac:dyDescent="0.15">
      <c r="A174" s="11" t="s">
        <v>737</v>
      </c>
      <c r="B174" s="11" t="s">
        <v>2212</v>
      </c>
      <c r="C174" s="11" t="s">
        <v>105</v>
      </c>
      <c r="E174" s="11" t="s">
        <v>2213</v>
      </c>
    </row>
    <row r="175" spans="1:5" s="11" customFormat="1" x14ac:dyDescent="0.15">
      <c r="A175" s="11" t="s">
        <v>737</v>
      </c>
      <c r="B175" s="11" t="s">
        <v>2214</v>
      </c>
      <c r="C175" s="11" t="s">
        <v>105</v>
      </c>
      <c r="E175" s="11" t="s">
        <v>2215</v>
      </c>
    </row>
    <row r="176" spans="1:5" s="11" customFormat="1" x14ac:dyDescent="0.15">
      <c r="A176" s="11" t="s">
        <v>737</v>
      </c>
      <c r="B176" s="11" t="s">
        <v>2216</v>
      </c>
      <c r="C176" s="11" t="s">
        <v>105</v>
      </c>
      <c r="E176" s="11" t="s">
        <v>2217</v>
      </c>
    </row>
    <row r="177" spans="1:5" s="11" customFormat="1" x14ac:dyDescent="0.15">
      <c r="A177" s="11" t="s">
        <v>737</v>
      </c>
      <c r="B177" s="11" t="s">
        <v>2218</v>
      </c>
      <c r="C177" s="11" t="s">
        <v>105</v>
      </c>
      <c r="E177" s="11" t="s">
        <v>1351</v>
      </c>
    </row>
    <row r="178" spans="1:5" s="11" customFormat="1" x14ac:dyDescent="0.15">
      <c r="A178" s="11" t="s">
        <v>737</v>
      </c>
      <c r="B178" s="11" t="s">
        <v>2219</v>
      </c>
      <c r="C178" s="11" t="s">
        <v>105</v>
      </c>
      <c r="E178" s="11" t="s">
        <v>1351</v>
      </c>
    </row>
    <row r="179" spans="1:5" s="11" customFormat="1" x14ac:dyDescent="0.15">
      <c r="A179" s="11" t="s">
        <v>737</v>
      </c>
      <c r="B179" s="11" t="s">
        <v>2220</v>
      </c>
      <c r="C179" s="11" t="s">
        <v>105</v>
      </c>
      <c r="E179" s="11" t="s">
        <v>1351</v>
      </c>
    </row>
    <row r="180" spans="1:5" s="11" customFormat="1" x14ac:dyDescent="0.15">
      <c r="A180" s="11" t="s">
        <v>737</v>
      </c>
      <c r="B180" s="11" t="s">
        <v>2221</v>
      </c>
      <c r="C180" s="11" t="s">
        <v>105</v>
      </c>
      <c r="E180" s="11" t="s">
        <v>1351</v>
      </c>
    </row>
    <row r="181" spans="1:5" s="11" customFormat="1" x14ac:dyDescent="0.15">
      <c r="A181" s="11" t="s">
        <v>737</v>
      </c>
      <c r="B181" s="11" t="s">
        <v>2222</v>
      </c>
      <c r="C181" s="11" t="s">
        <v>105</v>
      </c>
      <c r="E181" s="11" t="s">
        <v>1351</v>
      </c>
    </row>
    <row r="182" spans="1:5" s="11" customFormat="1" x14ac:dyDescent="0.15">
      <c r="A182" s="11" t="s">
        <v>737</v>
      </c>
      <c r="B182" s="11" t="s">
        <v>2223</v>
      </c>
      <c r="C182" s="11" t="s">
        <v>105</v>
      </c>
      <c r="E182" s="11" t="s">
        <v>2194</v>
      </c>
    </row>
    <row r="183" spans="1:5" s="11" customFormat="1" x14ac:dyDescent="0.15">
      <c r="A183" s="11" t="s">
        <v>737</v>
      </c>
      <c r="B183" s="11" t="s">
        <v>2224</v>
      </c>
      <c r="C183" s="11" t="s">
        <v>105</v>
      </c>
      <c r="E183" s="11" t="s">
        <v>2194</v>
      </c>
    </row>
    <row r="184" spans="1:5" s="11" customFormat="1" x14ac:dyDescent="0.15">
      <c r="A184" s="11" t="s">
        <v>737</v>
      </c>
      <c r="B184" s="11" t="s">
        <v>2225</v>
      </c>
      <c r="C184" s="11" t="s">
        <v>105</v>
      </c>
      <c r="E184" s="11" t="s">
        <v>2194</v>
      </c>
    </row>
    <row r="185" spans="1:5" s="11" customFormat="1" x14ac:dyDescent="0.15">
      <c r="A185" s="11" t="s">
        <v>737</v>
      </c>
      <c r="B185" s="11" t="s">
        <v>2226</v>
      </c>
      <c r="C185" s="11" t="s">
        <v>105</v>
      </c>
      <c r="E185" s="11" t="s">
        <v>2194</v>
      </c>
    </row>
    <row r="186" spans="1:5" s="11" customFormat="1" x14ac:dyDescent="0.15">
      <c r="A186" s="11" t="s">
        <v>737</v>
      </c>
      <c r="B186" s="11" t="s">
        <v>2227</v>
      </c>
      <c r="C186" s="11" t="s">
        <v>105</v>
      </c>
      <c r="E186" s="11" t="s">
        <v>2197</v>
      </c>
    </row>
    <row r="187" spans="1:5" s="11" customFormat="1" x14ac:dyDescent="0.15">
      <c r="A187" s="11" t="s">
        <v>737</v>
      </c>
      <c r="B187" s="11" t="s">
        <v>2228</v>
      </c>
      <c r="C187" s="11" t="s">
        <v>105</v>
      </c>
      <c r="E187" s="11" t="s">
        <v>2229</v>
      </c>
    </row>
    <row r="188" spans="1:5" s="11" customFormat="1" x14ac:dyDescent="0.15">
      <c r="A188" s="11" t="s">
        <v>737</v>
      </c>
      <c r="B188" s="11" t="s">
        <v>2230</v>
      </c>
      <c r="C188" s="11" t="s">
        <v>105</v>
      </c>
      <c r="E188" s="11" t="s">
        <v>2229</v>
      </c>
    </row>
    <row r="189" spans="1:5" s="11" customFormat="1" x14ac:dyDescent="0.15">
      <c r="A189" s="11" t="s">
        <v>737</v>
      </c>
      <c r="B189" s="11" t="s">
        <v>2231</v>
      </c>
      <c r="C189" s="11" t="s">
        <v>105</v>
      </c>
      <c r="E189" s="11" t="s">
        <v>2232</v>
      </c>
    </row>
    <row r="190" spans="1:5" s="11" customFormat="1" x14ac:dyDescent="0.15">
      <c r="A190" s="11" t="s">
        <v>737</v>
      </c>
      <c r="B190" s="11" t="s">
        <v>2233</v>
      </c>
      <c r="C190" s="11" t="s">
        <v>105</v>
      </c>
      <c r="E190" s="11" t="s">
        <v>2234</v>
      </c>
    </row>
    <row r="191" spans="1:5" s="11" customFormat="1" x14ac:dyDescent="0.15">
      <c r="A191" s="11" t="s">
        <v>737</v>
      </c>
      <c r="B191" s="11" t="s">
        <v>2235</v>
      </c>
      <c r="C191" s="11" t="s">
        <v>105</v>
      </c>
      <c r="E191" s="11" t="s">
        <v>2236</v>
      </c>
    </row>
    <row r="192" spans="1:5" s="11" customFormat="1" x14ac:dyDescent="0.15">
      <c r="A192" s="11" t="s">
        <v>737</v>
      </c>
      <c r="B192" s="11" t="s">
        <v>2237</v>
      </c>
      <c r="C192" s="11" t="s">
        <v>105</v>
      </c>
      <c r="E192" s="11" t="s">
        <v>2238</v>
      </c>
    </row>
    <row r="193" spans="1:5" s="11" customFormat="1" x14ac:dyDescent="0.15">
      <c r="A193" s="11" t="s">
        <v>737</v>
      </c>
      <c r="B193" s="11" t="s">
        <v>2239</v>
      </c>
      <c r="C193" s="11" t="s">
        <v>105</v>
      </c>
      <c r="E193" s="11" t="s">
        <v>2240</v>
      </c>
    </row>
    <row r="194" spans="1:5" s="11" customFormat="1" x14ac:dyDescent="0.15">
      <c r="A194" s="11" t="s">
        <v>737</v>
      </c>
      <c r="B194" s="11" t="s">
        <v>2241</v>
      </c>
      <c r="C194" s="11" t="s">
        <v>105</v>
      </c>
      <c r="E194" s="11" t="s">
        <v>2240</v>
      </c>
    </row>
    <row r="195" spans="1:5" s="11" customFormat="1" x14ac:dyDescent="0.15">
      <c r="A195" s="11" t="s">
        <v>737</v>
      </c>
      <c r="B195" s="11" t="s">
        <v>2242</v>
      </c>
      <c r="C195" s="11" t="s">
        <v>105</v>
      </c>
      <c r="E195" s="11" t="s">
        <v>2240</v>
      </c>
    </row>
    <row r="196" spans="1:5" s="11" customFormat="1" x14ac:dyDescent="0.15">
      <c r="A196" s="11" t="s">
        <v>737</v>
      </c>
      <c r="B196" s="11" t="s">
        <v>2243</v>
      </c>
      <c r="C196" s="11" t="s">
        <v>105</v>
      </c>
      <c r="E196" s="11" t="s">
        <v>2240</v>
      </c>
    </row>
    <row r="197" spans="1:5" s="11" customFormat="1" x14ac:dyDescent="0.15">
      <c r="A197" s="11" t="s">
        <v>737</v>
      </c>
      <c r="B197" s="11" t="s">
        <v>2244</v>
      </c>
      <c r="C197" s="11" t="s">
        <v>105</v>
      </c>
      <c r="E197" s="11" t="s">
        <v>2240</v>
      </c>
    </row>
  </sheetData>
  <phoneticPr fontId="11" type="noConversion"/>
  <pageMargins left="0.7" right="0.7" top="0.75" bottom="0.75" header="0.3" footer="0.3"/>
  <pageSetup paperSize="9" orientation="portrait" verticalDpi="0" r:id="rId1"/>
  <legacy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65F76D-FA0E-499F-A106-022C7EE9AA86}">
  <sheetPr codeName="Sheet39">
    <tabColor theme="2"/>
  </sheetPr>
  <dimension ref="A1:I7"/>
  <sheetViews>
    <sheetView workbookViewId="0"/>
  </sheetViews>
  <sheetFormatPr defaultRowHeight="13.5" x14ac:dyDescent="0.15"/>
  <cols>
    <col min="2" max="2" width="17.5" bestFit="1" customWidth="1"/>
    <col min="3" max="3" width="11.625" bestFit="1" customWidth="1"/>
    <col min="4" max="4" width="22.75" bestFit="1" customWidth="1"/>
    <col min="9" max="9" width="15.5" bestFit="1" customWidth="1"/>
  </cols>
  <sheetData>
    <row r="1" spans="1:9" s="4" customFormat="1" x14ac:dyDescent="0.15">
      <c r="A1" s="4" t="s">
        <v>673</v>
      </c>
      <c r="B1" s="4" t="s">
        <v>672</v>
      </c>
    </row>
    <row r="2" spans="1:9" s="4" customFormat="1" ht="14.25" x14ac:dyDescent="0.15">
      <c r="A2" s="40" t="s">
        <v>70</v>
      </c>
      <c r="B2" s="64" t="s">
        <v>671</v>
      </c>
      <c r="C2" s="64" t="s">
        <v>670</v>
      </c>
      <c r="D2" s="64" t="s">
        <v>669</v>
      </c>
      <c r="E2" s="64" t="s">
        <v>668</v>
      </c>
      <c r="F2" s="64" t="s">
        <v>667</v>
      </c>
      <c r="G2" s="64" t="s">
        <v>666</v>
      </c>
      <c r="H2" s="64" t="s">
        <v>665</v>
      </c>
      <c r="I2" s="64" t="s">
        <v>777</v>
      </c>
    </row>
    <row r="3" spans="1:9" s="4" customFormat="1" x14ac:dyDescent="0.15">
      <c r="B3" s="63" t="s">
        <v>72</v>
      </c>
      <c r="C3" s="63" t="s">
        <v>72</v>
      </c>
      <c r="D3" s="63" t="s">
        <v>72</v>
      </c>
      <c r="E3" s="63" t="s">
        <v>72</v>
      </c>
      <c r="F3" s="63" t="s">
        <v>72</v>
      </c>
      <c r="G3" s="63" t="s">
        <v>72</v>
      </c>
      <c r="H3" s="63" t="s">
        <v>72</v>
      </c>
      <c r="I3" s="63" t="s">
        <v>566</v>
      </c>
    </row>
    <row r="4" spans="1:9" s="4" customFormat="1" x14ac:dyDescent="0.15">
      <c r="B4" s="62" t="s">
        <v>75</v>
      </c>
      <c r="C4" s="62" t="s">
        <v>237</v>
      </c>
      <c r="D4" s="62" t="s">
        <v>237</v>
      </c>
      <c r="E4" s="62" t="s">
        <v>237</v>
      </c>
      <c r="F4" s="62" t="s">
        <v>237</v>
      </c>
      <c r="G4" s="62" t="s">
        <v>237</v>
      </c>
      <c r="H4" s="62" t="s">
        <v>237</v>
      </c>
      <c r="I4" s="62" t="s">
        <v>237</v>
      </c>
    </row>
    <row r="5" spans="1:9" s="4" customFormat="1" x14ac:dyDescent="0.15">
      <c r="B5" s="63" t="s">
        <v>81</v>
      </c>
      <c r="C5" s="63" t="s">
        <v>664</v>
      </c>
      <c r="D5" s="63" t="s">
        <v>663</v>
      </c>
      <c r="E5" s="63" t="s">
        <v>662</v>
      </c>
      <c r="F5" s="63" t="s">
        <v>661</v>
      </c>
      <c r="G5" s="63" t="s">
        <v>660</v>
      </c>
      <c r="H5" s="63" t="s">
        <v>659</v>
      </c>
      <c r="I5" s="63" t="s">
        <v>778</v>
      </c>
    </row>
    <row r="6" spans="1:9" s="4" customFormat="1" x14ac:dyDescent="0.15">
      <c r="B6" s="62" t="s">
        <v>658</v>
      </c>
      <c r="C6" s="62"/>
      <c r="D6" s="62"/>
      <c r="E6" s="62"/>
      <c r="F6" s="62"/>
      <c r="G6" s="62"/>
      <c r="H6" s="62"/>
      <c r="I6" s="62"/>
    </row>
    <row r="7" spans="1:9" s="13" customFormat="1" x14ac:dyDescent="0.15">
      <c r="B7" s="11" t="s">
        <v>1556</v>
      </c>
      <c r="C7" s="13">
        <v>300</v>
      </c>
      <c r="D7" s="11">
        <v>50</v>
      </c>
      <c r="E7" s="13">
        <v>27351</v>
      </c>
      <c r="F7" s="13">
        <v>6054</v>
      </c>
      <c r="G7" s="13">
        <v>455869</v>
      </c>
      <c r="H7" s="13">
        <v>223</v>
      </c>
      <c r="I7" s="13">
        <v>1</v>
      </c>
    </row>
  </sheetData>
  <phoneticPr fontId="11" type="noConversion"/>
  <pageMargins left="0.7" right="0.7" top="0.75" bottom="0.75" header="0.3" footer="0.3"/>
  <legacy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4F0E22-AD9F-4B49-AB3B-669522568618}">
  <sheetPr codeName="Sheet40">
    <tabColor theme="2"/>
  </sheetPr>
  <dimension ref="A1:N18"/>
  <sheetViews>
    <sheetView workbookViewId="0"/>
  </sheetViews>
  <sheetFormatPr defaultRowHeight="13.5" x14ac:dyDescent="0.15"/>
  <cols>
    <col min="5" max="5" width="12.375" customWidth="1"/>
    <col min="7" max="7" width="12.625" customWidth="1"/>
    <col min="8" max="8" width="21.125" customWidth="1"/>
    <col min="9" max="9" width="11.125" customWidth="1"/>
    <col min="10" max="10" width="16.375" bestFit="1" customWidth="1"/>
    <col min="11" max="11" width="24.875" bestFit="1" customWidth="1"/>
  </cols>
  <sheetData>
    <row r="1" spans="1:14" x14ac:dyDescent="0.15">
      <c r="A1" t="s">
        <v>657</v>
      </c>
      <c r="B1" t="s">
        <v>656</v>
      </c>
    </row>
    <row r="2" spans="1:14" x14ac:dyDescent="0.15">
      <c r="A2" s="17" t="s">
        <v>70</v>
      </c>
      <c r="B2" s="16" t="s">
        <v>123</v>
      </c>
      <c r="C2" s="16" t="s">
        <v>655</v>
      </c>
      <c r="D2" s="16" t="s">
        <v>627</v>
      </c>
      <c r="E2" s="16" t="s">
        <v>654</v>
      </c>
      <c r="F2" s="16" t="s">
        <v>653</v>
      </c>
      <c r="G2" s="16" t="s">
        <v>652</v>
      </c>
      <c r="H2" s="16" t="s">
        <v>651</v>
      </c>
      <c r="I2" s="16" t="s">
        <v>650</v>
      </c>
      <c r="J2" s="16" t="s">
        <v>649</v>
      </c>
      <c r="K2" s="16" t="s">
        <v>648</v>
      </c>
      <c r="L2" s="16" t="s">
        <v>71</v>
      </c>
      <c r="M2" s="16" t="s">
        <v>647</v>
      </c>
      <c r="N2" s="16" t="s">
        <v>71</v>
      </c>
    </row>
    <row r="3" spans="1:14" x14ac:dyDescent="0.15">
      <c r="A3" s="35"/>
      <c r="B3" s="15" t="s">
        <v>72</v>
      </c>
      <c r="C3" s="15" t="s">
        <v>74</v>
      </c>
      <c r="D3" s="15" t="s">
        <v>74</v>
      </c>
      <c r="E3" s="15" t="s">
        <v>72</v>
      </c>
      <c r="F3" s="15" t="s">
        <v>72</v>
      </c>
      <c r="G3" s="15" t="s">
        <v>72</v>
      </c>
      <c r="H3" s="15" t="s">
        <v>72</v>
      </c>
      <c r="I3" s="15" t="s">
        <v>72</v>
      </c>
      <c r="J3" s="15" t="s">
        <v>72</v>
      </c>
      <c r="K3" s="15" t="s">
        <v>74</v>
      </c>
      <c r="L3" s="15" t="s">
        <v>73</v>
      </c>
      <c r="M3" s="15" t="s">
        <v>74</v>
      </c>
      <c r="N3" s="15" t="s">
        <v>73</v>
      </c>
    </row>
    <row r="4" spans="1:14" x14ac:dyDescent="0.15">
      <c r="A4" s="17"/>
      <c r="B4" s="14" t="s">
        <v>75</v>
      </c>
      <c r="C4" s="14" t="s">
        <v>75</v>
      </c>
      <c r="D4" s="14" t="s">
        <v>75</v>
      </c>
      <c r="E4" s="14" t="s">
        <v>75</v>
      </c>
      <c r="F4" s="14" t="s">
        <v>646</v>
      </c>
      <c r="G4" s="14" t="s">
        <v>75</v>
      </c>
      <c r="H4" s="14" t="s">
        <v>238</v>
      </c>
      <c r="I4" s="14" t="s">
        <v>75</v>
      </c>
      <c r="J4" s="14" t="s">
        <v>119</v>
      </c>
      <c r="K4" s="14" t="s">
        <v>75</v>
      </c>
      <c r="L4" s="14" t="s">
        <v>73</v>
      </c>
      <c r="M4" s="14" t="s">
        <v>75</v>
      </c>
      <c r="N4" s="14" t="s">
        <v>73</v>
      </c>
    </row>
    <row r="5" spans="1:14" x14ac:dyDescent="0.15">
      <c r="A5" s="17"/>
      <c r="B5" s="15" t="s">
        <v>81</v>
      </c>
      <c r="C5" s="15" t="s">
        <v>194</v>
      </c>
      <c r="D5" s="15" t="s">
        <v>86</v>
      </c>
      <c r="E5" s="15" t="s">
        <v>645</v>
      </c>
      <c r="F5" s="15" t="s">
        <v>644</v>
      </c>
      <c r="G5" s="15" t="s">
        <v>643</v>
      </c>
      <c r="H5" s="15" t="s">
        <v>642</v>
      </c>
      <c r="I5" s="15" t="s">
        <v>641</v>
      </c>
      <c r="J5" s="15" t="s">
        <v>640</v>
      </c>
      <c r="K5" s="15" t="s">
        <v>639</v>
      </c>
      <c r="L5" s="15" t="s">
        <v>638</v>
      </c>
      <c r="M5" s="15" t="s">
        <v>637</v>
      </c>
      <c r="N5" s="15" t="s">
        <v>636</v>
      </c>
    </row>
    <row r="6" spans="1:14" x14ac:dyDescent="0.15">
      <c r="A6" s="17"/>
      <c r="B6" s="14" t="s">
        <v>77</v>
      </c>
      <c r="C6" s="14" t="s">
        <v>78</v>
      </c>
      <c r="D6" s="14"/>
      <c r="E6" s="14" t="s">
        <v>635</v>
      </c>
      <c r="F6" s="14" t="s">
        <v>634</v>
      </c>
      <c r="G6" s="14" t="s">
        <v>633</v>
      </c>
      <c r="H6" s="14"/>
      <c r="I6" s="14" t="s">
        <v>632</v>
      </c>
      <c r="J6" s="14"/>
      <c r="K6" s="14" t="s">
        <v>78</v>
      </c>
      <c r="L6" s="14"/>
      <c r="M6" s="14" t="s">
        <v>78</v>
      </c>
      <c r="N6" s="14"/>
    </row>
    <row r="7" spans="1:14" s="11" customFormat="1" x14ac:dyDescent="0.15">
      <c r="B7" s="11" t="s">
        <v>3030</v>
      </c>
      <c r="E7" s="11" t="s">
        <v>631</v>
      </c>
      <c r="F7" s="11" t="s">
        <v>630</v>
      </c>
      <c r="G7" s="11" t="s">
        <v>629</v>
      </c>
      <c r="H7" s="11" t="s">
        <v>760</v>
      </c>
      <c r="I7" s="11" t="s">
        <v>628</v>
      </c>
      <c r="J7" s="11" t="s">
        <v>827</v>
      </c>
    </row>
    <row r="8" spans="1:14" s="11" customFormat="1" x14ac:dyDescent="0.15">
      <c r="B8" s="11" t="s">
        <v>3020</v>
      </c>
      <c r="E8" s="11" t="s">
        <v>631</v>
      </c>
      <c r="F8" s="11" t="s">
        <v>630</v>
      </c>
      <c r="G8" s="11" t="s">
        <v>629</v>
      </c>
      <c r="H8" s="11" t="s">
        <v>760</v>
      </c>
      <c r="I8" s="11" t="s">
        <v>628</v>
      </c>
      <c r="J8" s="11" t="s">
        <v>827</v>
      </c>
    </row>
    <row r="9" spans="1:14" s="11" customFormat="1" x14ac:dyDescent="0.15">
      <c r="B9" s="11" t="s">
        <v>3025</v>
      </c>
      <c r="E9" s="11" t="s">
        <v>631</v>
      </c>
      <c r="F9" s="11" t="s">
        <v>630</v>
      </c>
      <c r="G9" s="11" t="s">
        <v>629</v>
      </c>
      <c r="H9" s="11" t="s">
        <v>760</v>
      </c>
      <c r="I9" s="11" t="s">
        <v>628</v>
      </c>
      <c r="J9" s="11" t="s">
        <v>761</v>
      </c>
    </row>
    <row r="10" spans="1:14" s="11" customFormat="1" x14ac:dyDescent="0.15"/>
    <row r="11" spans="1:14" s="11" customFormat="1" x14ac:dyDescent="0.15">
      <c r="B11" s="11" t="s">
        <v>3026</v>
      </c>
      <c r="E11" s="11" t="s">
        <v>631</v>
      </c>
      <c r="F11" s="11" t="s">
        <v>630</v>
      </c>
      <c r="G11" s="11" t="s">
        <v>629</v>
      </c>
      <c r="H11" s="11" t="s">
        <v>760</v>
      </c>
      <c r="I11" s="11" t="s">
        <v>628</v>
      </c>
      <c r="J11" s="11" t="s">
        <v>3324</v>
      </c>
    </row>
    <row r="12" spans="1:14" s="11" customFormat="1" x14ac:dyDescent="0.15">
      <c r="B12" s="11" t="s">
        <v>3027</v>
      </c>
      <c r="E12" s="11" t="s">
        <v>631</v>
      </c>
      <c r="F12" s="11" t="s">
        <v>630</v>
      </c>
      <c r="G12" s="11" t="s">
        <v>629</v>
      </c>
      <c r="H12" s="11" t="s">
        <v>760</v>
      </c>
      <c r="I12" s="11" t="s">
        <v>628</v>
      </c>
      <c r="J12" s="11" t="s">
        <v>3029</v>
      </c>
    </row>
    <row r="13" spans="1:14" s="11" customFormat="1" x14ac:dyDescent="0.15">
      <c r="B13" s="11" t="s">
        <v>3028</v>
      </c>
      <c r="E13" s="11" t="s">
        <v>631</v>
      </c>
      <c r="F13" s="11" t="s">
        <v>630</v>
      </c>
      <c r="G13" s="11" t="s">
        <v>629</v>
      </c>
      <c r="H13" s="11" t="s">
        <v>760</v>
      </c>
      <c r="I13" s="11" t="s">
        <v>628</v>
      </c>
      <c r="J13" s="11" t="s">
        <v>765</v>
      </c>
    </row>
    <row r="14" spans="1:14" s="11" customFormat="1" x14ac:dyDescent="0.15"/>
    <row r="15" spans="1:14" s="11" customFormat="1" x14ac:dyDescent="0.15">
      <c r="B15" s="11" t="s">
        <v>3021</v>
      </c>
      <c r="E15" s="11" t="s">
        <v>631</v>
      </c>
      <c r="F15" s="11" t="s">
        <v>630</v>
      </c>
      <c r="G15" s="11" t="s">
        <v>629</v>
      </c>
      <c r="H15" s="11" t="s">
        <v>760</v>
      </c>
      <c r="I15" s="11" t="s">
        <v>628</v>
      </c>
      <c r="J15" s="11" t="s">
        <v>765</v>
      </c>
    </row>
    <row r="16" spans="1:14" s="11" customFormat="1" x14ac:dyDescent="0.15">
      <c r="B16" s="11" t="s">
        <v>3022</v>
      </c>
      <c r="E16" s="11" t="s">
        <v>631</v>
      </c>
      <c r="F16" s="11" t="s">
        <v>630</v>
      </c>
      <c r="G16" s="11" t="s">
        <v>629</v>
      </c>
      <c r="H16" s="11" t="s">
        <v>760</v>
      </c>
      <c r="I16" s="11" t="s">
        <v>628</v>
      </c>
      <c r="J16" s="11" t="s">
        <v>3322</v>
      </c>
    </row>
    <row r="17" spans="2:10" s="11" customFormat="1" x14ac:dyDescent="0.15">
      <c r="B17" s="11" t="s">
        <v>3023</v>
      </c>
      <c r="E17" s="11" t="s">
        <v>631</v>
      </c>
      <c r="F17" s="11" t="s">
        <v>630</v>
      </c>
      <c r="G17" s="11" t="s">
        <v>629</v>
      </c>
      <c r="H17" s="11" t="s">
        <v>760</v>
      </c>
      <c r="I17" s="11" t="s">
        <v>628</v>
      </c>
      <c r="J17" s="11" t="s">
        <v>766</v>
      </c>
    </row>
    <row r="18" spans="2:10" s="11" customFormat="1" x14ac:dyDescent="0.15">
      <c r="B18" s="11" t="s">
        <v>3024</v>
      </c>
      <c r="E18" s="11" t="s">
        <v>631</v>
      </c>
      <c r="F18" s="11" t="s">
        <v>763</v>
      </c>
      <c r="G18" s="11" t="s">
        <v>629</v>
      </c>
      <c r="H18" s="11" t="s">
        <v>760</v>
      </c>
      <c r="I18" s="11" t="s">
        <v>628</v>
      </c>
      <c r="J18" s="11" t="s">
        <v>3323</v>
      </c>
    </row>
  </sheetData>
  <phoneticPr fontId="11" type="noConversion"/>
  <pageMargins left="0.7" right="0.7" top="0.75" bottom="0.75" header="0.3" footer="0.3"/>
  <legacyDrawing r:id="rId1"/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EA800F-38B0-4BF0-8416-3EF2B20997CF}">
  <sheetPr>
    <tabColor theme="2"/>
  </sheetPr>
  <dimension ref="A1:F14"/>
  <sheetViews>
    <sheetView workbookViewId="0"/>
  </sheetViews>
  <sheetFormatPr defaultRowHeight="13.5" x14ac:dyDescent="0.15"/>
  <cols>
    <col min="2" max="2" width="28.25" bestFit="1" customWidth="1"/>
  </cols>
  <sheetData>
    <row r="1" spans="1:6" s="81" customFormat="1" ht="14.25" x14ac:dyDescent="0.2">
      <c r="A1" s="85" t="s">
        <v>3138</v>
      </c>
      <c r="B1" s="85" t="s">
        <v>3137</v>
      </c>
      <c r="C1" s="80"/>
      <c r="D1" s="80"/>
    </row>
    <row r="2" spans="1:6" s="81" customFormat="1" ht="14.25" x14ac:dyDescent="0.2">
      <c r="A2" s="80" t="s">
        <v>70</v>
      </c>
      <c r="B2" s="82" t="s">
        <v>123</v>
      </c>
      <c r="C2" s="82" t="s">
        <v>3130</v>
      </c>
      <c r="D2" s="82" t="s">
        <v>71</v>
      </c>
      <c r="E2" s="16" t="s">
        <v>3131</v>
      </c>
      <c r="F2" s="16" t="s">
        <v>3132</v>
      </c>
    </row>
    <row r="3" spans="1:6" s="81" customFormat="1" ht="14.25" x14ac:dyDescent="0.2">
      <c r="A3" s="80"/>
      <c r="B3" s="83" t="s">
        <v>74</v>
      </c>
      <c r="C3" s="83" t="s">
        <v>74</v>
      </c>
      <c r="D3" s="83" t="s">
        <v>73</v>
      </c>
      <c r="E3" s="15" t="s">
        <v>73</v>
      </c>
      <c r="F3" s="15" t="s">
        <v>73</v>
      </c>
    </row>
    <row r="4" spans="1:6" s="81" customFormat="1" ht="14.25" x14ac:dyDescent="0.2">
      <c r="A4" s="80"/>
      <c r="B4" s="84" t="s">
        <v>75</v>
      </c>
      <c r="C4" s="84" t="s">
        <v>75</v>
      </c>
      <c r="D4" s="84" t="s">
        <v>73</v>
      </c>
      <c r="E4" s="14" t="s">
        <v>73</v>
      </c>
      <c r="F4" s="14" t="s">
        <v>73</v>
      </c>
    </row>
    <row r="5" spans="1:6" s="81" customFormat="1" ht="14.25" x14ac:dyDescent="0.2">
      <c r="A5" s="80"/>
      <c r="B5" s="83" t="s">
        <v>81</v>
      </c>
      <c r="C5" s="83" t="s">
        <v>3133</v>
      </c>
      <c r="D5" s="83" t="s">
        <v>3134</v>
      </c>
      <c r="E5" s="15" t="s">
        <v>3135</v>
      </c>
      <c r="F5" s="15" t="s">
        <v>3136</v>
      </c>
    </row>
    <row r="6" spans="1:6" s="81" customFormat="1" ht="14.25" x14ac:dyDescent="0.15">
      <c r="B6" s="84" t="s">
        <v>77</v>
      </c>
      <c r="C6" s="84"/>
      <c r="D6" s="84"/>
      <c r="E6" s="14"/>
      <c r="F6" s="14"/>
    </row>
    <row r="7" spans="1:6" s="11" customFormat="1" x14ac:dyDescent="0.15">
      <c r="B7" s="11" t="s">
        <v>3144</v>
      </c>
      <c r="C7" s="11" t="s">
        <v>3139</v>
      </c>
    </row>
    <row r="8" spans="1:6" s="11" customFormat="1" x14ac:dyDescent="0.15">
      <c r="B8" s="11" t="s">
        <v>3145</v>
      </c>
      <c r="C8" s="11" t="s">
        <v>3157</v>
      </c>
    </row>
    <row r="9" spans="1:6" s="11" customFormat="1" x14ac:dyDescent="0.15">
      <c r="B9" s="11" t="s">
        <v>3142</v>
      </c>
      <c r="C9" s="11" t="s">
        <v>3158</v>
      </c>
    </row>
    <row r="10" spans="1:6" s="11" customFormat="1" x14ac:dyDescent="0.15">
      <c r="B10" s="11" t="s">
        <v>3143</v>
      </c>
      <c r="C10" s="11" t="s">
        <v>3159</v>
      </c>
    </row>
    <row r="11" spans="1:6" s="11" customFormat="1" x14ac:dyDescent="0.15">
      <c r="B11" s="11" t="s">
        <v>3151</v>
      </c>
      <c r="C11" s="11" t="s">
        <v>3160</v>
      </c>
    </row>
    <row r="12" spans="1:6" s="11" customFormat="1" x14ac:dyDescent="0.15">
      <c r="B12" s="11" t="s">
        <v>3152</v>
      </c>
      <c r="C12" s="11" t="s">
        <v>3161</v>
      </c>
    </row>
    <row r="13" spans="1:6" s="11" customFormat="1" x14ac:dyDescent="0.15">
      <c r="B13" s="11" t="s">
        <v>3153</v>
      </c>
      <c r="C13" s="11" t="s">
        <v>3319</v>
      </c>
    </row>
    <row r="14" spans="1:6" s="11" customFormat="1" x14ac:dyDescent="0.15">
      <c r="B14" s="11" t="s">
        <v>3167</v>
      </c>
      <c r="C14" s="11" t="s">
        <v>3166</v>
      </c>
    </row>
  </sheetData>
  <phoneticPr fontId="11" type="noConversion"/>
  <pageMargins left="0.7" right="0.7" top="0.75" bottom="0.75" header="0.3" footer="0.3"/>
  <legacyDrawing r:id="rId1"/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F1C205-76A1-45DF-AA0A-45B1A8CCA25A}">
  <sheetPr>
    <tabColor theme="2"/>
  </sheetPr>
  <dimension ref="A1:F431"/>
  <sheetViews>
    <sheetView workbookViewId="0"/>
  </sheetViews>
  <sheetFormatPr defaultRowHeight="13.5" x14ac:dyDescent="0.15"/>
  <cols>
    <col min="1" max="1" width="12.75" bestFit="1" customWidth="1"/>
    <col min="2" max="2" width="32.75" bestFit="1" customWidth="1"/>
    <col min="3" max="3" width="112.125" customWidth="1"/>
  </cols>
  <sheetData>
    <row r="1" spans="1:6" s="17" customFormat="1" x14ac:dyDescent="0.15">
      <c r="A1" s="24" t="s">
        <v>4421</v>
      </c>
      <c r="B1" s="24" t="s">
        <v>4422</v>
      </c>
      <c r="C1" s="24"/>
      <c r="D1" s="24"/>
      <c r="E1" s="24"/>
      <c r="F1" s="24"/>
    </row>
    <row r="2" spans="1:6" s="17" customFormat="1" x14ac:dyDescent="0.15">
      <c r="A2" s="24" t="s">
        <v>70</v>
      </c>
      <c r="B2" s="16" t="s">
        <v>123</v>
      </c>
      <c r="C2" s="16" t="s">
        <v>3130</v>
      </c>
      <c r="D2" s="16" t="s">
        <v>71</v>
      </c>
      <c r="E2" s="16" t="s">
        <v>4423</v>
      </c>
      <c r="F2" s="16" t="s">
        <v>4424</v>
      </c>
    </row>
    <row r="3" spans="1:6" s="17" customFormat="1" x14ac:dyDescent="0.15">
      <c r="A3" s="24"/>
      <c r="B3" s="15" t="s">
        <v>74</v>
      </c>
      <c r="C3" s="15" t="s">
        <v>74</v>
      </c>
      <c r="D3" s="15" t="s">
        <v>73</v>
      </c>
      <c r="E3" s="15" t="s">
        <v>73</v>
      </c>
      <c r="F3" s="15" t="s">
        <v>73</v>
      </c>
    </row>
    <row r="4" spans="1:6" s="17" customFormat="1" x14ac:dyDescent="0.15">
      <c r="A4" s="24"/>
      <c r="B4" s="14" t="s">
        <v>75</v>
      </c>
      <c r="C4" s="14" t="s">
        <v>75</v>
      </c>
      <c r="D4" s="14" t="s">
        <v>73</v>
      </c>
      <c r="E4" s="14" t="s">
        <v>73</v>
      </c>
      <c r="F4" s="14" t="s">
        <v>73</v>
      </c>
    </row>
    <row r="5" spans="1:6" s="17" customFormat="1" x14ac:dyDescent="0.15">
      <c r="A5" s="24"/>
      <c r="B5" s="15" t="s">
        <v>81</v>
      </c>
      <c r="C5" s="15" t="s">
        <v>3133</v>
      </c>
      <c r="D5" s="15" t="s">
        <v>3134</v>
      </c>
      <c r="E5" s="15" t="s">
        <v>4425</v>
      </c>
      <c r="F5" s="15" t="s">
        <v>4426</v>
      </c>
    </row>
    <row r="6" spans="1:6" s="17" customFormat="1" ht="12.75" customHeight="1" x14ac:dyDescent="0.15">
      <c r="A6" s="24"/>
      <c r="B6" s="14" t="s">
        <v>77</v>
      </c>
      <c r="C6" s="14"/>
      <c r="D6" s="14"/>
      <c r="E6" s="14"/>
      <c r="F6" s="14"/>
    </row>
    <row r="7" spans="1:6" s="11" customFormat="1" x14ac:dyDescent="0.15">
      <c r="B7" s="11" t="s">
        <v>4427</v>
      </c>
      <c r="C7" s="11" t="s">
        <v>2251</v>
      </c>
    </row>
    <row r="8" spans="1:6" s="11" customFormat="1" x14ac:dyDescent="0.15">
      <c r="B8" s="11" t="s">
        <v>4428</v>
      </c>
      <c r="C8" s="11" t="s">
        <v>2246</v>
      </c>
    </row>
    <row r="9" spans="1:6" s="11" customFormat="1" x14ac:dyDescent="0.15">
      <c r="B9" s="11" t="s">
        <v>4429</v>
      </c>
      <c r="C9" s="11" t="s">
        <v>250</v>
      </c>
    </row>
    <row r="10" spans="1:6" s="11" customFormat="1" x14ac:dyDescent="0.15">
      <c r="B10" s="11" t="s">
        <v>4430</v>
      </c>
      <c r="C10" s="11" t="s">
        <v>4431</v>
      </c>
    </row>
    <row r="11" spans="1:6" s="11" customFormat="1" x14ac:dyDescent="0.15">
      <c r="B11" s="11" t="s">
        <v>4432</v>
      </c>
      <c r="C11" s="11" t="s">
        <v>4433</v>
      </c>
    </row>
    <row r="12" spans="1:6" s="11" customFormat="1" x14ac:dyDescent="0.15">
      <c r="B12" s="11" t="s">
        <v>4434</v>
      </c>
      <c r="C12" s="11" t="s">
        <v>2257</v>
      </c>
    </row>
    <row r="13" spans="1:6" s="11" customFormat="1" x14ac:dyDescent="0.15">
      <c r="B13" s="11" t="s">
        <v>4435</v>
      </c>
      <c r="C13" s="11" t="s">
        <v>4436</v>
      </c>
    </row>
    <row r="14" spans="1:6" s="11" customFormat="1" x14ac:dyDescent="0.15">
      <c r="B14" s="11" t="s">
        <v>4437</v>
      </c>
      <c r="C14" s="11" t="s">
        <v>4438</v>
      </c>
    </row>
    <row r="15" spans="1:6" s="11" customFormat="1" x14ac:dyDescent="0.15">
      <c r="B15" s="11" t="s">
        <v>4439</v>
      </c>
      <c r="C15" s="11" t="s">
        <v>4440</v>
      </c>
    </row>
    <row r="16" spans="1:6" s="11" customFormat="1" x14ac:dyDescent="0.15">
      <c r="B16" s="11" t="s">
        <v>4441</v>
      </c>
      <c r="C16" s="11" t="s">
        <v>4442</v>
      </c>
    </row>
    <row r="17" spans="2:3" s="11" customFormat="1" x14ac:dyDescent="0.15">
      <c r="B17" s="11" t="s">
        <v>4443</v>
      </c>
      <c r="C17" s="11" t="s">
        <v>4444</v>
      </c>
    </row>
    <row r="18" spans="2:3" s="11" customFormat="1" x14ac:dyDescent="0.15">
      <c r="B18" s="11" t="s">
        <v>4445</v>
      </c>
      <c r="C18" s="11" t="s">
        <v>4446</v>
      </c>
    </row>
    <row r="19" spans="2:3" s="11" customFormat="1" x14ac:dyDescent="0.15">
      <c r="B19" s="11" t="s">
        <v>4447</v>
      </c>
      <c r="C19" s="11" t="s">
        <v>4448</v>
      </c>
    </row>
    <row r="20" spans="2:3" s="11" customFormat="1" x14ac:dyDescent="0.15">
      <c r="B20" s="11" t="s">
        <v>4449</v>
      </c>
      <c r="C20" s="11" t="s">
        <v>4450</v>
      </c>
    </row>
    <row r="21" spans="2:3" s="11" customFormat="1" x14ac:dyDescent="0.15">
      <c r="B21" s="11" t="s">
        <v>4451</v>
      </c>
      <c r="C21" s="11" t="s">
        <v>4452</v>
      </c>
    </row>
    <row r="22" spans="2:3" s="11" customFormat="1" x14ac:dyDescent="0.15">
      <c r="B22" s="11" t="s">
        <v>4453</v>
      </c>
      <c r="C22" s="11" t="s">
        <v>4454</v>
      </c>
    </row>
    <row r="23" spans="2:3" s="11" customFormat="1" x14ac:dyDescent="0.15">
      <c r="B23" s="11" t="s">
        <v>4455</v>
      </c>
      <c r="C23" s="11" t="s">
        <v>4456</v>
      </c>
    </row>
    <row r="24" spans="2:3" s="11" customFormat="1" x14ac:dyDescent="0.15">
      <c r="B24" s="11" t="s">
        <v>4457</v>
      </c>
      <c r="C24" s="11" t="s">
        <v>4458</v>
      </c>
    </row>
    <row r="25" spans="2:3" s="11" customFormat="1" ht="35.1" customHeight="1" x14ac:dyDescent="0.15"/>
    <row r="26" spans="2:3" s="11" customFormat="1" x14ac:dyDescent="0.15">
      <c r="B26" s="11" t="s">
        <v>4459</v>
      </c>
      <c r="C26" s="11" t="s">
        <v>4460</v>
      </c>
    </row>
    <row r="27" spans="2:3" s="11" customFormat="1" x14ac:dyDescent="0.15">
      <c r="B27" s="11" t="s">
        <v>4461</v>
      </c>
      <c r="C27" s="11" t="s">
        <v>4462</v>
      </c>
    </row>
    <row r="28" spans="2:3" s="11" customFormat="1" x14ac:dyDescent="0.15">
      <c r="B28" s="11" t="s">
        <v>4463</v>
      </c>
      <c r="C28" s="11" t="s">
        <v>4464</v>
      </c>
    </row>
    <row r="29" spans="2:3" s="11" customFormat="1" x14ac:dyDescent="0.15">
      <c r="B29" s="11" t="s">
        <v>4465</v>
      </c>
      <c r="C29" s="11" t="s">
        <v>4466</v>
      </c>
    </row>
    <row r="30" spans="2:3" s="11" customFormat="1" x14ac:dyDescent="0.15">
      <c r="B30" s="11" t="s">
        <v>4467</v>
      </c>
      <c r="C30" s="11" t="s">
        <v>4468</v>
      </c>
    </row>
    <row r="31" spans="2:3" s="11" customFormat="1" x14ac:dyDescent="0.15">
      <c r="B31" s="11" t="s">
        <v>4469</v>
      </c>
      <c r="C31" s="11" t="s">
        <v>4470</v>
      </c>
    </row>
    <row r="32" spans="2:3" s="11" customFormat="1" x14ac:dyDescent="0.15">
      <c r="B32" s="11" t="s">
        <v>4471</v>
      </c>
      <c r="C32" s="11" t="s">
        <v>4472</v>
      </c>
    </row>
    <row r="33" spans="2:3" s="11" customFormat="1" x14ac:dyDescent="0.15">
      <c r="B33" s="11" t="s">
        <v>4473</v>
      </c>
      <c r="C33" s="11" t="s">
        <v>4474</v>
      </c>
    </row>
    <row r="34" spans="2:3" s="11" customFormat="1" x14ac:dyDescent="0.15">
      <c r="B34" s="11" t="s">
        <v>4475</v>
      </c>
      <c r="C34" s="11" t="s">
        <v>4476</v>
      </c>
    </row>
    <row r="35" spans="2:3" s="11" customFormat="1" x14ac:dyDescent="0.15">
      <c r="B35" s="11" t="s">
        <v>4477</v>
      </c>
      <c r="C35" s="11" t="s">
        <v>4478</v>
      </c>
    </row>
    <row r="36" spans="2:3" s="11" customFormat="1" x14ac:dyDescent="0.15">
      <c r="B36" s="11" t="s">
        <v>4479</v>
      </c>
      <c r="C36" s="11" t="s">
        <v>4480</v>
      </c>
    </row>
    <row r="37" spans="2:3" s="11" customFormat="1" x14ac:dyDescent="0.15">
      <c r="B37" s="11" t="s">
        <v>4481</v>
      </c>
      <c r="C37" s="11" t="s">
        <v>4482</v>
      </c>
    </row>
    <row r="38" spans="2:3" s="11" customFormat="1" x14ac:dyDescent="0.15">
      <c r="B38" s="11" t="s">
        <v>4483</v>
      </c>
      <c r="C38" s="11" t="s">
        <v>4484</v>
      </c>
    </row>
    <row r="39" spans="2:3" s="11" customFormat="1" x14ac:dyDescent="0.15">
      <c r="B39" s="11" t="s">
        <v>4485</v>
      </c>
      <c r="C39" s="11" t="s">
        <v>4486</v>
      </c>
    </row>
    <row r="40" spans="2:3" s="11" customFormat="1" x14ac:dyDescent="0.15">
      <c r="B40" s="11" t="s">
        <v>4487</v>
      </c>
      <c r="C40" s="11" t="s">
        <v>4488</v>
      </c>
    </row>
    <row r="41" spans="2:3" s="11" customFormat="1" x14ac:dyDescent="0.15">
      <c r="B41" s="11" t="s">
        <v>4489</v>
      </c>
      <c r="C41" s="11" t="s">
        <v>4490</v>
      </c>
    </row>
    <row r="42" spans="2:3" s="11" customFormat="1" x14ac:dyDescent="0.15">
      <c r="B42" s="11" t="s">
        <v>4491</v>
      </c>
      <c r="C42" s="11" t="s">
        <v>4492</v>
      </c>
    </row>
    <row r="43" spans="2:3" s="11" customFormat="1" x14ac:dyDescent="0.15">
      <c r="B43" s="11" t="s">
        <v>4493</v>
      </c>
      <c r="C43" s="11" t="s">
        <v>4494</v>
      </c>
    </row>
    <row r="44" spans="2:3" s="11" customFormat="1" x14ac:dyDescent="0.15">
      <c r="B44" s="11" t="s">
        <v>4495</v>
      </c>
      <c r="C44" s="11" t="s">
        <v>4496</v>
      </c>
    </row>
    <row r="45" spans="2:3" s="11" customFormat="1" x14ac:dyDescent="0.15">
      <c r="B45" s="11" t="s">
        <v>4497</v>
      </c>
      <c r="C45" s="11" t="s">
        <v>4498</v>
      </c>
    </row>
    <row r="46" spans="2:3" s="11" customFormat="1" x14ac:dyDescent="0.15">
      <c r="B46" s="11" t="s">
        <v>4499</v>
      </c>
      <c r="C46" s="11" t="s">
        <v>4500</v>
      </c>
    </row>
    <row r="47" spans="2:3" s="11" customFormat="1" x14ac:dyDescent="0.15">
      <c r="B47" s="11" t="s">
        <v>4501</v>
      </c>
      <c r="C47" s="11" t="s">
        <v>4502</v>
      </c>
    </row>
    <row r="48" spans="2:3" s="11" customFormat="1" x14ac:dyDescent="0.15">
      <c r="B48" s="11" t="s">
        <v>4503</v>
      </c>
      <c r="C48" s="11" t="s">
        <v>4504</v>
      </c>
    </row>
    <row r="49" spans="2:3" s="11" customFormat="1" x14ac:dyDescent="0.15">
      <c r="B49" s="11" t="s">
        <v>4505</v>
      </c>
      <c r="C49" s="11" t="s">
        <v>4506</v>
      </c>
    </row>
    <row r="50" spans="2:3" s="11" customFormat="1" x14ac:dyDescent="0.15">
      <c r="B50" s="11" t="s">
        <v>4507</v>
      </c>
      <c r="C50" s="11" t="s">
        <v>4508</v>
      </c>
    </row>
    <row r="51" spans="2:3" s="11" customFormat="1" x14ac:dyDescent="0.15">
      <c r="B51" s="11" t="s">
        <v>4509</v>
      </c>
      <c r="C51" s="11" t="s">
        <v>4510</v>
      </c>
    </row>
    <row r="52" spans="2:3" s="11" customFormat="1" x14ac:dyDescent="0.15">
      <c r="B52" s="11" t="s">
        <v>4511</v>
      </c>
      <c r="C52" s="11" t="s">
        <v>4512</v>
      </c>
    </row>
    <row r="53" spans="2:3" s="11" customFormat="1" x14ac:dyDescent="0.15">
      <c r="B53" s="11" t="s">
        <v>4513</v>
      </c>
      <c r="C53" s="11" t="s">
        <v>4514</v>
      </c>
    </row>
    <row r="54" spans="2:3" s="11" customFormat="1" x14ac:dyDescent="0.15">
      <c r="B54" s="11" t="s">
        <v>4515</v>
      </c>
      <c r="C54" s="11" t="s">
        <v>4516</v>
      </c>
    </row>
    <row r="55" spans="2:3" s="11" customFormat="1" x14ac:dyDescent="0.15">
      <c r="B55" s="11" t="s">
        <v>4517</v>
      </c>
      <c r="C55" s="11" t="s">
        <v>4518</v>
      </c>
    </row>
    <row r="56" spans="2:3" s="11" customFormat="1" x14ac:dyDescent="0.15">
      <c r="B56" s="11" t="s">
        <v>4519</v>
      </c>
      <c r="C56" s="11" t="s">
        <v>4520</v>
      </c>
    </row>
    <row r="57" spans="2:3" s="11" customFormat="1" x14ac:dyDescent="0.15">
      <c r="B57" s="11" t="s">
        <v>4521</v>
      </c>
      <c r="C57" s="11" t="s">
        <v>4522</v>
      </c>
    </row>
    <row r="58" spans="2:3" s="11" customFormat="1" x14ac:dyDescent="0.15">
      <c r="B58" s="11" t="s">
        <v>4523</v>
      </c>
      <c r="C58" s="11" t="s">
        <v>4524</v>
      </c>
    </row>
    <row r="59" spans="2:3" s="11" customFormat="1" x14ac:dyDescent="0.15">
      <c r="B59" s="11" t="s">
        <v>4525</v>
      </c>
      <c r="C59" s="11" t="s">
        <v>4526</v>
      </c>
    </row>
    <row r="60" spans="2:3" s="11" customFormat="1" x14ac:dyDescent="0.15">
      <c r="B60" s="11" t="s">
        <v>4527</v>
      </c>
      <c r="C60" s="11" t="s">
        <v>4528</v>
      </c>
    </row>
    <row r="61" spans="2:3" s="11" customFormat="1" x14ac:dyDescent="0.15">
      <c r="B61" s="11" t="s">
        <v>4529</v>
      </c>
      <c r="C61" s="11" t="s">
        <v>4530</v>
      </c>
    </row>
    <row r="62" spans="2:3" s="11" customFormat="1" x14ac:dyDescent="0.15">
      <c r="B62" s="11" t="s">
        <v>4531</v>
      </c>
      <c r="C62" s="11" t="s">
        <v>4532</v>
      </c>
    </row>
    <row r="63" spans="2:3" s="11" customFormat="1" x14ac:dyDescent="0.15">
      <c r="B63" s="11" t="s">
        <v>4533</v>
      </c>
      <c r="C63" s="11" t="s">
        <v>4534</v>
      </c>
    </row>
    <row r="64" spans="2:3" s="11" customFormat="1" x14ac:dyDescent="0.15">
      <c r="B64" s="11" t="s">
        <v>4535</v>
      </c>
      <c r="C64" s="11" t="s">
        <v>4536</v>
      </c>
    </row>
    <row r="65" spans="2:3" s="11" customFormat="1" x14ac:dyDescent="0.15">
      <c r="B65" s="11" t="s">
        <v>4537</v>
      </c>
      <c r="C65" s="11" t="s">
        <v>4538</v>
      </c>
    </row>
    <row r="66" spans="2:3" s="11" customFormat="1" x14ac:dyDescent="0.15">
      <c r="B66" s="11" t="s">
        <v>4539</v>
      </c>
      <c r="C66" s="11" t="s">
        <v>4540</v>
      </c>
    </row>
    <row r="67" spans="2:3" s="11" customFormat="1" x14ac:dyDescent="0.15">
      <c r="B67" s="11" t="s">
        <v>4541</v>
      </c>
      <c r="C67" s="11" t="s">
        <v>4542</v>
      </c>
    </row>
    <row r="68" spans="2:3" s="11" customFormat="1" x14ac:dyDescent="0.15">
      <c r="B68" s="11" t="s">
        <v>4543</v>
      </c>
      <c r="C68" s="11" t="s">
        <v>4544</v>
      </c>
    </row>
    <row r="69" spans="2:3" s="11" customFormat="1" x14ac:dyDescent="0.15">
      <c r="B69" s="11" t="s">
        <v>4545</v>
      </c>
      <c r="C69" s="11" t="s">
        <v>4546</v>
      </c>
    </row>
    <row r="70" spans="2:3" s="11" customFormat="1" x14ac:dyDescent="0.15">
      <c r="B70" s="11" t="s">
        <v>4547</v>
      </c>
      <c r="C70" s="11" t="s">
        <v>4548</v>
      </c>
    </row>
    <row r="71" spans="2:3" s="11" customFormat="1" x14ac:dyDescent="0.15">
      <c r="B71" s="11" t="s">
        <v>4549</v>
      </c>
      <c r="C71" s="11" t="s">
        <v>4550</v>
      </c>
    </row>
    <row r="72" spans="2:3" s="11" customFormat="1" x14ac:dyDescent="0.15">
      <c r="B72" s="11" t="s">
        <v>4551</v>
      </c>
      <c r="C72" s="11" t="s">
        <v>4552</v>
      </c>
    </row>
    <row r="73" spans="2:3" s="11" customFormat="1" x14ac:dyDescent="0.15">
      <c r="B73" s="11" t="s">
        <v>4553</v>
      </c>
      <c r="C73" s="11" t="s">
        <v>4554</v>
      </c>
    </row>
    <row r="74" spans="2:3" s="11" customFormat="1" x14ac:dyDescent="0.15">
      <c r="B74" s="11" t="s">
        <v>4555</v>
      </c>
      <c r="C74" s="11" t="s">
        <v>4556</v>
      </c>
    </row>
    <row r="75" spans="2:3" s="11" customFormat="1" x14ac:dyDescent="0.15">
      <c r="B75" s="11" t="s">
        <v>4557</v>
      </c>
      <c r="C75" s="11" t="s">
        <v>4558</v>
      </c>
    </row>
    <row r="76" spans="2:3" s="11" customFormat="1" x14ac:dyDescent="0.15">
      <c r="B76" s="11" t="s">
        <v>4559</v>
      </c>
      <c r="C76" s="11" t="s">
        <v>4560</v>
      </c>
    </row>
    <row r="77" spans="2:3" s="11" customFormat="1" x14ac:dyDescent="0.15">
      <c r="B77" s="11" t="s">
        <v>4561</v>
      </c>
      <c r="C77" s="11" t="s">
        <v>4562</v>
      </c>
    </row>
    <row r="78" spans="2:3" s="11" customFormat="1" x14ac:dyDescent="0.15">
      <c r="B78" s="11" t="s">
        <v>4563</v>
      </c>
      <c r="C78" s="11" t="s">
        <v>4564</v>
      </c>
    </row>
    <row r="79" spans="2:3" s="11" customFormat="1" x14ac:dyDescent="0.15">
      <c r="B79" s="11" t="s">
        <v>4565</v>
      </c>
      <c r="C79" s="11" t="s">
        <v>4524</v>
      </c>
    </row>
    <row r="80" spans="2:3" s="11" customFormat="1" x14ac:dyDescent="0.15">
      <c r="B80" s="11" t="s">
        <v>4566</v>
      </c>
      <c r="C80" s="11" t="s">
        <v>4567</v>
      </c>
    </row>
    <row r="81" spans="2:3" s="11" customFormat="1" x14ac:dyDescent="0.15">
      <c r="B81" s="11" t="s">
        <v>4568</v>
      </c>
      <c r="C81" s="11" t="s">
        <v>4569</v>
      </c>
    </row>
    <row r="82" spans="2:3" s="11" customFormat="1" x14ac:dyDescent="0.15">
      <c r="B82" s="11" t="s">
        <v>4570</v>
      </c>
      <c r="C82" s="11" t="s">
        <v>4571</v>
      </c>
    </row>
    <row r="83" spans="2:3" s="11" customFormat="1" x14ac:dyDescent="0.15">
      <c r="B83" s="11" t="s">
        <v>4572</v>
      </c>
      <c r="C83" s="11" t="s">
        <v>4573</v>
      </c>
    </row>
    <row r="84" spans="2:3" s="11" customFormat="1" x14ac:dyDescent="0.15">
      <c r="B84" s="11" t="s">
        <v>4574</v>
      </c>
      <c r="C84" s="11" t="s">
        <v>4575</v>
      </c>
    </row>
    <row r="85" spans="2:3" s="11" customFormat="1" x14ac:dyDescent="0.15">
      <c r="B85" s="11" t="s">
        <v>4576</v>
      </c>
      <c r="C85" s="11" t="s">
        <v>4577</v>
      </c>
    </row>
    <row r="86" spans="2:3" s="11" customFormat="1" x14ac:dyDescent="0.15">
      <c r="B86" s="11" t="s">
        <v>4578</v>
      </c>
      <c r="C86" s="11" t="s">
        <v>4524</v>
      </c>
    </row>
    <row r="87" spans="2:3" s="11" customFormat="1" x14ac:dyDescent="0.15">
      <c r="B87" s="11" t="s">
        <v>4579</v>
      </c>
      <c r="C87" s="11" t="s">
        <v>4580</v>
      </c>
    </row>
    <row r="88" spans="2:3" s="11" customFormat="1" x14ac:dyDescent="0.15">
      <c r="B88" s="11" t="s">
        <v>4581</v>
      </c>
      <c r="C88" s="11" t="s">
        <v>4582</v>
      </c>
    </row>
    <row r="89" spans="2:3" s="11" customFormat="1" x14ac:dyDescent="0.15">
      <c r="B89" s="11" t="s">
        <v>4583</v>
      </c>
      <c r="C89" s="11" t="s">
        <v>4584</v>
      </c>
    </row>
    <row r="90" spans="2:3" s="11" customFormat="1" x14ac:dyDescent="0.15">
      <c r="B90" s="11" t="s">
        <v>4585</v>
      </c>
      <c r="C90" s="11" t="s">
        <v>4586</v>
      </c>
    </row>
    <row r="91" spans="2:3" s="11" customFormat="1" x14ac:dyDescent="0.15">
      <c r="B91" s="11" t="s">
        <v>4587</v>
      </c>
      <c r="C91" s="11" t="s">
        <v>4524</v>
      </c>
    </row>
    <row r="92" spans="2:3" s="11" customFormat="1" x14ac:dyDescent="0.15">
      <c r="B92" s="11" t="s">
        <v>4588</v>
      </c>
      <c r="C92" s="11" t="s">
        <v>4589</v>
      </c>
    </row>
    <row r="93" spans="2:3" s="11" customFormat="1" x14ac:dyDescent="0.15">
      <c r="B93" s="11" t="s">
        <v>4590</v>
      </c>
      <c r="C93" s="11" t="s">
        <v>4591</v>
      </c>
    </row>
    <row r="94" spans="2:3" s="11" customFormat="1" x14ac:dyDescent="0.15">
      <c r="B94" s="11" t="s">
        <v>4592</v>
      </c>
      <c r="C94" s="11" t="s">
        <v>4593</v>
      </c>
    </row>
    <row r="95" spans="2:3" s="11" customFormat="1" x14ac:dyDescent="0.15">
      <c r="B95" s="11" t="s">
        <v>4594</v>
      </c>
      <c r="C95" s="11" t="s">
        <v>4524</v>
      </c>
    </row>
    <row r="96" spans="2:3" s="11" customFormat="1" x14ac:dyDescent="0.15">
      <c r="B96" s="11" t="s">
        <v>4595</v>
      </c>
      <c r="C96" s="11" t="s">
        <v>4596</v>
      </c>
    </row>
    <row r="97" spans="2:3" s="11" customFormat="1" x14ac:dyDescent="0.15">
      <c r="B97" s="11" t="s">
        <v>4597</v>
      </c>
      <c r="C97" s="11" t="s">
        <v>4598</v>
      </c>
    </row>
    <row r="98" spans="2:3" s="11" customFormat="1" x14ac:dyDescent="0.15">
      <c r="B98" s="11" t="s">
        <v>4599</v>
      </c>
      <c r="C98" s="11" t="s">
        <v>4600</v>
      </c>
    </row>
    <row r="99" spans="2:3" s="11" customFormat="1" x14ac:dyDescent="0.15">
      <c r="B99" s="11" t="s">
        <v>4601</v>
      </c>
      <c r="C99" s="11" t="s">
        <v>4602</v>
      </c>
    </row>
    <row r="100" spans="2:3" s="11" customFormat="1" x14ac:dyDescent="0.15">
      <c r="B100" s="11" t="s">
        <v>4603</v>
      </c>
      <c r="C100" s="11" t="s">
        <v>4604</v>
      </c>
    </row>
    <row r="101" spans="2:3" s="11" customFormat="1" x14ac:dyDescent="0.15">
      <c r="B101" s="11" t="s">
        <v>4605</v>
      </c>
      <c r="C101" s="11" t="s">
        <v>4606</v>
      </c>
    </row>
    <row r="102" spans="2:3" s="11" customFormat="1" x14ac:dyDescent="0.15">
      <c r="B102" s="11" t="s">
        <v>4607</v>
      </c>
      <c r="C102" s="11" t="s">
        <v>4608</v>
      </c>
    </row>
    <row r="103" spans="2:3" s="11" customFormat="1" x14ac:dyDescent="0.15">
      <c r="B103" s="11" t="s">
        <v>4609</v>
      </c>
      <c r="C103" s="11" t="s">
        <v>4610</v>
      </c>
    </row>
    <row r="104" spans="2:3" s="11" customFormat="1" x14ac:dyDescent="0.15">
      <c r="B104" s="11" t="s">
        <v>4611</v>
      </c>
      <c r="C104" s="11" t="s">
        <v>4612</v>
      </c>
    </row>
    <row r="105" spans="2:3" s="11" customFormat="1" x14ac:dyDescent="0.15">
      <c r="B105" s="11" t="s">
        <v>4613</v>
      </c>
      <c r="C105" s="11" t="s">
        <v>4614</v>
      </c>
    </row>
    <row r="106" spans="2:3" s="11" customFormat="1" x14ac:dyDescent="0.15">
      <c r="B106" s="11" t="s">
        <v>4615</v>
      </c>
      <c r="C106" s="11" t="s">
        <v>4616</v>
      </c>
    </row>
    <row r="107" spans="2:3" s="11" customFormat="1" x14ac:dyDescent="0.15">
      <c r="B107" s="11" t="s">
        <v>4617</v>
      </c>
      <c r="C107" s="11" t="s">
        <v>4618</v>
      </c>
    </row>
    <row r="108" spans="2:3" s="11" customFormat="1" x14ac:dyDescent="0.15">
      <c r="B108" s="11" t="s">
        <v>4619</v>
      </c>
      <c r="C108" s="11" t="s">
        <v>4524</v>
      </c>
    </row>
    <row r="109" spans="2:3" s="11" customFormat="1" x14ac:dyDescent="0.15">
      <c r="B109" s="11" t="s">
        <v>4620</v>
      </c>
      <c r="C109" s="11" t="s">
        <v>4621</v>
      </c>
    </row>
    <row r="110" spans="2:3" s="11" customFormat="1" x14ac:dyDescent="0.15">
      <c r="B110" s="11" t="s">
        <v>4622</v>
      </c>
      <c r="C110" s="11" t="s">
        <v>4623</v>
      </c>
    </row>
    <row r="111" spans="2:3" s="11" customFormat="1" x14ac:dyDescent="0.15">
      <c r="B111" s="11" t="s">
        <v>4624</v>
      </c>
      <c r="C111" s="11" t="s">
        <v>4625</v>
      </c>
    </row>
    <row r="112" spans="2:3" s="11" customFormat="1" x14ac:dyDescent="0.15">
      <c r="B112" s="11" t="s">
        <v>4626</v>
      </c>
      <c r="C112" s="11" t="s">
        <v>4627</v>
      </c>
    </row>
    <row r="113" spans="2:3" s="11" customFormat="1" x14ac:dyDescent="0.15">
      <c r="B113" s="11" t="s">
        <v>4628</v>
      </c>
      <c r="C113" s="11" t="s">
        <v>4629</v>
      </c>
    </row>
    <row r="114" spans="2:3" s="11" customFormat="1" x14ac:dyDescent="0.15">
      <c r="B114" s="11" t="s">
        <v>4630</v>
      </c>
      <c r="C114" s="11" t="s">
        <v>4631</v>
      </c>
    </row>
    <row r="115" spans="2:3" s="11" customFormat="1" x14ac:dyDescent="0.15">
      <c r="B115" s="11" t="s">
        <v>4632</v>
      </c>
      <c r="C115" s="11" t="s">
        <v>4633</v>
      </c>
    </row>
    <row r="116" spans="2:3" s="11" customFormat="1" x14ac:dyDescent="0.15">
      <c r="B116" s="11" t="s">
        <v>4634</v>
      </c>
      <c r="C116" s="11" t="s">
        <v>4635</v>
      </c>
    </row>
    <row r="117" spans="2:3" s="11" customFormat="1" x14ac:dyDescent="0.15">
      <c r="B117" s="11" t="s">
        <v>4636</v>
      </c>
      <c r="C117" s="11" t="s">
        <v>4637</v>
      </c>
    </row>
    <row r="118" spans="2:3" s="11" customFormat="1" x14ac:dyDescent="0.15">
      <c r="B118" s="11" t="s">
        <v>4638</v>
      </c>
      <c r="C118" s="11" t="s">
        <v>4639</v>
      </c>
    </row>
    <row r="119" spans="2:3" s="11" customFormat="1" x14ac:dyDescent="0.15">
      <c r="B119" s="11" t="s">
        <v>4640</v>
      </c>
      <c r="C119" s="11" t="s">
        <v>4641</v>
      </c>
    </row>
    <row r="120" spans="2:3" s="11" customFormat="1" x14ac:dyDescent="0.15">
      <c r="B120" s="11" t="s">
        <v>4642</v>
      </c>
      <c r="C120" s="11" t="s">
        <v>4643</v>
      </c>
    </row>
    <row r="121" spans="2:3" s="11" customFormat="1" x14ac:dyDescent="0.15">
      <c r="B121" s="11" t="s">
        <v>4644</v>
      </c>
      <c r="C121" s="11" t="s">
        <v>4645</v>
      </c>
    </row>
    <row r="122" spans="2:3" s="11" customFormat="1" x14ac:dyDescent="0.15">
      <c r="B122" s="11" t="s">
        <v>4646</v>
      </c>
      <c r="C122" s="11" t="s">
        <v>4647</v>
      </c>
    </row>
    <row r="123" spans="2:3" s="11" customFormat="1" x14ac:dyDescent="0.15">
      <c r="B123" s="11" t="s">
        <v>4648</v>
      </c>
      <c r="C123" s="11" t="s">
        <v>4649</v>
      </c>
    </row>
    <row r="124" spans="2:3" s="11" customFormat="1" x14ac:dyDescent="0.15">
      <c r="B124" s="11" t="s">
        <v>4650</v>
      </c>
      <c r="C124" s="11" t="s">
        <v>4651</v>
      </c>
    </row>
    <row r="125" spans="2:3" s="11" customFormat="1" x14ac:dyDescent="0.15">
      <c r="B125" s="11" t="s">
        <v>4652</v>
      </c>
      <c r="C125" s="11" t="s">
        <v>4653</v>
      </c>
    </row>
    <row r="126" spans="2:3" s="11" customFormat="1" x14ac:dyDescent="0.15">
      <c r="B126" s="11" t="s">
        <v>4654</v>
      </c>
      <c r="C126" s="11" t="s">
        <v>4655</v>
      </c>
    </row>
    <row r="127" spans="2:3" s="11" customFormat="1" x14ac:dyDescent="0.15">
      <c r="B127" s="11" t="s">
        <v>4656</v>
      </c>
      <c r="C127" s="11" t="s">
        <v>4657</v>
      </c>
    </row>
    <row r="128" spans="2:3" s="11" customFormat="1" x14ac:dyDescent="0.15">
      <c r="B128" s="11" t="s">
        <v>4658</v>
      </c>
      <c r="C128" s="11" t="s">
        <v>4659</v>
      </c>
    </row>
    <row r="129" spans="2:3" s="11" customFormat="1" x14ac:dyDescent="0.15">
      <c r="B129" s="11" t="s">
        <v>4660</v>
      </c>
      <c r="C129" s="11" t="s">
        <v>4661</v>
      </c>
    </row>
    <row r="130" spans="2:3" s="11" customFormat="1" x14ac:dyDescent="0.15">
      <c r="B130" s="11" t="s">
        <v>4662</v>
      </c>
      <c r="C130" s="11" t="s">
        <v>4663</v>
      </c>
    </row>
    <row r="131" spans="2:3" s="11" customFormat="1" x14ac:dyDescent="0.15">
      <c r="B131" s="11" t="s">
        <v>4664</v>
      </c>
      <c r="C131" s="11" t="s">
        <v>4665</v>
      </c>
    </row>
    <row r="132" spans="2:3" s="11" customFormat="1" x14ac:dyDescent="0.15">
      <c r="B132" s="11" t="s">
        <v>4666</v>
      </c>
      <c r="C132" s="11" t="s">
        <v>4667</v>
      </c>
    </row>
    <row r="133" spans="2:3" s="11" customFormat="1" x14ac:dyDescent="0.15">
      <c r="B133" s="11" t="s">
        <v>4668</v>
      </c>
      <c r="C133" s="11" t="s">
        <v>4669</v>
      </c>
    </row>
    <row r="134" spans="2:3" s="11" customFormat="1" x14ac:dyDescent="0.15">
      <c r="B134" s="11" t="s">
        <v>4670</v>
      </c>
      <c r="C134" s="11" t="s">
        <v>4671</v>
      </c>
    </row>
    <row r="135" spans="2:3" s="11" customFormat="1" x14ac:dyDescent="0.15">
      <c r="B135" s="11" t="s">
        <v>4672</v>
      </c>
      <c r="C135" s="11" t="s">
        <v>4673</v>
      </c>
    </row>
    <row r="136" spans="2:3" s="11" customFormat="1" x14ac:dyDescent="0.15">
      <c r="B136" s="11" t="s">
        <v>4674</v>
      </c>
      <c r="C136" s="11" t="s">
        <v>4464</v>
      </c>
    </row>
    <row r="137" spans="2:3" s="11" customFormat="1" x14ac:dyDescent="0.15">
      <c r="B137" s="11" t="s">
        <v>4675</v>
      </c>
      <c r="C137" s="11" t="s">
        <v>4676</v>
      </c>
    </row>
    <row r="138" spans="2:3" s="11" customFormat="1" x14ac:dyDescent="0.15">
      <c r="B138" s="11" t="s">
        <v>4677</v>
      </c>
      <c r="C138" s="11" t="s">
        <v>4678</v>
      </c>
    </row>
    <row r="139" spans="2:3" s="11" customFormat="1" x14ac:dyDescent="0.15">
      <c r="B139" s="11" t="s">
        <v>4679</v>
      </c>
      <c r="C139" s="11" t="s">
        <v>4680</v>
      </c>
    </row>
    <row r="140" spans="2:3" s="11" customFormat="1" x14ac:dyDescent="0.15">
      <c r="B140" s="11" t="s">
        <v>4681</v>
      </c>
      <c r="C140" s="11" t="s">
        <v>4682</v>
      </c>
    </row>
    <row r="141" spans="2:3" s="11" customFormat="1" x14ac:dyDescent="0.15">
      <c r="B141" s="11" t="s">
        <v>4683</v>
      </c>
      <c r="C141" s="11" t="s">
        <v>4684</v>
      </c>
    </row>
    <row r="142" spans="2:3" s="11" customFormat="1" x14ac:dyDescent="0.15">
      <c r="B142" s="11" t="s">
        <v>4685</v>
      </c>
      <c r="C142" s="11" t="s">
        <v>4686</v>
      </c>
    </row>
    <row r="143" spans="2:3" s="11" customFormat="1" x14ac:dyDescent="0.15">
      <c r="B143" s="11" t="s">
        <v>4687</v>
      </c>
      <c r="C143" s="11" t="s">
        <v>4524</v>
      </c>
    </row>
    <row r="144" spans="2:3" s="11" customFormat="1" x14ac:dyDescent="0.15">
      <c r="B144" s="11" t="s">
        <v>4688</v>
      </c>
      <c r="C144" s="11" t="s">
        <v>4689</v>
      </c>
    </row>
    <row r="145" spans="2:3" s="11" customFormat="1" x14ac:dyDescent="0.15">
      <c r="B145" s="11" t="s">
        <v>4690</v>
      </c>
      <c r="C145" s="11" t="s">
        <v>4691</v>
      </c>
    </row>
    <row r="146" spans="2:3" s="11" customFormat="1" x14ac:dyDescent="0.15">
      <c r="B146" s="11" t="s">
        <v>4692</v>
      </c>
      <c r="C146" s="11" t="s">
        <v>4693</v>
      </c>
    </row>
    <row r="147" spans="2:3" s="11" customFormat="1" x14ac:dyDescent="0.15">
      <c r="B147" s="11" t="s">
        <v>4694</v>
      </c>
      <c r="C147" s="11" t="s">
        <v>4695</v>
      </c>
    </row>
    <row r="148" spans="2:3" s="11" customFormat="1" x14ac:dyDescent="0.15">
      <c r="B148" s="11" t="s">
        <v>4696</v>
      </c>
      <c r="C148" s="11" t="s">
        <v>4697</v>
      </c>
    </row>
    <row r="149" spans="2:3" s="11" customFormat="1" x14ac:dyDescent="0.15">
      <c r="B149" s="11" t="s">
        <v>4698</v>
      </c>
      <c r="C149" s="11" t="s">
        <v>4699</v>
      </c>
    </row>
    <row r="150" spans="2:3" s="11" customFormat="1" x14ac:dyDescent="0.15">
      <c r="B150" s="11" t="s">
        <v>4700</v>
      </c>
      <c r="C150" s="11" t="s">
        <v>4701</v>
      </c>
    </row>
    <row r="151" spans="2:3" s="11" customFormat="1" x14ac:dyDescent="0.15">
      <c r="B151" s="11" t="s">
        <v>4702</v>
      </c>
      <c r="C151" s="11" t="s">
        <v>4524</v>
      </c>
    </row>
    <row r="152" spans="2:3" s="11" customFormat="1" x14ac:dyDescent="0.15">
      <c r="B152" s="11" t="s">
        <v>4703</v>
      </c>
      <c r="C152" s="11" t="s">
        <v>4704</v>
      </c>
    </row>
    <row r="153" spans="2:3" s="11" customFormat="1" x14ac:dyDescent="0.15">
      <c r="B153" s="11" t="s">
        <v>4705</v>
      </c>
      <c r="C153" s="11" t="s">
        <v>4706</v>
      </c>
    </row>
    <row r="154" spans="2:3" s="11" customFormat="1" x14ac:dyDescent="0.15">
      <c r="B154" s="11" t="s">
        <v>4707</v>
      </c>
      <c r="C154" s="11" t="s">
        <v>4708</v>
      </c>
    </row>
    <row r="155" spans="2:3" s="11" customFormat="1" x14ac:dyDescent="0.15">
      <c r="B155" s="11" t="s">
        <v>4709</v>
      </c>
      <c r="C155" s="11" t="s">
        <v>4710</v>
      </c>
    </row>
    <row r="156" spans="2:3" s="11" customFormat="1" x14ac:dyDescent="0.15">
      <c r="B156" s="11" t="s">
        <v>4711</v>
      </c>
      <c r="C156" s="11" t="s">
        <v>4524</v>
      </c>
    </row>
    <row r="157" spans="2:3" s="11" customFormat="1" x14ac:dyDescent="0.15">
      <c r="B157" s="11" t="s">
        <v>4712</v>
      </c>
      <c r="C157" s="11" t="s">
        <v>4713</v>
      </c>
    </row>
    <row r="158" spans="2:3" s="11" customFormat="1" x14ac:dyDescent="0.15">
      <c r="B158" s="11" t="s">
        <v>4714</v>
      </c>
      <c r="C158" s="11" t="s">
        <v>4715</v>
      </c>
    </row>
    <row r="159" spans="2:3" s="11" customFormat="1" x14ac:dyDescent="0.15">
      <c r="B159" s="11" t="s">
        <v>4716</v>
      </c>
      <c r="C159" s="11" t="s">
        <v>4717</v>
      </c>
    </row>
    <row r="160" spans="2:3" s="11" customFormat="1" x14ac:dyDescent="0.15">
      <c r="B160" s="11" t="s">
        <v>4718</v>
      </c>
      <c r="C160" s="11" t="s">
        <v>4719</v>
      </c>
    </row>
    <row r="161" spans="2:3" s="11" customFormat="1" x14ac:dyDescent="0.15">
      <c r="B161" s="11" t="s">
        <v>4720</v>
      </c>
      <c r="C161" s="11" t="s">
        <v>4721</v>
      </c>
    </row>
    <row r="162" spans="2:3" s="11" customFormat="1" x14ac:dyDescent="0.15">
      <c r="B162" s="11" t="s">
        <v>4722</v>
      </c>
      <c r="C162" s="11" t="s">
        <v>4723</v>
      </c>
    </row>
    <row r="163" spans="2:3" s="11" customFormat="1" x14ac:dyDescent="0.15">
      <c r="B163" s="11" t="s">
        <v>4724</v>
      </c>
      <c r="C163" s="11" t="s">
        <v>4725</v>
      </c>
    </row>
    <row r="164" spans="2:3" s="11" customFormat="1" x14ac:dyDescent="0.15">
      <c r="B164" s="11" t="s">
        <v>4726</v>
      </c>
      <c r="C164" s="11" t="s">
        <v>4727</v>
      </c>
    </row>
    <row r="165" spans="2:3" s="11" customFormat="1" x14ac:dyDescent="0.15">
      <c r="B165" s="11" t="s">
        <v>4728</v>
      </c>
      <c r="C165" s="11" t="s">
        <v>4729</v>
      </c>
    </row>
    <row r="166" spans="2:3" s="11" customFormat="1" x14ac:dyDescent="0.15">
      <c r="B166" s="11" t="s">
        <v>4730</v>
      </c>
      <c r="C166" s="11" t="s">
        <v>4731</v>
      </c>
    </row>
    <row r="167" spans="2:3" s="11" customFormat="1" x14ac:dyDescent="0.15">
      <c r="B167" s="11" t="s">
        <v>4732</v>
      </c>
      <c r="C167" s="11" t="s">
        <v>4733</v>
      </c>
    </row>
    <row r="168" spans="2:3" s="11" customFormat="1" x14ac:dyDescent="0.15">
      <c r="B168" s="11" t="s">
        <v>4734</v>
      </c>
      <c r="C168" s="11" t="s">
        <v>4735</v>
      </c>
    </row>
    <row r="169" spans="2:3" s="11" customFormat="1" x14ac:dyDescent="0.15">
      <c r="B169" s="11" t="s">
        <v>4736</v>
      </c>
      <c r="C169" s="11" t="s">
        <v>4737</v>
      </c>
    </row>
    <row r="170" spans="2:3" s="11" customFormat="1" x14ac:dyDescent="0.15">
      <c r="B170" s="11" t="s">
        <v>4738</v>
      </c>
      <c r="C170" s="11" t="s">
        <v>4739</v>
      </c>
    </row>
    <row r="171" spans="2:3" s="11" customFormat="1" x14ac:dyDescent="0.15">
      <c r="B171" s="11" t="s">
        <v>4740</v>
      </c>
      <c r="C171" s="11" t="s">
        <v>4741</v>
      </c>
    </row>
    <row r="172" spans="2:3" s="11" customFormat="1" x14ac:dyDescent="0.15">
      <c r="B172" s="11" t="s">
        <v>4742</v>
      </c>
      <c r="C172" s="11" t="s">
        <v>4743</v>
      </c>
    </row>
    <row r="173" spans="2:3" s="11" customFormat="1" x14ac:dyDescent="0.15">
      <c r="B173" s="11" t="s">
        <v>4744</v>
      </c>
      <c r="C173" s="11" t="s">
        <v>4745</v>
      </c>
    </row>
    <row r="174" spans="2:3" s="11" customFormat="1" x14ac:dyDescent="0.15">
      <c r="B174" s="11" t="s">
        <v>4746</v>
      </c>
      <c r="C174" s="11" t="s">
        <v>4747</v>
      </c>
    </row>
    <row r="175" spans="2:3" s="11" customFormat="1" x14ac:dyDescent="0.15">
      <c r="B175" s="11" t="s">
        <v>4748</v>
      </c>
      <c r="C175" s="11" t="s">
        <v>4749</v>
      </c>
    </row>
    <row r="176" spans="2:3" s="11" customFormat="1" x14ac:dyDescent="0.15">
      <c r="B176" s="11" t="s">
        <v>4750</v>
      </c>
      <c r="C176" s="11" t="s">
        <v>4751</v>
      </c>
    </row>
    <row r="177" spans="2:3" s="11" customFormat="1" x14ac:dyDescent="0.15">
      <c r="B177" s="11" t="s">
        <v>4752</v>
      </c>
      <c r="C177" s="11" t="s">
        <v>4753</v>
      </c>
    </row>
    <row r="178" spans="2:3" s="11" customFormat="1" x14ac:dyDescent="0.15">
      <c r="B178" s="11" t="s">
        <v>4754</v>
      </c>
      <c r="C178" s="11" t="s">
        <v>4755</v>
      </c>
    </row>
    <row r="179" spans="2:3" s="11" customFormat="1" x14ac:dyDescent="0.15">
      <c r="B179" s="11" t="s">
        <v>4756</v>
      </c>
      <c r="C179" s="11" t="s">
        <v>4757</v>
      </c>
    </row>
    <row r="180" spans="2:3" s="11" customFormat="1" x14ac:dyDescent="0.15">
      <c r="B180" s="11" t="s">
        <v>4758</v>
      </c>
      <c r="C180" s="11" t="s">
        <v>4759</v>
      </c>
    </row>
    <row r="181" spans="2:3" s="11" customFormat="1" x14ac:dyDescent="0.15">
      <c r="B181" s="11" t="s">
        <v>4760</v>
      </c>
      <c r="C181" s="11" t="s">
        <v>4761</v>
      </c>
    </row>
    <row r="182" spans="2:3" s="11" customFormat="1" x14ac:dyDescent="0.15">
      <c r="B182" s="11" t="s">
        <v>4762</v>
      </c>
      <c r="C182" s="11" t="s">
        <v>4763</v>
      </c>
    </row>
    <row r="183" spans="2:3" s="11" customFormat="1" x14ac:dyDescent="0.15">
      <c r="B183" s="11" t="s">
        <v>4764</v>
      </c>
      <c r="C183" s="11" t="s">
        <v>4765</v>
      </c>
    </row>
    <row r="184" spans="2:3" s="11" customFormat="1" x14ac:dyDescent="0.15">
      <c r="B184" s="11" t="s">
        <v>4766</v>
      </c>
      <c r="C184" s="11" t="s">
        <v>4767</v>
      </c>
    </row>
    <row r="185" spans="2:3" s="11" customFormat="1" x14ac:dyDescent="0.15">
      <c r="B185" s="11" t="s">
        <v>4768</v>
      </c>
      <c r="C185" s="11" t="s">
        <v>4769</v>
      </c>
    </row>
    <row r="186" spans="2:3" s="11" customFormat="1" x14ac:dyDescent="0.15">
      <c r="B186" s="11" t="s">
        <v>4770</v>
      </c>
      <c r="C186" s="11" t="s">
        <v>4771</v>
      </c>
    </row>
    <row r="187" spans="2:3" s="11" customFormat="1" x14ac:dyDescent="0.15">
      <c r="B187" s="11" t="s">
        <v>4772</v>
      </c>
      <c r="C187" s="11" t="s">
        <v>4524</v>
      </c>
    </row>
    <row r="188" spans="2:3" s="11" customFormat="1" x14ac:dyDescent="0.15">
      <c r="B188" s="11" t="s">
        <v>4773</v>
      </c>
      <c r="C188" s="11" t="s">
        <v>4774</v>
      </c>
    </row>
    <row r="189" spans="2:3" s="11" customFormat="1" x14ac:dyDescent="0.15">
      <c r="B189" s="11" t="s">
        <v>4775</v>
      </c>
      <c r="C189" s="11" t="s">
        <v>4776</v>
      </c>
    </row>
    <row r="190" spans="2:3" s="11" customFormat="1" x14ac:dyDescent="0.15">
      <c r="B190" s="11" t="s">
        <v>4777</v>
      </c>
      <c r="C190" s="11" t="s">
        <v>4778</v>
      </c>
    </row>
    <row r="191" spans="2:3" s="11" customFormat="1" x14ac:dyDescent="0.15">
      <c r="B191" s="11" t="s">
        <v>4779</v>
      </c>
      <c r="C191" s="11" t="s">
        <v>4780</v>
      </c>
    </row>
    <row r="192" spans="2:3" s="11" customFormat="1" x14ac:dyDescent="0.15">
      <c r="B192" s="11" t="s">
        <v>4781</v>
      </c>
      <c r="C192" s="11" t="s">
        <v>4782</v>
      </c>
    </row>
    <row r="193" spans="2:3" s="11" customFormat="1" x14ac:dyDescent="0.15">
      <c r="B193" s="11" t="s">
        <v>4783</v>
      </c>
      <c r="C193" s="11" t="s">
        <v>4784</v>
      </c>
    </row>
    <row r="194" spans="2:3" s="11" customFormat="1" x14ac:dyDescent="0.15">
      <c r="B194" s="11" t="s">
        <v>4785</v>
      </c>
      <c r="C194" s="11" t="s">
        <v>4786</v>
      </c>
    </row>
    <row r="195" spans="2:3" s="11" customFormat="1" x14ac:dyDescent="0.15">
      <c r="B195" s="11" t="s">
        <v>4787</v>
      </c>
      <c r="C195" s="11" t="s">
        <v>4788</v>
      </c>
    </row>
    <row r="196" spans="2:3" s="11" customFormat="1" x14ac:dyDescent="0.15">
      <c r="B196" s="11" t="s">
        <v>4789</v>
      </c>
      <c r="C196" s="11" t="s">
        <v>4790</v>
      </c>
    </row>
    <row r="197" spans="2:3" s="11" customFormat="1" x14ac:dyDescent="0.15">
      <c r="B197" s="11" t="s">
        <v>4791</v>
      </c>
      <c r="C197" s="11" t="s">
        <v>4792</v>
      </c>
    </row>
    <row r="198" spans="2:3" s="11" customFormat="1" x14ac:dyDescent="0.15">
      <c r="B198" s="11" t="s">
        <v>4793</v>
      </c>
      <c r="C198" s="11" t="s">
        <v>4794</v>
      </c>
    </row>
    <row r="199" spans="2:3" s="11" customFormat="1" x14ac:dyDescent="0.15">
      <c r="B199" s="11" t="s">
        <v>4795</v>
      </c>
      <c r="C199" s="11" t="s">
        <v>4796</v>
      </c>
    </row>
    <row r="200" spans="2:3" s="11" customFormat="1" x14ac:dyDescent="0.15">
      <c r="B200" s="11" t="s">
        <v>4797</v>
      </c>
      <c r="C200" s="11" t="s">
        <v>4798</v>
      </c>
    </row>
    <row r="201" spans="2:3" s="11" customFormat="1" x14ac:dyDescent="0.15">
      <c r="B201" s="11" t="s">
        <v>4799</v>
      </c>
      <c r="C201" s="11" t="s">
        <v>4800</v>
      </c>
    </row>
    <row r="202" spans="2:3" s="11" customFormat="1" x14ac:dyDescent="0.15">
      <c r="B202" s="11" t="s">
        <v>4801</v>
      </c>
      <c r="C202" s="11" t="s">
        <v>4802</v>
      </c>
    </row>
    <row r="203" spans="2:3" s="11" customFormat="1" x14ac:dyDescent="0.15">
      <c r="B203" s="11" t="s">
        <v>4803</v>
      </c>
      <c r="C203" s="11" t="s">
        <v>4524</v>
      </c>
    </row>
    <row r="204" spans="2:3" s="11" customFormat="1" x14ac:dyDescent="0.15">
      <c r="B204" s="11" t="s">
        <v>4804</v>
      </c>
      <c r="C204" s="11" t="s">
        <v>4805</v>
      </c>
    </row>
    <row r="205" spans="2:3" s="11" customFormat="1" x14ac:dyDescent="0.15">
      <c r="B205" s="11" t="s">
        <v>4806</v>
      </c>
      <c r="C205" s="11" t="s">
        <v>4807</v>
      </c>
    </row>
    <row r="206" spans="2:3" s="11" customFormat="1" x14ac:dyDescent="0.15">
      <c r="B206" s="11" t="s">
        <v>4808</v>
      </c>
      <c r="C206" s="11" t="s">
        <v>4809</v>
      </c>
    </row>
    <row r="207" spans="2:3" s="11" customFormat="1" x14ac:dyDescent="0.15">
      <c r="B207" s="11" t="s">
        <v>4810</v>
      </c>
      <c r="C207" s="11" t="s">
        <v>4811</v>
      </c>
    </row>
    <row r="208" spans="2:3" s="11" customFormat="1" x14ac:dyDescent="0.15">
      <c r="B208" s="11" t="s">
        <v>4812</v>
      </c>
      <c r="C208" s="11" t="s">
        <v>4813</v>
      </c>
    </row>
    <row r="209" spans="2:3" s="11" customFormat="1" x14ac:dyDescent="0.15">
      <c r="B209" s="11" t="s">
        <v>4814</v>
      </c>
      <c r="C209" s="11" t="s">
        <v>4815</v>
      </c>
    </row>
    <row r="210" spans="2:3" s="11" customFormat="1" x14ac:dyDescent="0.15">
      <c r="B210" s="11" t="s">
        <v>4816</v>
      </c>
      <c r="C210" s="11" t="s">
        <v>4524</v>
      </c>
    </row>
    <row r="211" spans="2:3" s="11" customFormat="1" x14ac:dyDescent="0.15">
      <c r="B211" s="11" t="s">
        <v>4817</v>
      </c>
      <c r="C211" s="11" t="s">
        <v>4818</v>
      </c>
    </row>
    <row r="212" spans="2:3" s="11" customFormat="1" x14ac:dyDescent="0.15">
      <c r="B212" s="11" t="s">
        <v>4819</v>
      </c>
      <c r="C212" s="11" t="s">
        <v>4820</v>
      </c>
    </row>
    <row r="213" spans="2:3" s="11" customFormat="1" x14ac:dyDescent="0.15">
      <c r="B213" s="11" t="s">
        <v>4821</v>
      </c>
      <c r="C213" s="11" t="s">
        <v>4524</v>
      </c>
    </row>
    <row r="214" spans="2:3" s="11" customFormat="1" x14ac:dyDescent="0.15">
      <c r="B214" s="11" t="s">
        <v>4822</v>
      </c>
      <c r="C214" s="11" t="s">
        <v>4823</v>
      </c>
    </row>
    <row r="215" spans="2:3" s="11" customFormat="1" x14ac:dyDescent="0.15">
      <c r="B215" s="11" t="s">
        <v>4824</v>
      </c>
      <c r="C215" s="11" t="s">
        <v>4464</v>
      </c>
    </row>
    <row r="216" spans="2:3" s="11" customFormat="1" x14ac:dyDescent="0.15">
      <c r="B216" s="11" t="s">
        <v>4825</v>
      </c>
      <c r="C216" s="11" t="s">
        <v>4524</v>
      </c>
    </row>
    <row r="217" spans="2:3" s="11" customFormat="1" x14ac:dyDescent="0.15">
      <c r="B217" s="11" t="s">
        <v>4826</v>
      </c>
      <c r="C217" s="11" t="s">
        <v>4827</v>
      </c>
    </row>
    <row r="218" spans="2:3" s="11" customFormat="1" x14ac:dyDescent="0.15">
      <c r="B218" s="11" t="s">
        <v>4828</v>
      </c>
      <c r="C218" s="11" t="s">
        <v>4829</v>
      </c>
    </row>
    <row r="219" spans="2:3" s="11" customFormat="1" x14ac:dyDescent="0.15">
      <c r="B219" s="11" t="s">
        <v>4830</v>
      </c>
      <c r="C219" s="11" t="s">
        <v>4831</v>
      </c>
    </row>
    <row r="220" spans="2:3" s="11" customFormat="1" x14ac:dyDescent="0.15">
      <c r="B220" s="11" t="s">
        <v>4832</v>
      </c>
      <c r="C220" s="11" t="s">
        <v>4833</v>
      </c>
    </row>
    <row r="221" spans="2:3" s="11" customFormat="1" x14ac:dyDescent="0.15">
      <c r="B221" s="11" t="s">
        <v>4834</v>
      </c>
      <c r="C221" s="11" t="s">
        <v>4835</v>
      </c>
    </row>
    <row r="222" spans="2:3" s="11" customFormat="1" x14ac:dyDescent="0.15">
      <c r="B222" s="11" t="s">
        <v>4836</v>
      </c>
      <c r="C222" s="11" t="s">
        <v>4837</v>
      </c>
    </row>
    <row r="223" spans="2:3" s="11" customFormat="1" x14ac:dyDescent="0.15">
      <c r="B223" s="11" t="s">
        <v>4838</v>
      </c>
      <c r="C223" s="11" t="s">
        <v>4839</v>
      </c>
    </row>
    <row r="224" spans="2:3" s="11" customFormat="1" x14ac:dyDescent="0.15">
      <c r="B224" s="11" t="s">
        <v>4840</v>
      </c>
      <c r="C224" s="11" t="s">
        <v>4841</v>
      </c>
    </row>
    <row r="225" spans="2:3" s="11" customFormat="1" x14ac:dyDescent="0.15">
      <c r="B225" s="11" t="s">
        <v>4842</v>
      </c>
      <c r="C225" s="11" t="s">
        <v>4464</v>
      </c>
    </row>
    <row r="226" spans="2:3" s="11" customFormat="1" x14ac:dyDescent="0.15">
      <c r="B226" s="11" t="s">
        <v>4843</v>
      </c>
      <c r="C226" s="11" t="s">
        <v>4844</v>
      </c>
    </row>
    <row r="227" spans="2:3" s="11" customFormat="1" x14ac:dyDescent="0.15">
      <c r="B227" s="11" t="s">
        <v>4845</v>
      </c>
      <c r="C227" s="11" t="s">
        <v>4846</v>
      </c>
    </row>
    <row r="228" spans="2:3" s="11" customFormat="1" x14ac:dyDescent="0.15">
      <c r="B228" s="11" t="s">
        <v>4847</v>
      </c>
      <c r="C228" s="11" t="s">
        <v>4848</v>
      </c>
    </row>
    <row r="229" spans="2:3" s="11" customFormat="1" x14ac:dyDescent="0.15">
      <c r="B229" s="11" t="s">
        <v>4849</v>
      </c>
      <c r="C229" s="11" t="s">
        <v>4850</v>
      </c>
    </row>
    <row r="230" spans="2:3" s="11" customFormat="1" x14ac:dyDescent="0.15">
      <c r="B230" s="11" t="s">
        <v>4851</v>
      </c>
      <c r="C230" s="11" t="s">
        <v>4852</v>
      </c>
    </row>
    <row r="231" spans="2:3" s="11" customFormat="1" x14ac:dyDescent="0.15">
      <c r="B231" s="11" t="s">
        <v>4853</v>
      </c>
      <c r="C231" s="11" t="s">
        <v>4582</v>
      </c>
    </row>
    <row r="232" spans="2:3" s="11" customFormat="1" x14ac:dyDescent="0.15">
      <c r="B232" s="11" t="s">
        <v>4854</v>
      </c>
      <c r="C232" s="11" t="s">
        <v>4855</v>
      </c>
    </row>
    <row r="233" spans="2:3" s="11" customFormat="1" x14ac:dyDescent="0.15">
      <c r="B233" s="11" t="s">
        <v>4856</v>
      </c>
      <c r="C233" s="11" t="s">
        <v>4524</v>
      </c>
    </row>
    <row r="234" spans="2:3" s="11" customFormat="1" x14ac:dyDescent="0.15">
      <c r="B234" s="11" t="s">
        <v>4857</v>
      </c>
      <c r="C234" s="11" t="s">
        <v>4858</v>
      </c>
    </row>
    <row r="235" spans="2:3" s="11" customFormat="1" x14ac:dyDescent="0.15">
      <c r="B235" s="11" t="s">
        <v>4859</v>
      </c>
      <c r="C235" s="11" t="s">
        <v>4860</v>
      </c>
    </row>
    <row r="236" spans="2:3" s="11" customFormat="1" x14ac:dyDescent="0.15">
      <c r="B236" s="11" t="s">
        <v>4861</v>
      </c>
      <c r="C236" s="11" t="s">
        <v>4550</v>
      </c>
    </row>
    <row r="237" spans="2:3" s="11" customFormat="1" x14ac:dyDescent="0.15">
      <c r="B237" s="11" t="s">
        <v>4862</v>
      </c>
      <c r="C237" s="11" t="s">
        <v>4863</v>
      </c>
    </row>
    <row r="238" spans="2:3" s="11" customFormat="1" x14ac:dyDescent="0.15">
      <c r="B238" s="11" t="s">
        <v>4864</v>
      </c>
      <c r="C238" s="11" t="s">
        <v>4865</v>
      </c>
    </row>
    <row r="239" spans="2:3" s="11" customFormat="1" x14ac:dyDescent="0.15">
      <c r="B239" s="11" t="s">
        <v>4866</v>
      </c>
      <c r="C239" s="11" t="s">
        <v>4867</v>
      </c>
    </row>
    <row r="240" spans="2:3" s="11" customFormat="1" x14ac:dyDescent="0.15">
      <c r="B240" s="11" t="s">
        <v>4868</v>
      </c>
      <c r="C240" s="11" t="s">
        <v>4869</v>
      </c>
    </row>
    <row r="241" spans="2:3" s="11" customFormat="1" x14ac:dyDescent="0.15">
      <c r="B241" s="11" t="s">
        <v>4870</v>
      </c>
      <c r="C241" s="11" t="s">
        <v>4871</v>
      </c>
    </row>
    <row r="242" spans="2:3" s="11" customFormat="1" x14ac:dyDescent="0.15">
      <c r="B242" s="11" t="s">
        <v>4872</v>
      </c>
      <c r="C242" s="11" t="s">
        <v>4873</v>
      </c>
    </row>
    <row r="243" spans="2:3" s="11" customFormat="1" x14ac:dyDescent="0.15">
      <c r="B243" s="11" t="s">
        <v>4874</v>
      </c>
      <c r="C243" s="11" t="s">
        <v>4875</v>
      </c>
    </row>
    <row r="244" spans="2:3" s="11" customFormat="1" x14ac:dyDescent="0.15">
      <c r="B244" s="11" t="s">
        <v>4876</v>
      </c>
      <c r="C244" s="11" t="s">
        <v>4877</v>
      </c>
    </row>
    <row r="245" spans="2:3" s="11" customFormat="1" x14ac:dyDescent="0.15">
      <c r="B245" s="11" t="s">
        <v>4878</v>
      </c>
      <c r="C245" s="11" t="s">
        <v>4879</v>
      </c>
    </row>
    <row r="246" spans="2:3" s="11" customFormat="1" x14ac:dyDescent="0.15">
      <c r="B246" s="11" t="s">
        <v>4880</v>
      </c>
      <c r="C246" s="11" t="s">
        <v>4881</v>
      </c>
    </row>
    <row r="247" spans="2:3" s="11" customFormat="1" x14ac:dyDescent="0.15">
      <c r="B247" s="11" t="s">
        <v>4882</v>
      </c>
      <c r="C247" s="11" t="s">
        <v>4883</v>
      </c>
    </row>
    <row r="248" spans="2:3" s="11" customFormat="1" x14ac:dyDescent="0.15">
      <c r="B248" s="11" t="s">
        <v>4884</v>
      </c>
      <c r="C248" s="11" t="s">
        <v>4885</v>
      </c>
    </row>
    <row r="249" spans="2:3" s="11" customFormat="1" x14ac:dyDescent="0.15">
      <c r="B249" s="11" t="s">
        <v>4886</v>
      </c>
      <c r="C249" s="11" t="s">
        <v>4887</v>
      </c>
    </row>
    <row r="250" spans="2:3" s="11" customFormat="1" x14ac:dyDescent="0.15">
      <c r="B250" s="11" t="s">
        <v>4888</v>
      </c>
      <c r="C250" s="11" t="s">
        <v>4889</v>
      </c>
    </row>
    <row r="251" spans="2:3" s="11" customFormat="1" x14ac:dyDescent="0.15">
      <c r="B251" s="11" t="s">
        <v>4890</v>
      </c>
      <c r="C251" s="11" t="s">
        <v>4891</v>
      </c>
    </row>
    <row r="252" spans="2:3" s="11" customFormat="1" x14ac:dyDescent="0.15">
      <c r="B252" s="11" t="s">
        <v>4892</v>
      </c>
      <c r="C252" s="11" t="s">
        <v>4893</v>
      </c>
    </row>
    <row r="253" spans="2:3" s="11" customFormat="1" x14ac:dyDescent="0.15">
      <c r="B253" s="11" t="s">
        <v>4894</v>
      </c>
      <c r="C253" s="11" t="s">
        <v>4895</v>
      </c>
    </row>
    <row r="254" spans="2:3" s="11" customFormat="1" x14ac:dyDescent="0.15">
      <c r="B254" s="11" t="s">
        <v>4896</v>
      </c>
      <c r="C254" s="11" t="s">
        <v>4550</v>
      </c>
    </row>
    <row r="255" spans="2:3" s="11" customFormat="1" x14ac:dyDescent="0.15">
      <c r="B255" s="11" t="s">
        <v>4897</v>
      </c>
      <c r="C255" s="11" t="s">
        <v>4898</v>
      </c>
    </row>
    <row r="256" spans="2:3" s="11" customFormat="1" x14ac:dyDescent="0.15">
      <c r="B256" s="11" t="s">
        <v>4899</v>
      </c>
      <c r="C256" s="11" t="s">
        <v>4900</v>
      </c>
    </row>
    <row r="257" spans="2:3" s="11" customFormat="1" x14ac:dyDescent="0.15">
      <c r="B257" s="11" t="s">
        <v>4901</v>
      </c>
      <c r="C257" s="11" t="s">
        <v>4902</v>
      </c>
    </row>
    <row r="258" spans="2:3" s="11" customFormat="1" x14ac:dyDescent="0.15">
      <c r="B258" s="11" t="s">
        <v>4903</v>
      </c>
      <c r="C258" s="11" t="s">
        <v>4904</v>
      </c>
    </row>
    <row r="259" spans="2:3" s="11" customFormat="1" x14ac:dyDescent="0.15">
      <c r="B259" s="11" t="s">
        <v>4905</v>
      </c>
      <c r="C259" s="11" t="s">
        <v>4906</v>
      </c>
    </row>
    <row r="260" spans="2:3" s="11" customFormat="1" x14ac:dyDescent="0.15">
      <c r="B260" s="11" t="s">
        <v>4907</v>
      </c>
      <c r="C260" s="11" t="s">
        <v>4908</v>
      </c>
    </row>
    <row r="261" spans="2:3" s="11" customFormat="1" x14ac:dyDescent="0.15">
      <c r="B261" s="11" t="s">
        <v>4909</v>
      </c>
      <c r="C261" s="11" t="s">
        <v>4910</v>
      </c>
    </row>
    <row r="262" spans="2:3" s="11" customFormat="1" x14ac:dyDescent="0.15">
      <c r="B262" s="11" t="s">
        <v>4911</v>
      </c>
      <c r="C262" s="11" t="s">
        <v>4912</v>
      </c>
    </row>
    <row r="263" spans="2:3" s="11" customFormat="1" x14ac:dyDescent="0.15">
      <c r="B263" s="11" t="s">
        <v>4913</v>
      </c>
      <c r="C263" s="11" t="s">
        <v>4914</v>
      </c>
    </row>
    <row r="264" spans="2:3" s="11" customFormat="1" x14ac:dyDescent="0.15">
      <c r="B264" s="11" t="s">
        <v>4915</v>
      </c>
      <c r="C264" s="11" t="s">
        <v>4916</v>
      </c>
    </row>
    <row r="265" spans="2:3" s="11" customFormat="1" x14ac:dyDescent="0.15">
      <c r="B265" s="11" t="s">
        <v>4917</v>
      </c>
      <c r="C265" s="11" t="s">
        <v>4918</v>
      </c>
    </row>
    <row r="266" spans="2:3" s="11" customFormat="1" x14ac:dyDescent="0.15">
      <c r="B266" s="11" t="s">
        <v>4919</v>
      </c>
      <c r="C266" s="11" t="s">
        <v>4920</v>
      </c>
    </row>
    <row r="267" spans="2:3" s="11" customFormat="1" x14ac:dyDescent="0.15">
      <c r="B267" s="11" t="s">
        <v>4921</v>
      </c>
      <c r="C267" s="11" t="s">
        <v>4922</v>
      </c>
    </row>
    <row r="268" spans="2:3" s="11" customFormat="1" x14ac:dyDescent="0.15">
      <c r="B268" s="11" t="s">
        <v>4923</v>
      </c>
      <c r="C268" s="11" t="s">
        <v>4924</v>
      </c>
    </row>
    <row r="269" spans="2:3" s="11" customFormat="1" x14ac:dyDescent="0.15">
      <c r="B269" s="11" t="s">
        <v>4925</v>
      </c>
      <c r="C269" s="11" t="s">
        <v>4926</v>
      </c>
    </row>
    <row r="270" spans="2:3" s="11" customFormat="1" x14ac:dyDescent="0.15">
      <c r="B270" s="11" t="s">
        <v>4927</v>
      </c>
      <c r="C270" s="11" t="s">
        <v>4928</v>
      </c>
    </row>
    <row r="271" spans="2:3" s="11" customFormat="1" x14ac:dyDescent="0.15">
      <c r="B271" s="11" t="s">
        <v>4929</v>
      </c>
      <c r="C271" s="11" t="s">
        <v>4930</v>
      </c>
    </row>
    <row r="272" spans="2:3" s="11" customFormat="1" x14ac:dyDescent="0.15">
      <c r="B272" s="11" t="s">
        <v>4931</v>
      </c>
      <c r="C272" s="11" t="s">
        <v>4932</v>
      </c>
    </row>
    <row r="273" spans="2:3" s="11" customFormat="1" x14ac:dyDescent="0.15">
      <c r="B273" s="11" t="s">
        <v>4933</v>
      </c>
      <c r="C273" s="11" t="s">
        <v>4524</v>
      </c>
    </row>
    <row r="274" spans="2:3" s="11" customFormat="1" x14ac:dyDescent="0.15">
      <c r="B274" s="11" t="s">
        <v>4934</v>
      </c>
      <c r="C274" s="11" t="s">
        <v>4935</v>
      </c>
    </row>
    <row r="275" spans="2:3" s="11" customFormat="1" x14ac:dyDescent="0.15">
      <c r="B275" s="11" t="s">
        <v>4936</v>
      </c>
      <c r="C275" s="11" t="s">
        <v>4937</v>
      </c>
    </row>
    <row r="276" spans="2:3" s="11" customFormat="1" x14ac:dyDescent="0.15">
      <c r="B276" s="11" t="s">
        <v>4938</v>
      </c>
      <c r="C276" s="11" t="s">
        <v>4939</v>
      </c>
    </row>
    <row r="277" spans="2:3" s="11" customFormat="1" x14ac:dyDescent="0.15">
      <c r="B277" s="11" t="s">
        <v>4940</v>
      </c>
      <c r="C277" s="11" t="s">
        <v>4941</v>
      </c>
    </row>
    <row r="278" spans="2:3" s="11" customFormat="1" x14ac:dyDescent="0.15">
      <c r="B278" s="11" t="s">
        <v>4942</v>
      </c>
      <c r="C278" s="11" t="s">
        <v>4943</v>
      </c>
    </row>
    <row r="279" spans="2:3" s="11" customFormat="1" x14ac:dyDescent="0.15">
      <c r="B279" s="11" t="s">
        <v>4944</v>
      </c>
      <c r="C279" s="11" t="s">
        <v>4945</v>
      </c>
    </row>
    <row r="280" spans="2:3" s="11" customFormat="1" x14ac:dyDescent="0.15">
      <c r="B280" s="11" t="s">
        <v>4946</v>
      </c>
      <c r="C280" s="11" t="s">
        <v>4947</v>
      </c>
    </row>
    <row r="281" spans="2:3" s="11" customFormat="1" x14ac:dyDescent="0.15">
      <c r="B281" s="11" t="s">
        <v>4948</v>
      </c>
      <c r="C281" s="11" t="s">
        <v>4949</v>
      </c>
    </row>
    <row r="282" spans="2:3" s="11" customFormat="1" x14ac:dyDescent="0.15">
      <c r="B282" s="11" t="s">
        <v>4950</v>
      </c>
      <c r="C282" s="11" t="s">
        <v>4951</v>
      </c>
    </row>
    <row r="283" spans="2:3" s="11" customFormat="1" x14ac:dyDescent="0.15">
      <c r="B283" s="11" t="s">
        <v>4952</v>
      </c>
      <c r="C283" s="11" t="s">
        <v>4953</v>
      </c>
    </row>
    <row r="284" spans="2:3" s="11" customFormat="1" x14ac:dyDescent="0.15">
      <c r="B284" s="11" t="s">
        <v>4954</v>
      </c>
      <c r="C284" s="11" t="s">
        <v>4524</v>
      </c>
    </row>
    <row r="285" spans="2:3" s="11" customFormat="1" x14ac:dyDescent="0.15">
      <c r="B285" s="11" t="s">
        <v>4955</v>
      </c>
      <c r="C285" s="11" t="s">
        <v>4956</v>
      </c>
    </row>
    <row r="286" spans="2:3" s="11" customFormat="1" x14ac:dyDescent="0.15">
      <c r="B286" s="11" t="s">
        <v>4957</v>
      </c>
      <c r="C286" s="11" t="s">
        <v>4958</v>
      </c>
    </row>
    <row r="287" spans="2:3" s="11" customFormat="1" x14ac:dyDescent="0.15">
      <c r="B287" s="11" t="s">
        <v>4959</v>
      </c>
      <c r="C287" s="11" t="s">
        <v>4960</v>
      </c>
    </row>
    <row r="288" spans="2:3" s="11" customFormat="1" x14ac:dyDescent="0.15">
      <c r="B288" s="11" t="s">
        <v>4961</v>
      </c>
      <c r="C288" s="11" t="s">
        <v>4962</v>
      </c>
    </row>
    <row r="289" spans="2:3" s="11" customFormat="1" x14ac:dyDescent="0.15">
      <c r="B289" s="11" t="s">
        <v>4963</v>
      </c>
      <c r="C289" s="11" t="s">
        <v>4964</v>
      </c>
    </row>
    <row r="290" spans="2:3" s="11" customFormat="1" x14ac:dyDescent="0.15">
      <c r="B290" s="11" t="s">
        <v>4965</v>
      </c>
      <c r="C290" s="11" t="s">
        <v>4966</v>
      </c>
    </row>
    <row r="291" spans="2:3" s="11" customFormat="1" x14ac:dyDescent="0.15">
      <c r="B291" s="11" t="s">
        <v>4967</v>
      </c>
      <c r="C291" s="11" t="s">
        <v>4968</v>
      </c>
    </row>
    <row r="292" spans="2:3" s="11" customFormat="1" x14ac:dyDescent="0.15">
      <c r="B292" s="11" t="s">
        <v>4969</v>
      </c>
      <c r="C292" s="11" t="s">
        <v>4524</v>
      </c>
    </row>
    <row r="293" spans="2:3" s="11" customFormat="1" x14ac:dyDescent="0.15">
      <c r="B293" s="11" t="s">
        <v>4970</v>
      </c>
      <c r="C293" s="11" t="s">
        <v>4971</v>
      </c>
    </row>
    <row r="294" spans="2:3" s="11" customFormat="1" x14ac:dyDescent="0.15">
      <c r="B294" s="11" t="s">
        <v>4972</v>
      </c>
      <c r="C294" s="11" t="s">
        <v>4973</v>
      </c>
    </row>
    <row r="295" spans="2:3" s="11" customFormat="1" x14ac:dyDescent="0.15">
      <c r="B295" s="11" t="s">
        <v>4974</v>
      </c>
      <c r="C295" s="11" t="s">
        <v>4975</v>
      </c>
    </row>
    <row r="296" spans="2:3" s="11" customFormat="1" x14ac:dyDescent="0.15">
      <c r="B296" s="11" t="s">
        <v>4976</v>
      </c>
      <c r="C296" s="11" t="s">
        <v>4977</v>
      </c>
    </row>
    <row r="297" spans="2:3" s="11" customFormat="1" x14ac:dyDescent="0.15">
      <c r="B297" s="11" t="s">
        <v>4978</v>
      </c>
      <c r="C297" s="11" t="s">
        <v>4979</v>
      </c>
    </row>
    <row r="298" spans="2:3" s="11" customFormat="1" x14ac:dyDescent="0.15">
      <c r="B298" s="11" t="s">
        <v>4980</v>
      </c>
      <c r="C298" s="11" t="s">
        <v>4981</v>
      </c>
    </row>
    <row r="299" spans="2:3" s="11" customFormat="1" x14ac:dyDescent="0.15">
      <c r="B299" s="11" t="s">
        <v>4982</v>
      </c>
      <c r="C299" s="11" t="s">
        <v>4983</v>
      </c>
    </row>
    <row r="300" spans="2:3" s="11" customFormat="1" x14ac:dyDescent="0.15">
      <c r="B300" s="11" t="s">
        <v>4984</v>
      </c>
      <c r="C300" s="11" t="s">
        <v>4985</v>
      </c>
    </row>
    <row r="301" spans="2:3" s="11" customFormat="1" x14ac:dyDescent="0.15">
      <c r="B301" s="11" t="s">
        <v>4986</v>
      </c>
      <c r="C301" s="11" t="s">
        <v>4524</v>
      </c>
    </row>
    <row r="302" spans="2:3" s="11" customFormat="1" x14ac:dyDescent="0.15">
      <c r="B302" s="11" t="s">
        <v>4987</v>
      </c>
      <c r="C302" s="11" t="s">
        <v>4988</v>
      </c>
    </row>
    <row r="303" spans="2:3" s="11" customFormat="1" x14ac:dyDescent="0.15">
      <c r="B303" s="11" t="s">
        <v>4989</v>
      </c>
      <c r="C303" s="11" t="s">
        <v>4990</v>
      </c>
    </row>
    <row r="304" spans="2:3" s="11" customFormat="1" x14ac:dyDescent="0.15">
      <c r="B304" s="11" t="s">
        <v>4991</v>
      </c>
      <c r="C304" s="11" t="s">
        <v>4992</v>
      </c>
    </row>
    <row r="305" spans="2:3" s="11" customFormat="1" x14ac:dyDescent="0.15">
      <c r="B305" s="11" t="s">
        <v>4993</v>
      </c>
      <c r="C305" s="11" t="s">
        <v>4994</v>
      </c>
    </row>
    <row r="306" spans="2:3" s="11" customFormat="1" x14ac:dyDescent="0.15">
      <c r="B306" s="11" t="s">
        <v>4995</v>
      </c>
      <c r="C306" s="11" t="s">
        <v>4924</v>
      </c>
    </row>
    <row r="307" spans="2:3" s="11" customFormat="1" x14ac:dyDescent="0.15">
      <c r="B307" s="11" t="s">
        <v>4996</v>
      </c>
      <c r="C307" s="11" t="s">
        <v>4997</v>
      </c>
    </row>
    <row r="308" spans="2:3" s="11" customFormat="1" x14ac:dyDescent="0.15">
      <c r="B308" s="11" t="s">
        <v>4998</v>
      </c>
      <c r="C308" s="11" t="s">
        <v>4999</v>
      </c>
    </row>
    <row r="309" spans="2:3" s="11" customFormat="1" x14ac:dyDescent="0.15">
      <c r="B309" s="11" t="s">
        <v>5000</v>
      </c>
      <c r="C309" s="11" t="s">
        <v>5001</v>
      </c>
    </row>
    <row r="310" spans="2:3" s="11" customFormat="1" x14ac:dyDescent="0.15">
      <c r="B310" s="11" t="s">
        <v>5002</v>
      </c>
      <c r="C310" s="11" t="s">
        <v>5003</v>
      </c>
    </row>
    <row r="311" spans="2:3" s="11" customFormat="1" x14ac:dyDescent="0.15">
      <c r="B311" s="11" t="s">
        <v>5004</v>
      </c>
      <c r="C311" s="11" t="s">
        <v>4464</v>
      </c>
    </row>
    <row r="312" spans="2:3" s="11" customFormat="1" x14ac:dyDescent="0.15">
      <c r="B312" s="11" t="s">
        <v>5005</v>
      </c>
      <c r="C312" s="11" t="s">
        <v>5006</v>
      </c>
    </row>
    <row r="313" spans="2:3" s="11" customFormat="1" x14ac:dyDescent="0.15">
      <c r="B313" s="11" t="s">
        <v>5007</v>
      </c>
      <c r="C313" s="11" t="s">
        <v>5008</v>
      </c>
    </row>
    <row r="314" spans="2:3" s="11" customFormat="1" x14ac:dyDescent="0.15">
      <c r="B314" s="11" t="s">
        <v>5009</v>
      </c>
      <c r="C314" s="11" t="s">
        <v>5010</v>
      </c>
    </row>
    <row r="315" spans="2:3" s="11" customFormat="1" x14ac:dyDescent="0.15">
      <c r="B315" s="11" t="s">
        <v>5011</v>
      </c>
      <c r="C315" s="11" t="s">
        <v>5012</v>
      </c>
    </row>
    <row r="316" spans="2:3" s="11" customFormat="1" x14ac:dyDescent="0.15">
      <c r="B316" s="11" t="s">
        <v>5013</v>
      </c>
      <c r="C316" s="11" t="s">
        <v>5014</v>
      </c>
    </row>
    <row r="317" spans="2:3" s="11" customFormat="1" x14ac:dyDescent="0.15">
      <c r="B317" s="11" t="s">
        <v>5015</v>
      </c>
      <c r="C317" s="11" t="s">
        <v>5016</v>
      </c>
    </row>
    <row r="318" spans="2:3" s="11" customFormat="1" x14ac:dyDescent="0.15">
      <c r="B318" s="11" t="s">
        <v>5017</v>
      </c>
      <c r="C318" s="11" t="s">
        <v>5018</v>
      </c>
    </row>
    <row r="319" spans="2:3" s="11" customFormat="1" x14ac:dyDescent="0.15">
      <c r="B319" s="11" t="s">
        <v>5019</v>
      </c>
      <c r="C319" s="11" t="s">
        <v>5020</v>
      </c>
    </row>
    <row r="320" spans="2:3" s="11" customFormat="1" x14ac:dyDescent="0.15">
      <c r="B320" s="11" t="s">
        <v>5021</v>
      </c>
      <c r="C320" s="11" t="s">
        <v>4524</v>
      </c>
    </row>
    <row r="321" spans="2:3" s="11" customFormat="1" x14ac:dyDescent="0.15">
      <c r="B321" s="11" t="s">
        <v>5022</v>
      </c>
      <c r="C321" s="11" t="s">
        <v>5023</v>
      </c>
    </row>
    <row r="322" spans="2:3" s="11" customFormat="1" x14ac:dyDescent="0.15">
      <c r="B322" s="11" t="s">
        <v>5024</v>
      </c>
      <c r="C322" s="11" t="s">
        <v>5025</v>
      </c>
    </row>
    <row r="323" spans="2:3" s="11" customFormat="1" x14ac:dyDescent="0.15">
      <c r="B323" s="11" t="s">
        <v>5026</v>
      </c>
      <c r="C323" s="11" t="s">
        <v>5027</v>
      </c>
    </row>
    <row r="324" spans="2:3" s="11" customFormat="1" x14ac:dyDescent="0.15">
      <c r="B324" s="11" t="s">
        <v>5028</v>
      </c>
      <c r="C324" s="11" t="s">
        <v>5029</v>
      </c>
    </row>
    <row r="325" spans="2:3" s="11" customFormat="1" x14ac:dyDescent="0.15">
      <c r="B325" s="11" t="s">
        <v>5030</v>
      </c>
      <c r="C325" s="11" t="s">
        <v>5031</v>
      </c>
    </row>
    <row r="326" spans="2:3" s="11" customFormat="1" x14ac:dyDescent="0.15">
      <c r="B326" s="11" t="s">
        <v>5032</v>
      </c>
      <c r="C326" s="11" t="s">
        <v>5033</v>
      </c>
    </row>
    <row r="327" spans="2:3" s="11" customFormat="1" x14ac:dyDescent="0.15">
      <c r="B327" s="11" t="s">
        <v>5034</v>
      </c>
      <c r="C327" s="11" t="s">
        <v>5035</v>
      </c>
    </row>
    <row r="328" spans="2:3" s="11" customFormat="1" x14ac:dyDescent="0.15">
      <c r="B328" s="11" t="s">
        <v>5036</v>
      </c>
      <c r="C328" s="11" t="s">
        <v>5037</v>
      </c>
    </row>
    <row r="329" spans="2:3" s="11" customFormat="1" x14ac:dyDescent="0.15">
      <c r="B329" s="11" t="s">
        <v>5038</v>
      </c>
      <c r="C329" s="11" t="s">
        <v>5039</v>
      </c>
    </row>
    <row r="330" spans="2:3" s="11" customFormat="1" x14ac:dyDescent="0.15">
      <c r="B330" s="11" t="s">
        <v>5040</v>
      </c>
      <c r="C330" s="11" t="s">
        <v>5041</v>
      </c>
    </row>
    <row r="331" spans="2:3" s="11" customFormat="1" x14ac:dyDescent="0.15">
      <c r="B331" s="11" t="s">
        <v>5042</v>
      </c>
      <c r="C331" s="11" t="s">
        <v>5043</v>
      </c>
    </row>
    <row r="332" spans="2:3" s="11" customFormat="1" x14ac:dyDescent="0.15">
      <c r="B332" s="11" t="s">
        <v>5044</v>
      </c>
      <c r="C332" s="11" t="s">
        <v>5045</v>
      </c>
    </row>
    <row r="333" spans="2:3" s="11" customFormat="1" x14ac:dyDescent="0.15">
      <c r="B333" s="11" t="s">
        <v>5046</v>
      </c>
      <c r="C333" s="11" t="s">
        <v>4464</v>
      </c>
    </row>
    <row r="334" spans="2:3" s="11" customFormat="1" x14ac:dyDescent="0.15">
      <c r="B334" s="11" t="s">
        <v>5047</v>
      </c>
      <c r="C334" s="11" t="s">
        <v>5048</v>
      </c>
    </row>
    <row r="335" spans="2:3" s="11" customFormat="1" x14ac:dyDescent="0.15">
      <c r="B335" s="11" t="s">
        <v>5049</v>
      </c>
      <c r="C335" s="11" t="s">
        <v>4506</v>
      </c>
    </row>
    <row r="336" spans="2:3" s="11" customFormat="1" x14ac:dyDescent="0.15">
      <c r="B336" s="11" t="s">
        <v>5050</v>
      </c>
      <c r="C336" s="11" t="s">
        <v>4524</v>
      </c>
    </row>
    <row r="337" spans="2:3" s="11" customFormat="1" x14ac:dyDescent="0.15">
      <c r="B337" s="11" t="s">
        <v>5051</v>
      </c>
      <c r="C337" s="11" t="s">
        <v>5052</v>
      </c>
    </row>
    <row r="338" spans="2:3" s="11" customFormat="1" x14ac:dyDescent="0.15">
      <c r="B338" s="11" t="s">
        <v>5053</v>
      </c>
      <c r="C338" s="11" t="s">
        <v>5054</v>
      </c>
    </row>
    <row r="339" spans="2:3" s="11" customFormat="1" x14ac:dyDescent="0.15">
      <c r="B339" s="11" t="s">
        <v>5055</v>
      </c>
      <c r="C339" s="11" t="s">
        <v>5056</v>
      </c>
    </row>
    <row r="340" spans="2:3" s="11" customFormat="1" x14ac:dyDescent="0.15">
      <c r="B340" s="11" t="s">
        <v>5057</v>
      </c>
      <c r="C340" s="11" t="s">
        <v>5058</v>
      </c>
    </row>
    <row r="341" spans="2:3" s="11" customFormat="1" x14ac:dyDescent="0.15">
      <c r="B341" s="11" t="s">
        <v>5059</v>
      </c>
      <c r="C341" s="11" t="s">
        <v>5060</v>
      </c>
    </row>
    <row r="342" spans="2:3" s="11" customFormat="1" x14ac:dyDescent="0.15">
      <c r="B342" s="11" t="s">
        <v>5061</v>
      </c>
      <c r="C342" s="11" t="s">
        <v>5062</v>
      </c>
    </row>
    <row r="343" spans="2:3" s="11" customFormat="1" x14ac:dyDescent="0.15">
      <c r="B343" s="11" t="s">
        <v>5063</v>
      </c>
      <c r="C343" s="11" t="s">
        <v>5064</v>
      </c>
    </row>
    <row r="344" spans="2:3" s="11" customFormat="1" x14ac:dyDescent="0.15">
      <c r="B344" s="11" t="s">
        <v>5065</v>
      </c>
      <c r="C344" s="11" t="s">
        <v>5066</v>
      </c>
    </row>
    <row r="345" spans="2:3" s="11" customFormat="1" x14ac:dyDescent="0.15">
      <c r="B345" s="11" t="s">
        <v>5067</v>
      </c>
      <c r="C345" s="11" t="s">
        <v>5068</v>
      </c>
    </row>
    <row r="346" spans="2:3" s="11" customFormat="1" x14ac:dyDescent="0.15">
      <c r="B346" s="11" t="s">
        <v>5069</v>
      </c>
      <c r="C346" s="11" t="s">
        <v>5070</v>
      </c>
    </row>
    <row r="347" spans="2:3" s="11" customFormat="1" x14ac:dyDescent="0.15">
      <c r="B347" s="11" t="s">
        <v>5071</v>
      </c>
      <c r="C347" s="11" t="s">
        <v>5072</v>
      </c>
    </row>
    <row r="348" spans="2:3" s="11" customFormat="1" x14ac:dyDescent="0.15">
      <c r="B348" s="11" t="s">
        <v>5073</v>
      </c>
      <c r="C348" s="11" t="s">
        <v>5074</v>
      </c>
    </row>
    <row r="349" spans="2:3" s="11" customFormat="1" x14ac:dyDescent="0.15">
      <c r="B349" s="11" t="s">
        <v>5075</v>
      </c>
      <c r="C349" s="11" t="s">
        <v>5076</v>
      </c>
    </row>
    <row r="350" spans="2:3" s="11" customFormat="1" x14ac:dyDescent="0.15">
      <c r="B350" s="11" t="s">
        <v>5077</v>
      </c>
      <c r="C350" s="11" t="s">
        <v>5078</v>
      </c>
    </row>
    <row r="351" spans="2:3" s="11" customFormat="1" x14ac:dyDescent="0.15">
      <c r="B351" s="11" t="s">
        <v>5079</v>
      </c>
      <c r="C351" s="11" t="s">
        <v>5080</v>
      </c>
    </row>
    <row r="352" spans="2:3" s="11" customFormat="1" x14ac:dyDescent="0.15">
      <c r="B352" s="11" t="s">
        <v>5081</v>
      </c>
      <c r="C352" s="11" t="s">
        <v>5082</v>
      </c>
    </row>
    <row r="353" spans="2:3" s="11" customFormat="1" x14ac:dyDescent="0.15">
      <c r="B353" s="11" t="s">
        <v>5083</v>
      </c>
      <c r="C353" s="11" t="s">
        <v>5084</v>
      </c>
    </row>
    <row r="354" spans="2:3" s="11" customFormat="1" x14ac:dyDescent="0.15">
      <c r="B354" s="11" t="s">
        <v>5085</v>
      </c>
      <c r="C354" s="11" t="s">
        <v>5086</v>
      </c>
    </row>
    <row r="355" spans="2:3" s="11" customFormat="1" x14ac:dyDescent="0.15">
      <c r="B355" s="11" t="s">
        <v>5087</v>
      </c>
      <c r="C355" s="11" t="s">
        <v>5088</v>
      </c>
    </row>
    <row r="356" spans="2:3" s="11" customFormat="1" x14ac:dyDescent="0.15">
      <c r="B356" s="11" t="s">
        <v>5089</v>
      </c>
      <c r="C356" s="11" t="s">
        <v>5090</v>
      </c>
    </row>
    <row r="357" spans="2:3" s="11" customFormat="1" x14ac:dyDescent="0.15">
      <c r="B357" s="11" t="s">
        <v>5091</v>
      </c>
      <c r="C357" s="11" t="s">
        <v>5092</v>
      </c>
    </row>
    <row r="358" spans="2:3" s="11" customFormat="1" x14ac:dyDescent="0.15">
      <c r="B358" s="11" t="s">
        <v>5093</v>
      </c>
      <c r="C358" s="11" t="s">
        <v>5094</v>
      </c>
    </row>
    <row r="359" spans="2:3" s="11" customFormat="1" x14ac:dyDescent="0.15">
      <c r="B359" s="11" t="s">
        <v>5095</v>
      </c>
      <c r="C359" s="11" t="s">
        <v>5096</v>
      </c>
    </row>
    <row r="360" spans="2:3" s="11" customFormat="1" x14ac:dyDescent="0.15">
      <c r="B360" s="11" t="s">
        <v>5097</v>
      </c>
      <c r="C360" s="11" t="s">
        <v>5098</v>
      </c>
    </row>
    <row r="361" spans="2:3" s="11" customFormat="1" x14ac:dyDescent="0.15">
      <c r="B361" s="11" t="s">
        <v>5099</v>
      </c>
      <c r="C361" s="11" t="s">
        <v>5100</v>
      </c>
    </row>
    <row r="362" spans="2:3" s="11" customFormat="1" x14ac:dyDescent="0.15">
      <c r="B362" s="11" t="s">
        <v>5101</v>
      </c>
      <c r="C362" s="11" t="s">
        <v>5102</v>
      </c>
    </row>
    <row r="363" spans="2:3" s="11" customFormat="1" x14ac:dyDescent="0.15">
      <c r="B363" s="11" t="s">
        <v>5103</v>
      </c>
      <c r="C363" s="11" t="s">
        <v>5104</v>
      </c>
    </row>
    <row r="364" spans="2:3" s="11" customFormat="1" x14ac:dyDescent="0.15">
      <c r="B364" s="11" t="s">
        <v>5105</v>
      </c>
      <c r="C364" s="11" t="s">
        <v>5106</v>
      </c>
    </row>
    <row r="365" spans="2:3" s="11" customFormat="1" x14ac:dyDescent="0.15">
      <c r="B365" s="11" t="s">
        <v>5107</v>
      </c>
      <c r="C365" s="11" t="s">
        <v>5108</v>
      </c>
    </row>
    <row r="366" spans="2:3" s="11" customFormat="1" x14ac:dyDescent="0.15">
      <c r="B366" s="11" t="s">
        <v>5109</v>
      </c>
      <c r="C366" s="11" t="s">
        <v>5110</v>
      </c>
    </row>
    <row r="367" spans="2:3" s="11" customFormat="1" x14ac:dyDescent="0.15">
      <c r="B367" s="11" t="s">
        <v>5111</v>
      </c>
      <c r="C367" s="11" t="s">
        <v>5112</v>
      </c>
    </row>
    <row r="368" spans="2:3" s="11" customFormat="1" x14ac:dyDescent="0.15">
      <c r="B368" s="11" t="s">
        <v>5113</v>
      </c>
      <c r="C368" s="11" t="s">
        <v>5114</v>
      </c>
    </row>
    <row r="369" spans="2:3" s="11" customFormat="1" x14ac:dyDescent="0.15">
      <c r="B369" s="11" t="s">
        <v>5115</v>
      </c>
      <c r="C369" s="11" t="s">
        <v>5110</v>
      </c>
    </row>
    <row r="370" spans="2:3" s="11" customFormat="1" x14ac:dyDescent="0.15">
      <c r="B370" s="11" t="s">
        <v>5116</v>
      </c>
      <c r="C370" s="11" t="s">
        <v>5117</v>
      </c>
    </row>
    <row r="371" spans="2:3" s="11" customFormat="1" x14ac:dyDescent="0.15">
      <c r="B371" s="11" t="s">
        <v>5118</v>
      </c>
      <c r="C371" s="11" t="s">
        <v>5119</v>
      </c>
    </row>
    <row r="372" spans="2:3" s="11" customFormat="1" x14ac:dyDescent="0.15">
      <c r="B372" s="11" t="s">
        <v>5120</v>
      </c>
      <c r="C372" s="11" t="s">
        <v>5121</v>
      </c>
    </row>
    <row r="373" spans="2:3" s="11" customFormat="1" x14ac:dyDescent="0.15">
      <c r="B373" s="11" t="s">
        <v>5122</v>
      </c>
      <c r="C373" s="11" t="s">
        <v>5123</v>
      </c>
    </row>
    <row r="374" spans="2:3" s="11" customFormat="1" x14ac:dyDescent="0.15">
      <c r="B374" s="11" t="s">
        <v>5124</v>
      </c>
      <c r="C374" s="11" t="s">
        <v>5125</v>
      </c>
    </row>
    <row r="375" spans="2:3" s="11" customFormat="1" x14ac:dyDescent="0.15">
      <c r="B375" s="11" t="s">
        <v>5126</v>
      </c>
      <c r="C375" s="11" t="s">
        <v>5127</v>
      </c>
    </row>
    <row r="376" spans="2:3" s="11" customFormat="1" x14ac:dyDescent="0.15">
      <c r="B376" s="11" t="s">
        <v>5128</v>
      </c>
      <c r="C376" s="11" t="s">
        <v>5129</v>
      </c>
    </row>
    <row r="377" spans="2:3" s="11" customFormat="1" x14ac:dyDescent="0.15">
      <c r="B377" s="11" t="s">
        <v>5130</v>
      </c>
      <c r="C377" s="11" t="s">
        <v>5131</v>
      </c>
    </row>
    <row r="378" spans="2:3" s="11" customFormat="1" x14ac:dyDescent="0.15">
      <c r="B378" s="11" t="s">
        <v>5132</v>
      </c>
      <c r="C378" s="11" t="s">
        <v>5133</v>
      </c>
    </row>
    <row r="379" spans="2:3" s="11" customFormat="1" x14ac:dyDescent="0.15">
      <c r="B379" s="11" t="s">
        <v>5134</v>
      </c>
      <c r="C379" s="11" t="s">
        <v>5135</v>
      </c>
    </row>
    <row r="380" spans="2:3" s="11" customFormat="1" x14ac:dyDescent="0.15">
      <c r="B380" s="11" t="s">
        <v>5136</v>
      </c>
      <c r="C380" s="11" t="s">
        <v>5137</v>
      </c>
    </row>
    <row r="381" spans="2:3" s="11" customFormat="1" x14ac:dyDescent="0.15">
      <c r="B381" s="11" t="s">
        <v>5138</v>
      </c>
      <c r="C381" s="11" t="s">
        <v>5139</v>
      </c>
    </row>
    <row r="382" spans="2:3" s="11" customFormat="1" x14ac:dyDescent="0.15">
      <c r="B382" s="11" t="s">
        <v>5140</v>
      </c>
      <c r="C382" s="11" t="s">
        <v>5141</v>
      </c>
    </row>
    <row r="383" spans="2:3" s="11" customFormat="1" x14ac:dyDescent="0.15">
      <c r="B383" s="11" t="s">
        <v>5142</v>
      </c>
      <c r="C383" s="11" t="s">
        <v>5143</v>
      </c>
    </row>
    <row r="384" spans="2:3" s="11" customFormat="1" x14ac:dyDescent="0.15">
      <c r="B384" s="11" t="s">
        <v>5144</v>
      </c>
      <c r="C384" s="11" t="s">
        <v>5145</v>
      </c>
    </row>
    <row r="385" spans="2:3" s="11" customFormat="1" x14ac:dyDescent="0.15">
      <c r="B385" s="11" t="s">
        <v>5146</v>
      </c>
      <c r="C385" s="11" t="s">
        <v>5147</v>
      </c>
    </row>
    <row r="386" spans="2:3" s="11" customFormat="1" x14ac:dyDescent="0.15">
      <c r="B386" s="11" t="s">
        <v>5148</v>
      </c>
      <c r="C386" s="11" t="s">
        <v>5149</v>
      </c>
    </row>
    <row r="387" spans="2:3" s="11" customFormat="1" x14ac:dyDescent="0.15">
      <c r="B387" s="11" t="s">
        <v>5150</v>
      </c>
      <c r="C387" s="11" t="s">
        <v>5151</v>
      </c>
    </row>
    <row r="388" spans="2:3" s="11" customFormat="1" x14ac:dyDescent="0.15">
      <c r="B388" s="11" t="s">
        <v>5152</v>
      </c>
      <c r="C388" s="11" t="s">
        <v>4524</v>
      </c>
    </row>
    <row r="389" spans="2:3" s="11" customFormat="1" x14ac:dyDescent="0.15">
      <c r="B389" s="11" t="s">
        <v>5153</v>
      </c>
      <c r="C389" s="11" t="s">
        <v>5154</v>
      </c>
    </row>
    <row r="390" spans="2:3" s="11" customFormat="1" x14ac:dyDescent="0.15">
      <c r="B390" s="11" t="s">
        <v>5155</v>
      </c>
      <c r="C390" s="11" t="s">
        <v>5156</v>
      </c>
    </row>
    <row r="391" spans="2:3" s="11" customFormat="1" x14ac:dyDescent="0.15">
      <c r="B391" s="11" t="s">
        <v>5157</v>
      </c>
      <c r="C391" s="11" t="s">
        <v>5158</v>
      </c>
    </row>
    <row r="392" spans="2:3" s="11" customFormat="1" x14ac:dyDescent="0.15">
      <c r="B392" s="11" t="s">
        <v>5159</v>
      </c>
      <c r="C392" s="11" t="s">
        <v>5160</v>
      </c>
    </row>
    <row r="393" spans="2:3" s="11" customFormat="1" x14ac:dyDescent="0.15">
      <c r="B393" s="11" t="s">
        <v>5161</v>
      </c>
      <c r="C393" s="11" t="s">
        <v>4524</v>
      </c>
    </row>
    <row r="394" spans="2:3" s="11" customFormat="1" x14ac:dyDescent="0.15">
      <c r="B394" s="11" t="s">
        <v>5162</v>
      </c>
      <c r="C394" s="11" t="s">
        <v>4659</v>
      </c>
    </row>
    <row r="395" spans="2:3" s="11" customFormat="1" x14ac:dyDescent="0.15">
      <c r="B395" s="11" t="s">
        <v>5163</v>
      </c>
      <c r="C395" s="11" t="s">
        <v>5164</v>
      </c>
    </row>
    <row r="396" spans="2:3" s="11" customFormat="1" x14ac:dyDescent="0.15">
      <c r="B396" s="11" t="s">
        <v>5165</v>
      </c>
      <c r="C396" s="11" t="s">
        <v>5166</v>
      </c>
    </row>
    <row r="397" spans="2:3" s="11" customFormat="1" x14ac:dyDescent="0.15">
      <c r="B397" s="11" t="s">
        <v>5167</v>
      </c>
      <c r="C397" s="11" t="s">
        <v>5168</v>
      </c>
    </row>
    <row r="398" spans="2:3" s="11" customFormat="1" x14ac:dyDescent="0.15">
      <c r="B398" s="11" t="s">
        <v>5169</v>
      </c>
      <c r="C398" s="11" t="s">
        <v>5170</v>
      </c>
    </row>
    <row r="399" spans="2:3" s="11" customFormat="1" x14ac:dyDescent="0.15">
      <c r="B399" s="11" t="s">
        <v>5171</v>
      </c>
      <c r="C399" s="11" t="s">
        <v>5172</v>
      </c>
    </row>
    <row r="400" spans="2:3" s="11" customFormat="1" x14ac:dyDescent="0.15">
      <c r="B400" s="11" t="s">
        <v>5173</v>
      </c>
      <c r="C400" s="11" t="s">
        <v>5174</v>
      </c>
    </row>
    <row r="401" spans="2:3" s="11" customFormat="1" x14ac:dyDescent="0.15">
      <c r="B401" s="11" t="s">
        <v>5175</v>
      </c>
      <c r="C401" s="11" t="s">
        <v>5176</v>
      </c>
    </row>
    <row r="402" spans="2:3" s="11" customFormat="1" x14ac:dyDescent="0.15">
      <c r="B402" s="11" t="s">
        <v>5177</v>
      </c>
      <c r="C402" s="11" t="s">
        <v>5121</v>
      </c>
    </row>
    <row r="403" spans="2:3" s="11" customFormat="1" x14ac:dyDescent="0.15">
      <c r="B403" s="11" t="s">
        <v>5178</v>
      </c>
      <c r="C403" s="11" t="s">
        <v>5179</v>
      </c>
    </row>
    <row r="404" spans="2:3" s="11" customFormat="1" x14ac:dyDescent="0.15">
      <c r="B404" s="11" t="s">
        <v>5180</v>
      </c>
      <c r="C404" s="11" t="s">
        <v>5181</v>
      </c>
    </row>
    <row r="405" spans="2:3" s="11" customFormat="1" x14ac:dyDescent="0.15">
      <c r="B405" s="11" t="s">
        <v>5182</v>
      </c>
      <c r="C405" s="11" t="s">
        <v>5183</v>
      </c>
    </row>
    <row r="406" spans="2:3" s="11" customFormat="1" x14ac:dyDescent="0.15">
      <c r="B406" s="11" t="s">
        <v>5184</v>
      </c>
      <c r="C406" s="11" t="s">
        <v>5185</v>
      </c>
    </row>
    <row r="407" spans="2:3" s="11" customFormat="1" x14ac:dyDescent="0.15">
      <c r="B407" s="11" t="s">
        <v>5186</v>
      </c>
      <c r="C407" s="11" t="s">
        <v>5187</v>
      </c>
    </row>
    <row r="408" spans="2:3" s="11" customFormat="1" x14ac:dyDescent="0.15">
      <c r="B408" s="11" t="s">
        <v>5188</v>
      </c>
      <c r="C408" s="11" t="s">
        <v>5189</v>
      </c>
    </row>
    <row r="409" spans="2:3" s="11" customFormat="1" x14ac:dyDescent="0.15">
      <c r="B409" s="11" t="s">
        <v>5190</v>
      </c>
      <c r="C409" s="11" t="s">
        <v>5191</v>
      </c>
    </row>
    <row r="410" spans="2:3" s="11" customFormat="1" x14ac:dyDescent="0.15">
      <c r="B410" s="11" t="s">
        <v>5192</v>
      </c>
      <c r="C410" s="11" t="s">
        <v>5193</v>
      </c>
    </row>
    <row r="411" spans="2:3" s="11" customFormat="1" x14ac:dyDescent="0.15">
      <c r="B411" s="11" t="s">
        <v>5194</v>
      </c>
      <c r="C411" s="11" t="s">
        <v>5195</v>
      </c>
    </row>
    <row r="412" spans="2:3" s="11" customFormat="1" x14ac:dyDescent="0.15">
      <c r="B412" s="11" t="s">
        <v>5196</v>
      </c>
      <c r="C412" s="11" t="s">
        <v>5197</v>
      </c>
    </row>
    <row r="413" spans="2:3" s="11" customFormat="1" x14ac:dyDescent="0.15">
      <c r="B413" s="11" t="s">
        <v>5198</v>
      </c>
      <c r="C413" s="11" t="s">
        <v>5199</v>
      </c>
    </row>
    <row r="414" spans="2:3" s="11" customFormat="1" x14ac:dyDescent="0.15">
      <c r="B414" s="11" t="s">
        <v>5200</v>
      </c>
      <c r="C414" s="11" t="s">
        <v>5201</v>
      </c>
    </row>
    <row r="415" spans="2:3" s="11" customFormat="1" x14ac:dyDescent="0.15">
      <c r="B415" s="11" t="s">
        <v>5202</v>
      </c>
      <c r="C415" s="11" t="s">
        <v>5203</v>
      </c>
    </row>
    <row r="416" spans="2:3" s="11" customFormat="1" x14ac:dyDescent="0.15">
      <c r="B416" s="11" t="s">
        <v>5204</v>
      </c>
      <c r="C416" s="11" t="s">
        <v>5205</v>
      </c>
    </row>
    <row r="417" spans="2:3" s="11" customFormat="1" x14ac:dyDescent="0.15">
      <c r="B417" s="11" t="s">
        <v>5206</v>
      </c>
      <c r="C417" s="11" t="s">
        <v>5207</v>
      </c>
    </row>
    <row r="418" spans="2:3" s="11" customFormat="1" x14ac:dyDescent="0.15">
      <c r="B418" s="11" t="s">
        <v>5208</v>
      </c>
      <c r="C418" s="11" t="s">
        <v>5209</v>
      </c>
    </row>
    <row r="419" spans="2:3" s="11" customFormat="1" x14ac:dyDescent="0.15">
      <c r="B419" s="11" t="s">
        <v>5210</v>
      </c>
      <c r="C419" s="11" t="s">
        <v>5211</v>
      </c>
    </row>
    <row r="420" spans="2:3" s="11" customFormat="1" x14ac:dyDescent="0.15">
      <c r="B420" s="11" t="s">
        <v>5212</v>
      </c>
      <c r="C420" s="11" t="s">
        <v>5213</v>
      </c>
    </row>
    <row r="421" spans="2:3" s="11" customFormat="1" x14ac:dyDescent="0.15">
      <c r="B421" s="11" t="s">
        <v>5214</v>
      </c>
      <c r="C421" s="11" t="s">
        <v>5215</v>
      </c>
    </row>
    <row r="422" spans="2:3" s="11" customFormat="1" x14ac:dyDescent="0.15">
      <c r="B422" s="11" t="s">
        <v>5216</v>
      </c>
      <c r="C422" s="11" t="s">
        <v>5217</v>
      </c>
    </row>
    <row r="423" spans="2:3" s="11" customFormat="1" x14ac:dyDescent="0.15">
      <c r="B423" s="11" t="s">
        <v>5218</v>
      </c>
      <c r="C423" s="11" t="s">
        <v>4869</v>
      </c>
    </row>
    <row r="424" spans="2:3" s="11" customFormat="1" x14ac:dyDescent="0.15">
      <c r="B424" s="11" t="s">
        <v>5219</v>
      </c>
      <c r="C424" s="11" t="s">
        <v>5220</v>
      </c>
    </row>
    <row r="425" spans="2:3" s="11" customFormat="1" x14ac:dyDescent="0.15">
      <c r="B425" s="11" t="s">
        <v>5221</v>
      </c>
      <c r="C425" s="11" t="s">
        <v>4869</v>
      </c>
    </row>
    <row r="426" spans="2:3" s="11" customFormat="1" x14ac:dyDescent="0.15">
      <c r="B426" s="11" t="s">
        <v>5222</v>
      </c>
      <c r="C426" s="11" t="s">
        <v>5223</v>
      </c>
    </row>
    <row r="427" spans="2:3" s="11" customFormat="1" x14ac:dyDescent="0.15">
      <c r="B427" s="11" t="s">
        <v>5224</v>
      </c>
      <c r="C427" s="11" t="s">
        <v>5225</v>
      </c>
    </row>
    <row r="428" spans="2:3" s="11" customFormat="1" x14ac:dyDescent="0.15">
      <c r="B428" s="11" t="s">
        <v>5226</v>
      </c>
      <c r="C428" s="11" t="s">
        <v>4470</v>
      </c>
    </row>
    <row r="429" spans="2:3" s="11" customFormat="1" x14ac:dyDescent="0.15">
      <c r="B429" s="11" t="s">
        <v>5227</v>
      </c>
      <c r="C429" s="11" t="s">
        <v>4472</v>
      </c>
    </row>
    <row r="430" spans="2:3" s="11" customFormat="1" x14ac:dyDescent="0.15">
      <c r="B430" s="11" t="s">
        <v>5228</v>
      </c>
      <c r="C430" s="11" t="s">
        <v>4474</v>
      </c>
    </row>
    <row r="431" spans="2:3" s="11" customFormat="1" x14ac:dyDescent="0.15">
      <c r="B431" s="11" t="s">
        <v>5229</v>
      </c>
      <c r="C431" s="11" t="s">
        <v>4476</v>
      </c>
    </row>
  </sheetData>
  <phoneticPr fontId="11" type="noConversion"/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41</vt:i4>
      </vt:variant>
    </vt:vector>
  </HeadingPairs>
  <TitlesOfParts>
    <vt:vector size="41" baseType="lpstr">
      <vt:lpstr>$备注</vt:lpstr>
      <vt:lpstr>活动</vt:lpstr>
      <vt:lpstr>Translate_1</vt:lpstr>
      <vt:lpstr>道具1</vt:lpstr>
      <vt:lpstr>道具图标</vt:lpstr>
      <vt:lpstr>ItemResource</vt:lpstr>
      <vt:lpstr>ActivityBanner</vt:lpstr>
      <vt:lpstr>邮件</vt:lpstr>
      <vt:lpstr>BackGroundPicture</vt:lpstr>
      <vt:lpstr>GalleryMemory</vt:lpstr>
      <vt:lpstr>GalleryMemoryStory</vt:lpstr>
      <vt:lpstr>$HomeBackground</vt:lpstr>
      <vt:lpstr>$背景图</vt:lpstr>
      <vt:lpstr>卡池_1</vt:lpstr>
      <vt:lpstr>抽卡</vt:lpstr>
      <vt:lpstr>Banner图</vt:lpstr>
      <vt:lpstr>$抽卡文本</vt:lpstr>
      <vt:lpstr>$Sound</vt:lpstr>
      <vt:lpstr>$RoleModel</vt:lpstr>
      <vt:lpstr>$SpecialPicture</vt:lpstr>
      <vt:lpstr>$兑换</vt:lpstr>
      <vt:lpstr>$奖励</vt:lpstr>
      <vt:lpstr>$任务成就</vt:lpstr>
      <vt:lpstr>$条件</vt:lpstr>
      <vt:lpstr>$Reset</vt:lpstr>
      <vt:lpstr>$卡池</vt:lpstr>
      <vt:lpstr>$ActivityBlockMap</vt:lpstr>
      <vt:lpstr>$ActivityBlockSort</vt:lpstr>
      <vt:lpstr>$ActivityBlockBattle</vt:lpstr>
      <vt:lpstr>$BlockBattle</vt:lpstr>
      <vt:lpstr>$ActivityStoryPoint</vt:lpstr>
      <vt:lpstr>$EnemyMaster</vt:lpstr>
      <vt:lpstr>$EnemyHero</vt:lpstr>
      <vt:lpstr>$EnemyCard</vt:lpstr>
      <vt:lpstr>$BlockAI</vt:lpstr>
      <vt:lpstr>$Skill</vt:lpstr>
      <vt:lpstr>$Reward</vt:lpstr>
      <vt:lpstr>$ConfigLevelLimit</vt:lpstr>
      <vt:lpstr>$SkillAttrEffect</vt:lpstr>
      <vt:lpstr>$活动本特殊机制</vt:lpstr>
      <vt:lpstr>$剧情内容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狼骑士</dc:creator>
  <cp:lastModifiedBy>徐宇斌</cp:lastModifiedBy>
  <dcterms:created xsi:type="dcterms:W3CDTF">2016-01-13T07:26:34Z</dcterms:created>
  <dcterms:modified xsi:type="dcterms:W3CDTF">2021-11-19T09:09:58Z</dcterms:modified>
</cp:coreProperties>
</file>